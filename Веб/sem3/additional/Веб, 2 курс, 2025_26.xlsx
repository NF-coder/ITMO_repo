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21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2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6" sheetId="2" r:id="rId5"/>
    <sheet state="visible" name="7" sheetId="3" r:id="rId6"/>
    <sheet state="visible" name="8" sheetId="4" r:id="rId7"/>
    <sheet state="visible" name="9" sheetId="5" r:id="rId8"/>
    <sheet state="visible" name="10" sheetId="6" r:id="rId9"/>
    <sheet state="visible" name="11" sheetId="7" r:id="rId10"/>
    <sheet state="visible" name="12" sheetId="8" r:id="rId11"/>
    <sheet state="visible" name="13" sheetId="9" r:id="rId12"/>
    <sheet state="visible" name="14" sheetId="10" r:id="rId13"/>
    <sheet state="visible" name="15" sheetId="11" r:id="rId14"/>
    <sheet state="visible" name="16" sheetId="12" r:id="rId15"/>
    <sheet state="visible" name="17" sheetId="13" r:id="rId16"/>
    <sheet state="visible" name="18" sheetId="14" r:id="rId17"/>
    <sheet state="visible" name="19" sheetId="15" r:id="rId18"/>
    <sheet state="visible" name="20" sheetId="16" r:id="rId19"/>
    <sheet state="visible" name="21" sheetId="17" r:id="rId20"/>
    <sheet state="visible" name="22" sheetId="18" r:id="rId21"/>
    <sheet state="visible" name="23" sheetId="19" r:id="rId22"/>
    <sheet state="visible" name="24" sheetId="20" r:id="rId23"/>
    <sheet state="visible" name="30" sheetId="21" r:id="rId24"/>
    <sheet state="visible" name="31" sheetId="22" r:id="rId25"/>
    <sheet state="visible" name="32" sheetId="23" r:id="rId26"/>
    <sheet state="visible" name="ПОД" sheetId="24" r:id="rId27"/>
    <sheet state="visible" name="Разнисты" sheetId="25" r:id="rId28"/>
    <sheet state="hidden" name="stub" sheetId="26" r:id="rId2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">
      <text>
        <t xml:space="preserve">-SVG
-bigInt
-не alert
-скролл
</t>
      </text>
    </comment>
    <comment authorId="0" ref="AQ5">
      <text>
        <t xml:space="preserve">А1 - неявка
А2 - неявка
А3 - неявка</t>
      </text>
    </comment>
    <comment authorId="0" ref="AO6">
      <text>
        <t xml:space="preserve">не был очно</t>
      </text>
    </comment>
    <comment authorId="0" ref="AO7">
      <text>
        <t xml:space="preserve">не был очно</t>
      </text>
    </comment>
    <comment authorId="0" ref="AP7">
      <text>
        <t xml:space="preserve">А1 - 1
А2 - 6</t>
      </text>
    </comment>
    <comment authorId="0" ref="AQ7">
      <text>
        <t xml:space="preserve">А1 - ИИ
А2 - 6</t>
      </text>
    </comment>
    <comment authorId="0" ref="AQ9">
      <text>
        <t xml:space="preserve">A1 - неявка
А2 - неявка
A3 - 4</t>
      </text>
    </comment>
    <comment authorId="0" ref="M11">
      <text>
        <t xml:space="preserve">-Алерты не использовать
-Маштабирование графика</t>
      </text>
    </comment>
    <comment authorId="0" ref="AP11">
      <text>
        <t xml:space="preserve">A1 - 4.5
А2 - 6</t>
      </text>
    </comment>
    <comment authorId="0" ref="J12">
      <text>
        <t xml:space="preserve">Точки и объяснить код
</t>
      </text>
    </comment>
    <comment authorId="0" ref="AQ12">
      <text>
        <t xml:space="preserve">А1 - 4.63
А2 - 6</t>
      </text>
    </comment>
    <comment authorId="0" ref="AP13">
      <text>
        <t xml:space="preserve">A1 - 3.5</t>
      </text>
    </comment>
    <comment authorId="0" ref="AQ13">
      <text>
        <t xml:space="preserve">А1 - 2.88
А2 - неявка
А3 - неявка</t>
      </text>
    </comment>
    <comment authorId="0" ref="AP14">
      <text>
        <t xml:space="preserve">A1 - 0
А2 - 1
A3 - 6</t>
      </text>
    </comment>
    <comment authorId="0" ref="AQ14">
      <text>
        <t xml:space="preserve">A1 - 2
А2 - 6</t>
      </text>
    </comment>
    <comment authorId="0" ref="AO16">
      <text>
        <t xml:space="preserve">списано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4">
      <text>
        <t xml:space="preserve">- убрать алерты +
- убрать обрезание +
- валидация схемы json +
- вместо строк number +
-----
- структура http запроса
- подробнее методы http запроса
- FastCGI vs CGI
- Null vs undefined
- кложуры
- js движка</t>
      </text>
    </comment>
    <comment authorId="0" ref="AC4">
      <text>
        <t xml:space="preserve">- Servlet Filter
- </t>
      </text>
    </comment>
    <comment authorId="0" ref="AK4">
      <text>
        <t xml:space="preserve">useEffect, useMemo, useRef, useState</t>
      </text>
    </comment>
    <comment authorId="0" ref="AT4">
      <text>
        <t xml:space="preserve">А1 - 1.5
А2 - 6</t>
      </text>
    </comment>
    <comment authorId="0" ref="AU4">
      <text>
        <t xml:space="preserve">А1 - неявка
А2 - 6</t>
      </text>
    </comment>
    <comment authorId="0" ref="AT5">
      <text>
        <t xml:space="preserve">А1 - 3
А2 - 6</t>
      </text>
    </comment>
    <comment authorId="0" ref="AU5">
      <text>
        <t xml:space="preserve">А1 - 1.88
А2 - 2</t>
      </text>
    </comment>
    <comment authorId="0" ref="Y6">
      <text>
        <t xml:space="preserve">- убрать обрезание чисел +
- падение сервера при невалидной схеме json. нужно возвращать 400 +
- добавить jacoco и сгенерить html с тестовым покрытием.  +
------
- работа https +
- csrf как работает/как предотвратить +
- мертвая зона и hoisting +</t>
      </text>
    </comment>
    <comment authorId="0" ref="AC6">
      <text>
        <t xml:space="preserve">- повторная отправка точки при перезагрузке второй страницы
--------
- во что транслируется jsp страница</t>
      </text>
    </comment>
    <comment authorId="0" ref="AG6">
      <text>
        <t xml:space="preserve">- уязвимость, связанная с конкатенацией строк в sql запросах
- N + 1
- стратегии наследования в Hibernate
- PersistenceContext
- Состояния сущностей</t>
      </text>
    </comment>
    <comment authorId="0" ref="AK6">
      <text>
        <t xml:space="preserve">- хранить токен в куках
- разделить ДТО и сущности
-----------
- аннотации jax-ws
- </t>
      </text>
    </comment>
    <comment authorId="0" ref="AU6">
      <text>
        <t xml:space="preserve">А1 - 3
А2 - 6</t>
      </text>
    </comment>
    <comment authorId="0" ref="Y7">
      <text>
        <t xml:space="preserve">- развернуть на гелиосе</t>
      </text>
    </comment>
    <comment authorId="0" ref="AC7">
      <text>
        <t xml:space="preserve">- запустить на гелиосе
- не создавать bject mapper при каждом запросе
- не компилировать регулярку каждый раз + рассказать, почему так нельзя делать
</t>
      </text>
    </comment>
    <comment authorId="0" ref="AT7">
      <text>
        <t xml:space="preserve">А1 - 0.5
А2 - неявка
А3 - 2</t>
      </text>
    </comment>
    <comment authorId="0" ref="AU7">
      <text>
        <t xml:space="preserve">А1 - 1.54
А2 - неявка
А3 - 0.75</t>
      </text>
    </comment>
    <comment authorId="0" ref="Y8">
      <text>
        <t xml:space="preserve">- обрезание чисел +
------
- структра HTTP+-
- POST vs PUT
- TRACE
- идемпотенстность
- замыкания
- event loop
- header</t>
      </text>
    </comment>
    <comment authorId="0" ref="AC8">
      <text>
        <t xml:space="preserve">- при нажатии на график отправлять точные координатоы, а не приближенные к одному из возможных X
- клик по графику не инициирует отправку точки
- нет второй страницы с результатами попадания
- добавить цвет точки в зависимости от попадания
- заменить листы на set, где вызывается contains
- переделать отрисовку страницы с использованием jsp, а не через get запрос
- сделать jsp-шный рендеринг</t>
      </text>
    </comment>
    <comment authorId="0" ref="AG8">
      <text>
        <t xml:space="preserve">- убрать хранение точек в памяти приложения
- перенести логику проверки попадания в область из сущности
- таймер переписать с js на бин
---------------------
- orm vs jpa. что такое orm provider
- jdbc driver
- хибернейт: аннотации, основные интерфесы jpa
</t>
      </text>
    </comment>
    <comment authorId="0" ref="AK8">
      <text>
        <t xml:space="preserve">- что такое soap
- как получить EJB бины по JNDI
- ACID</t>
      </text>
    </comment>
    <comment authorId="0" ref="AU8">
      <text>
        <t xml:space="preserve">А1 - 4
А2 - 6</t>
      </text>
    </comment>
    <comment authorId="0" ref="Y9">
      <text>
        <t xml:space="preserve">- несколько чекбоксов - несколько точек
- при невалидном значении параетров в запросе (?x=-1y=0&amp;r=1) печатаются 2 ошибки
- убрать статику
-----------------
- что такое куки, как связаны с http +
- cgi/fcgi как веб сервер передает/получает данные процессам +
- xpath +</t>
      </text>
    </comment>
    <comment authorId="0" ref="AC9">
      <text>
        <t xml:space="preserve">- по клику должны отправляться координаты точки, по которой кликнули
- на странице с результатами выводить результаты только последней проверки
- страница с результатами не должна при обновлении добавлять новые точки</t>
      </text>
    </comment>
    <comment authorId="0" ref="AG9">
      <text>
        <t xml:space="preserve">- не дублировать точки в памяти приложения
- убрать лямбду
- добавить инжект бинов
-------------------
- анннотации для  связи сущностей
- N+1
</t>
      </text>
    </comment>
    <comment authorId="0" ref="AK9">
      <text>
        <t xml:space="preserve">- дублирование точки при первом клике на график
- не rest api
--------
- wsdl, 
- как передавать соап сообщения
- как отправить сообщение на jax-ws севрис
- какие требования к рест приложениям
</t>
      </text>
    </comment>
    <comment authorId="0" ref="AS9">
      <text>
        <t xml:space="preserve">не был очно</t>
      </text>
    </comment>
    <comment authorId="0" ref="Y10">
      <text>
        <t xml:space="preserve">- обрезание чисел +
- при неподдерживающемся методе отправлять 405 в респонсе +
- убрать алерты +
---------
</t>
      </text>
    </comment>
    <comment authorId="0" ref="AV10">
      <text>
        <t xml:space="preserve">автомат за стиралку</t>
      </text>
    </comment>
    <comment authorId="0" ref="Y11">
      <text>
        <t xml:space="preserve">- обрезание точности числе +
- несколько точек за запрос при нескольких чекбоксах +
- хранить точки на фронте +
- не отправлять в ответе всю историю +
- проверка метода запроса на бэке +
- валидация данных на бэке +
- убрать создание объекта в вайле +
- опция ExecCGI +
- убегающая кнопка +
- смена цветовой темы лабы +
- допы по nginx +
- event loop
- closure
- promise</t>
      </text>
    </comment>
    <comment authorId="0" ref="AC11">
      <text>
        <t xml:space="preserve">- зачем нужны методы destroy и init
- ЖЦ JSP</t>
      </text>
    </comment>
    <comment authorId="0" ref="AG11">
      <text>
        <t xml:space="preserve">- позитив и пессимистик локи
- txType 
- strategy в @GeneratedValue </t>
      </text>
    </comment>
    <comment authorId="0" ref="AK11">
      <text>
        <t xml:space="preserve">- токены передавать в куки
- проверить на xss
---------
- что такое jndi
- семантики доставки
- структура сообщений soap 
- как можно передавать соап сообщения
- jax-ws - что значат аннотации и как вызвать метод
- </t>
      </text>
    </comment>
    <comment authorId="0" ref="AS11">
      <text>
        <t xml:space="preserve">не был очно</t>
      </text>
    </comment>
    <comment authorId="0" ref="Y12">
      <text>
        <t xml:space="preserve">- добавить плейсхолдеры в текстовые поля +                            
- убрать данные из параметров запроса в body (валидация схемы json) +
- убрать статические вызовы методов +
- при некорректном методе запроса возвращать 405 +
Доп:
- prometheus метрики + grafana дашборды
---
- null vs undefined +
- CORS +
- closure +</t>
      </text>
    </comment>
    <comment authorId="0" ref="AG12">
      <text>
        <t xml:space="preserve">- способы управления транзакциями
- merge
- за счет чего orm общается с бд
- состояния сущность в hibernate, переходы между состояниями
- как решить проблему вложенности в JPA
</t>
      </text>
    </comment>
    <comment authorId="0" ref="AK12">
      <text>
        <t xml:space="preserve">- как не сохранять поле у сущности</t>
      </text>
    </comment>
    <comment authorId="0" ref="Y13">
      <text>
        <t xml:space="preserve">закрыл до академа</t>
      </text>
    </comment>
    <comment authorId="0" ref="AC13">
      <text>
        <t xml:space="preserve">закрыл до академа</t>
      </text>
    </comment>
    <comment authorId="0" ref="AG13">
      <text>
        <t xml:space="preserve">- развернуть на гелиосе
- точки не должны дублироваться в памяти и бд
---------------
- уровни кэша в Hibernate
- HQL vs JPQL
- managed vs detached</t>
      </text>
    </comment>
    <comment authorId="0" ref="AK13">
      <text>
        <t xml:space="preserve">- JNDI
- JMS, message-driven beans, модели жоставки сообщений
- JAX-RS </t>
      </text>
    </comment>
    <comment authorId="0" ref="AT13">
      <text>
        <t xml:space="preserve">А1 - 4
А2 - 6</t>
      </text>
    </comment>
    <comment authorId="0" ref="AU13">
      <text>
        <t xml:space="preserve">А1 - 3.96
А2 - 6</t>
      </text>
    </comment>
    <comment authorId="0" ref="Y15">
      <text>
        <t xml:space="preserve">- валидация на бэке +
- problem json +
- несколько чекбоксов - несколько точек +
- обрезание точности чисел +
- кэширование результатов попадания +
- идемпотентность +
- url vs uri +
</t>
      </text>
    </comment>
    <comment authorId="0" ref="AB15">
      <text>
        <t xml:space="preserve">- jsp бины</t>
      </text>
    </comment>
    <comment authorId="0" ref="AG15">
      <text>
        <t xml:space="preserve">- перерисовка точек при смене радиуса
- посмотреть, что соединения закрываются
- вынести репозиторий в бин
- разобраться с сущностями и дто
-------------
- как JPA решает проблемы вложенности у объектов
- N + 1
- </t>
      </text>
    </comment>
    <comment authorId="0" ref="AK15">
      <text>
        <t xml:space="preserve">- структура сообщения soap
- gRPC
</t>
      </text>
    </comment>
    <comment authorId="0" ref="Y16">
      <text>
        <t xml:space="preserve">- обрезание чисел
- валидация на бэке для радиуса (одно из значений radio)
- понимание ajax
------
- http 1.1 vs http 2 +
- event loop: call stack, макро/микро таски +
</t>
      </text>
    </comment>
    <comment authorId="0" ref="AC16">
      <text>
        <t xml:space="preserve">- перезагрузка страницы с результатом не должна инициировать повторную отправку точки
- рисовать точки на графике на главной странице
----------
- war архив что такое и как разворачивается +</t>
      </text>
    </comment>
    <comment authorId="0" ref="AG16">
      <text>
        <t xml:space="preserve">- statement vs prepared statement
- N + 1
- optimistic и пессимстик локи
</t>
      </text>
    </comment>
    <comment authorId="0" ref="Y17">
      <text>
        <t xml:space="preserve">- избавиться от массивов в пользу коллекций
---------
- event loop
</t>
      </text>
    </comment>
    <comment authorId="0" ref="AC17">
      <text>
        <t xml:space="preserve">- клик по графику - отправка точки в месте клика
- страница с результатами не должна при обновлении добавлять новые точки
-------------------------------
- реализация наследования в jpa
</t>
      </text>
    </comment>
    <comment authorId="0" ref="AG17">
      <text>
        <t xml:space="preserve">- вынести репозиторий в бин</t>
      </text>
    </comment>
    <comment authorId="0" ref="Y18">
      <text>
        <t xml:space="preserve">- не обрезать числа
- исправить в таблице единицу измерения времени
- кидать не 500, а 400
---------
- способы хранения информации в браузере помимо cookies +</t>
      </text>
    </comment>
    <comment authorId="0" ref="AK18">
      <text>
        <t xml:space="preserve">- useRef &amp; useState
- Graph:7</t>
      </text>
    </comment>
    <comment authorId="0" ref="AT18">
      <text>
        <t xml:space="preserve">А1 - 5
А2 - 6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U4">
      <text>
        <t xml:space="preserve">списано</t>
      </text>
    </comment>
    <comment authorId="0" ref="AV6">
      <text>
        <t xml:space="preserve">А1 - 0.5
А2 - 6</t>
      </text>
    </comment>
    <comment authorId="0" ref="AV7">
      <text>
        <t xml:space="preserve">А1 - 3.5
А2 - 2.5
А3 - 6</t>
      </text>
    </comment>
    <comment authorId="0" ref="AW7">
      <text>
        <t xml:space="preserve">А1 - 4.08
А2 - 6</t>
      </text>
    </comment>
    <comment authorId="0" ref="AV8">
      <text>
        <t xml:space="preserve">А1 - 3.5
А2 - 6</t>
      </text>
    </comment>
    <comment authorId="0" ref="AW8">
      <text>
        <t xml:space="preserve">А1 - неявка
А2 - 6</t>
      </text>
    </comment>
    <comment authorId="0" ref="AV9">
      <text>
        <t xml:space="preserve">А1 - 4.5
А2 - 6</t>
      </text>
    </comment>
    <comment authorId="0" ref="AW9">
      <text>
        <t xml:space="preserve">А1 - 1.25
А2 - 6</t>
      </text>
    </comment>
    <comment authorId="0" ref="AV10">
      <text>
        <t xml:space="preserve">А1 - неявка
А2 - 6</t>
      </text>
    </comment>
    <comment authorId="0" ref="AW10">
      <text>
        <t xml:space="preserve">А1 - 1.5
А2 - 4.5
А3 - 6</t>
      </text>
    </comment>
    <comment authorId="0" ref="AV11">
      <text>
        <t xml:space="preserve">А1 - 4.5
А2 - 6</t>
      </text>
    </comment>
    <comment authorId="0" ref="AW11">
      <text>
        <t xml:space="preserve">А1 - 2.29
А2 - 2.75
А3 - 3.5</t>
      </text>
    </comment>
    <comment authorId="0" ref="AV12">
      <text>
        <t xml:space="preserve">А1 - 5
А2 - списано
А3 - 6</t>
      </text>
    </comment>
    <comment authorId="0" ref="AW12">
      <text>
        <t xml:space="preserve">А1 - 4.5
А2 - 6</t>
      </text>
    </comment>
    <comment authorId="0" ref="T13">
      <text>
        <t xml:space="preserve">лаба не готова</t>
      </text>
    </comment>
    <comment authorId="0" ref="AW13">
      <text>
        <t xml:space="preserve">А1 - 2.25
А2 - 6</t>
      </text>
    </comment>
    <comment authorId="0" ref="T14">
      <text>
        <t xml:space="preserve">не готова лаба</t>
      </text>
    </comment>
    <comment authorId="0" ref="AD15">
      <text>
        <t xml:space="preserve">- radio, text, text
- график должен отражать действительное положение точек
- должны отображаться все точки при любом радиусе</t>
      </text>
    </comment>
    <comment authorId="0" ref="AW15">
      <text>
        <t xml:space="preserve">А1 - 3.58
A2 - 6</t>
      </text>
    </comment>
    <comment authorId="0" ref="AV16">
      <text>
        <t xml:space="preserve">А1 - 4.5
А2 - 6</t>
      </text>
    </comment>
    <comment authorId="0" ref="AW16">
      <text>
        <t xml:space="preserve">А1 - 1.75
А2 - 6</t>
      </text>
    </comment>
    <comment authorId="0" ref="AV17">
      <text>
        <t xml:space="preserve">А1 - 1
А2 - 6</t>
      </text>
    </comment>
    <comment authorId="0" ref="AW17">
      <text>
        <t xml:space="preserve">А1 - 1.04
А2 - 6</t>
      </text>
    </comment>
    <comment authorId="0" ref="AV19">
      <text>
        <t xml:space="preserve">А1 - 3.5
А2 - 6</t>
      </text>
    </comment>
    <comment authorId="0" ref="AV20">
      <text>
        <t xml:space="preserve">А1 - 0</t>
      </text>
    </comment>
    <comment authorId="0" ref="AV21">
      <text>
        <t xml:space="preserve">А1 - 2.5
А2 - 6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">
      <text>
        <t xml:space="preserve">РК 1</t>
      </text>
    </comment>
    <comment authorId="0" ref="P2">
      <text>
        <t xml:space="preserve">компенсация 31.10</t>
      </text>
    </comment>
    <comment authorId="0" ref="T2">
      <text>
        <t xml:space="preserve">РК 2</t>
      </text>
    </comment>
    <comment authorId="0" ref="X2">
      <text>
        <t xml:space="preserve">ППА1
18:30 - 20:00</t>
      </text>
    </comment>
    <comment authorId="0" ref="Y2">
      <text>
        <t xml:space="preserve">ППА1
18:30 - 20:00</t>
      </text>
    </comment>
    <comment authorId="0" ref="Z2">
      <text>
        <t xml:space="preserve">ППА1
16:30 - 18:00</t>
      </text>
    </comment>
    <comment authorId="0" ref="AA2">
      <text>
        <t xml:space="preserve">ППА1
16:30 - 18:00</t>
      </text>
    </comment>
    <comment authorId="0" ref="AC4">
      <text>
        <t xml:space="preserve">+ выбор нескольких значений в чекбоксе
+ убрать alert'ы
+ валидация на стороне сервера
+ в варианте GET-запрос, не должно работать для POST-а
---
+ Canvas + Font Fingerprint
+ HTTP, версии, методы, заголовки
+ Сетевые модели OSI и TSP/IP, рассказать, как сервер узнает куда отправить ответ без IP в HTTP-запросе
+ DOM
+ Что такое AJAX
+ JS: async. promises
+ CORS что такое, как включить (какие хедеры там должны быть)</t>
      </text>
    </comment>
    <comment authorId="0" ref="AD4">
      <text>
        <t xml:space="preserve">+ Использовать eslint для фронтенда
+ Хранить историю запросов в PostgreSQL
+ Хранить в БД данные о заходивших пользователях: отслеживание пользователей с помощью Canvas + Font Fingerprint + WebRTC Leak Test + Client Hints + HTTP/2 Fingerprinting</t>
      </text>
    </comment>
    <comment authorId="0" ref="AG4">
      <text>
        <t xml:space="preserve">+ не дублировать запрос на странице результата
+ AreaCheckServlet возвращает отдельную страницу
+ не работает страница ошибки
---
+ Что такое ServletContextListener и как мы можем его использовать?
+ Какие механизмы используются для отслеживания сессии в веб-приложениях? Описать работу сессионных куки и URL-rewriting.
+ MVVM vs MVC
+ Толстые модели vs толстые контроллеры
+ Model 1 и Model 2
+ Трёхуровневая архитектура</t>
      </text>
    </comment>
    <comment authorId="0" ref="AH4">
      <text>
        <t xml:space="preserve">+ API blueprint документация для API
+ Java Mail API, При накоплении 10 проверок - отправлять пользователю email с краткой статистикой (требуется mock SMTP-сервер, например, GreenMail в тестах)</t>
      </text>
    </comment>
    <comment authorId="0" ref="AK4">
      <text>
        <t xml:space="preserve">+ смена радиуса также должна инициировать перерисовку картинки
+ не дублировать запрос
---
+ Что такое «жадная» и «ленивая» загрузка (EAGER vs LAZY)? В каких случаях какая стратегия предпочтительна? Какие подводные камни есть при использовании LAZY вне транзакции?
+ Что такое проблема N+1? Почему она возникает? Какие стратегии загрузки (LAZY, EAGER) влияют на её появление? Как её можно избежать (например, с помощью JOIN FETCH, @EntityGraph)?
+ В чём разница между управляемыми (managed) и отсоединенными (detached) сущностями в JPA?
+ Что такое UIViewRoot и какую роль он играет в представлении страницы на стороне сервера?
+ Объясните разницу между конвертерами (Converter) и валидаторами (Validator). Когда вызывается каждый из них в жизненном цикле JSF? Как создать собственный (кастомный) конвертер или валидатор? В каких сценариях это может потребоваться?
+ Что такое "фаза восстановления представления" (Restore View) и почему она критически важна для работы JSF?
</t>
      </text>
    </comment>
    <comment authorId="0" ref="AL4">
      <text>
        <t xml:space="preserve">+ Сохранение состояния приложения на определённое время в будущем. Пользователь задаёт: "через 24 часа покажи мне, сколько точек я проверил". Сервер сохраняет задачу в scheduled queue (Quartz), в указанное время генерируется отчёт и отправляется по email. Всё с учётом часовых поясов и DST
+ Добавить favicon с динамическим изменением (например, 🎯 при попадании). Использовать JavaScript для замены favicon.ico на hit.ico / miss.ico после результата. Иконки можно сгенерировать на favicon.io</t>
      </text>
    </comment>
    <comment authorId="0" ref="AO4">
      <text>
        <t xml:space="preserve">+ Сохранение предыдущих точек пользователя
+ Выводить точки только текущего пользователя
+ Длина хэша
---
+ Optimistic update
+ Mutual TLS
+ Двухфазные и трехфазные конструкторы в Java EE
+ Есть ли в Angular VDOM? Что используется вместо него? Incremental DOM
+ Как работает JWT
+ Почему TLS 1.3 запрещает renegotiation, и как это влияет на реализацию аутентификации по клиентскому сертификату в REST API?
</t>
      </text>
    </comment>
    <comment authorId="0" ref="AP4">
      <text>
        <t xml:space="preserve">+- Реализация session binding через клиентские сертификаты (mTLS). Настройте WildFly на приём клиентских сертификатов (даже если они самоподписанные). При первом входе с устройства генерируется локальный self-signed cert (на фронтенде через Web Crypto API mock -&gt; сертификат эмулируется как PEM-строка, передаётся в заголовке). Сервер сохраняет отпечаток сертификата как доверенное устройство. Последующие входы без пароля возможны, если сертификат совпадает
+ Реализация Redux Toolkit с RTK Query и автоматической инвалидацией кэша при мутациях Замените ручные fetch на createApi, Используйте providesTags / invalidatesTags для автоматического рефреша таблицы результатов после отправки точки, Интеграция с optimistic updates</t>
      </text>
    </comment>
    <comment authorId="0" ref="AC5">
      <text>
        <t xml:space="preserve">+ никаких alert'ов
+ не обрезать точность чисел
+ валидация на сервере
+ в варианте GET-запрос, не должно работать для POST-а
+ выводить все текущие ошибки
+ селекторы по варианту
+ URI, URL, URN
+ метод patch, post, put и разница меж ними
+ ecmascript, что делает, разница версий, spread и rest операторы, promise.finally
+ websockets, sse, разница с ajax
+ коды состояний, начинающиеся с единицы, ошибка валидации когда выдается, bad request когда, too many requests когда и где указывается retry after
+ http range</t>
      </text>
    </comment>
    <comment authorId="0" ref="AD5">
      <text>
        <t xml:space="preserve">+ Вдохновиться дизайном сайта angely-sveta.ru
+ Реализовать аутентификацию по API-ключу: каждый запрос должен содержать заголовок X-API-Key, сервер проверяет его по списку (в файле или БД). Без ключа - 401 Unauthorized.</t>
      </text>
    </comment>
    <comment authorId="0" ref="AG5">
      <text>
        <t xml:space="preserve">+ исправить повторную отправку формы
---
+ Архитектурные модели Model 1 и Model 2 и их реализация на платформе Java EE
+ Жизненный цикл сервлета
+ Фильтры сервлетов
+ Что такое RequestDispatcher и чем его использование (forward vs include) отличается от sendRedirect?
+ Опишите структуру .war-файла. Какие каталоги и файлы в него входят и какую роль играет web.xml?
+ Многопоточная обработка сервлетом
+ Предавал ли Магнус?</t>
      </text>
    </comment>
    <comment authorId="0" ref="AH5">
      <text>
        <t xml:space="preserve">+ Поиск курсора на странице
+ Кластеризация исторических точек. Применить K-Means к истории точек (x, y) и выделить 2-3 кластера. На графике отображать точки разными цветами в зависимости от кластера. Модель обучается offline, кластеризация выполняется в сервлете через Weka или Tribuo.
+ Использовать Tribuo (ML-библиотека от Oracle) или Weka для инференса. Модели сохраняются в .model-файлы и кладутся в src/main/resources. В сервлете - загрузка модели при инициализации (init()), вызов .predict() на каждом запросе.
Никакого Python - только Java.</t>
      </text>
    </comment>
    <comment authorId="0" ref="AK5">
      <text>
        <t xml:space="preserve">+ Интерактивные часы на стартовой странице
---
+ Какие стратегии кэширования поддерживаются в Hibernate/EclipseLink? Что такое L1 и L2 кэш?
+ Как организовать auditing изменений сущностей в JPA?
+ Что такое Open Session in View и какие проблемы он решает? Какие добавляет?
+ Навигация в JSF-приложениях
- Что произойдёт, если выбросить исключение внутри транзакции?
+ Что такое @ViewScoped и чем он отличается от @RequestScoped и @SessionScoped?</t>
      </text>
    </comment>
    <comment authorId="0" ref="AL5">
      <text>
        <t xml:space="preserve">+ Интеграция с LLM для генерации пояснений к результатам После проверки — вызов локальной LLM (например, через Ollama) с промптом: "Объясни студенту, почему точка (1.5, -2.0) не попала в круг радиусом 2", Ответ отображается в интерфейсе как "подсказка". Все запросы логируются для анализа
+ Использовать Flyway для миграций БД</t>
      </text>
    </comment>
    <comment authorId="0" ref="AO5">
      <text>
        <t xml:space="preserve">+ Вынести запросы в dao, логику в сервисы
+ Хэш пароля SHA-256 -&gt; bcrypt/pbkdf2/argon2/etc
---
+ JMS. Реализация очередей сообщений. Способы доставки сообщений до клиента. Message-Driven Beans.
+ Java EE CDI Beans стереотипы
+ Angular: модули, компоненты, сервисы и DI.
+ Реализация REST API в Java EE
+ Location Transparency в Java EE
+ JNDI &amp; RMI</t>
      </text>
    </comment>
    <comment authorId="0" ref="AP5">
      <text>
        <t xml:space="preserve">Реализуйте расширенную логику проверки попадания точки в заданную область, при которой:
+ Проверка выполняется аналитически, а не численно.
+ Каждый результат сопровождается машинно-читаемым доказательством, построенным как последовательность логически обоснованных шагов.
+ Корректность результата независимо подтверждается с помощью внешнего SMT-решателя (например, Z3).
+ Доказательство визуализируется на фронтенде в интерактивном виде.
Требования к бэку:
1.Символьное ядро:
Используйте библиотеку Symja (или аналогичную) для символьных вычислений. На основе выбранной фигуры (предусмотренной вариантом задания) и переданных координат точки постройте цепочку преобразований, например: x^2 + y^2 &lt;= r^2 -&gt; 1^2 + 0.5^2 &lt;= 2^2 -&gt; 1.25 &lt;= 4 -&gt; true. Каждый шаг доказательства должен быть представлен как структурированный объект с полями: type (SUBSTITUTION, EVALUATION, INEQUALITY_CHECK), expression, result.
2. Формальная верификация через SMT: Сгенерируйте запрос в формате SMT-LIB v2, эквивалентный условию попадания. Выполните его с помощью Z3, запущенного в изолированном контейнерt. Результат ответа (true/false) должен возвращаться только если он совпадает с выводом Z3. В противном случае - возвращайте HTTP 500 с диагностикой. Ограничьте время выполнения символьных вычислений и вызова Z3 до 500 мс. При превышении выбрасывайте TimeoutException, логируйте событие и возвращайте ошибку клиенту.
3. REST API: Эндпоинт /api/check должен возвращать JSON следующей структуры:
{
  ""inside"": true,
  ""proof"": [
    { ""type"": ""SUBSTITUTION"", ""expression"": ""x^2 + y^2 &lt;= r^2"", ""substitution"": { ""x"": 1, ""y"": 0.5, ""r"": 2 } },
    { ""type"": ""EVALUATION"", ""expression"": ""1^2 + 0.5^2 &lt;= 4"", ""result"": ""1.25 &lt;= 4"" },
    { ""type"": ""INEQUALITY_CHECK"", ""expression"": ""1.25 &lt;= 4"", ""result"": true }
  ],
  ""smtVerified"": true
}
Требования к фронту:
+ 1. Интерактивный просмотр доказательства: отображайте цепочку шагов в раскрывающемся списке. При наведении или клике на шаг подсвечивайте соответствующую зону на холсте (например, область круга для шага с неравенством).
+ 2. Используйте HTML Canvas (не статичное изображение) для отрисовки фигуры и точек.
+ 3. Цвет точки должен отражать не только факт попадания, но и статус верификации (например, зелёный - подтверждено Z3, оранжевый - только локальная проверка, красный - расхождение).
+ Если smtVerified == false, отобразите предупреждение
В отчёте по лабораторной работе приведите:
Пример сгенерированного SMT-LIB запроса,
Лог вызова Z3,
Скриншот интерфейса с развёрнутым доказательством.</t>
      </text>
    </comment>
    <comment authorId="0" ref="AX5">
      <text>
        <t xml:space="preserve">А1 - 0
А2 - 6</t>
      </text>
    </comment>
    <comment authorId="0" ref="AC6">
      <text>
        <t xml:space="preserve">+ Checkbox
+ Разделить js и html
+ Сообщения об ошибках
---
+ Что на самом деле происходит, когда пользователь вбивает в браузер адрес google.com
+ Что такое keep-alive в HTTP/1.1? Как он снижает задержку при загрузке страницы с множеством ресурсов по сравнению с HTTP/1.0 без keep-alive?
+ Методы HTTP. Идемпотентность. Безопасные методы. Отличия PUT и PATCH
+ Long polling
+ Cookies
+ XSS</t>
      </text>
    </comment>
    <comment authorId="0" ref="AD6">
      <text>
        <t xml:space="preserve">+ “крипто-доп”: все запросы к FastCGI подписывать с помощью Web Crypto API (клиент генерирует ключ, подписывает payload, сервер проверяет подпись
+ Интегрировать Chart.js для отображения статистики (процент попаданий). После 5+ проверок показывать круговую диаграмму</t>
      </text>
    </comment>
    <comment authorId="0" ref="AG6">
      <text>
        <t xml:space="preserve">+ Исправить повторную отправку формы
---
+ Жизненный цикл JSP
+ Стандартные теги JSP. Использование Expression Language (EL) в JSP
+ HTTP-сессии - назначение, взаимодействие сервлетов с сессией, способы передачи идентификатора сессии
+ Шаблон MVC. Архитектурные модели Model 1 и Model 2 и их реализация на платформе Java EE
+ Как можно обработать ошибки (например, 404 или 500) на уровне веб-приложения с помощью сервлетов и web.xml?
</t>
      </text>
    </comment>
    <comment authorId="0" ref="AH6">
      <text>
        <t xml:space="preserve">+- Сделать DNS-over-HTTP: координаты передаются через TXT-запросы к поддомену, ответ - через DNS-запись. WildFly выступает как авторитативный DNS-сервер</t>
      </text>
    </comment>
    <comment authorId="0" ref="AK6">
      <text>
        <t xml:space="preserve">+ Технология JavaServer Faces. Особенности, отличия от сервлетов и JSP, преимущества и недостатки. Структура JSF-приложения.
+ Библиотеки ORM Hibernate и EclipseLink. Особенности, API, сходства и отличия.
+ CDI бины: именование бинов, аннотация @Alternative</t>
      </text>
    </comment>
    <comment authorId="0" ref="AM6">
      <text>
        <t xml:space="preserve">ППА1</t>
      </text>
    </comment>
    <comment authorId="0" ref="AO6">
      <text>
        <t xml:space="preserve">+ CSRF
+ Аутентификация vs Авторизация
+ REST API. Как лучше проектировать URI для REST API: /api/check vs /api/points? Где хранить радиус - в теле, query-параметре или path?
+ GET /delete-this-thing-please?id=1 vs DELETE /things/1
- ?
- ?
</t>
      </text>
    </comment>
    <comment authorId="0" ref="AQ6">
      <text>
        <t xml:space="preserve">ППА1
</t>
      </text>
    </comment>
    <comment authorId="0" ref="AX6">
      <text>
        <t xml:space="preserve">А1 - неявка
А2 - неявка
А3 - 4.5</t>
      </text>
    </comment>
    <comment authorId="0" ref="AY6">
      <text>
        <t xml:space="preserve">А1 - 5
А2 - неявка
А3 - 4.5</t>
      </text>
    </comment>
    <comment authorId="0" ref="AC7">
      <text>
        <t xml:space="preserve">+ отображать точки на координатной плоскости
+ выводить все ошибки (почитать про problem json), для бэкенда тоже
+ исправить валидацию
+ не обрезать точность чисел
+ в варианте GET-запрос, не должно работать для POST-а
+ Идемпотентные запросы, безопасные методы
+ Fetch API
+ промисы
+ DOM &amp; document
</t>
      </text>
    </comment>
    <comment authorId="0" ref="AD7">
      <text>
        <t xml:space="preserve">+ выбрать, настроить и использовать линтер
+ сохранять все предыдущие запросы (и после перезагрузки сервера)
+ зеркальный фон (пользователь видит себя на фоне)
+ кнопка убегает от пользователя при попытке ее нажать</t>
      </text>
    </comment>
    <comment authorId="0" ref="AG7">
      <text>
        <t xml:space="preserve">+ исправить повторную отправку формы
---
+ почему micronaut быстрый
+ model 1 &amp; model 2
+ jsp el
+ http servlet
+ Как JSP-страница преобразуется в сервлет? На каком этапе происходит эта трансляция?
+ Отличие сервера приложений от веб-сервера</t>
      </text>
    </comment>
    <comment authorId="0" ref="AH7">
      <text>
        <t xml:space="preserve">+ Переписать бэкенд на Helidon/Micronaut
+ OpenAPI документация для API</t>
      </text>
    </comment>
    <comment authorId="0" ref="AK7">
      <text>
        <t xml:space="preserve">+ Ссылку, позволяющую перейти на основную страницу приложения
+ Цвет точек должен зависеть от факта попадания / непопадания в область
+ Развернуть на Helios
---
+ Жизненный цикл JSF-запроса? Опишите его фазы и их назначение
+ Как JPA-провайдер взаимодействует с JDBC-драйвером СУБД? Какие уровни абстракции существуют между бизнес-логикой и физическим доступом к данным?
+ Как JPA-провайдер (например, Hibernate) использует DataSource, настроенный в WildFly? Как указать в persistence.xml, что нужно использовать JTA-источник данных?
+ Что такое "batch processing" в JPA/Hibernate?
+ Что такое "View Parameters" (&lt;f:viewParam&gt;) и как они используются для создания RESTful URL в JSF?
+ Как работает оптимистическая блокировка через аннотацию @Version?
+ Что такое Embeddable классы в JPA и когда их следует использовать?
+ Почему стратегия IDENTITY несовместима с batch-вставками в Hibernate? Как это влияет на производительность при массовом сохранении сущностей?</t>
      </text>
    </comment>
    <comment authorId="0" ref="AL7">
      <text>
        <t xml:space="preserve">+ Разработка собственного расширения на C для проверки попадания. Написать PostgreSQL extension на C, реализующий функцию point_in_custom_region(x float, y float, params jsonb) RETURNS bool. Скомпилировать, установить, протестировать.
+ Использование расширения PostGIS для геометрической проверки попадания
+ Сравнить реализации</t>
      </text>
    </comment>
    <comment authorId="0" ref="AO7">
      <text>
        <t xml:space="preserve">+ Сообщения об ошибках
+ Не логировать пароли
+ Хэш пароля SHA-256 -&gt; bcrypt/pbkdf2/argon2/etc
+ ТОКЕН - ID ПОЛЬЗОВАТЕЛЯ?!
---
+ Как работает JWT?
+ Как реализовать идемпотентность REST-операций, если клиент может повторно отправить POST-запрос из-за таймаута?
+ Почему Angular не может выполнить change detection для компонента, если он был создан динамически через ViewContainerRef без явного подключения к ChangeDetectorRef?
+ Есть ли в Angular VDOM? Что используется вместо него? Incremental DOM.
+ Шаблоны и представление в Angular
+ JAX-RS. Основные аннотации и компоненты</t>
      </text>
    </comment>
    <comment authorId="0" ref="AP7">
      <text>
        <t xml:space="preserve">+ JWT-токены: короткоживущий access-токен и долгоживущий refresh-токен
+ Выход со всех устройств, централизованная инвалидация сессий. При клике на кнопку "Выйти со всех устройств" в БД обновляется поле user.sessionVersion++, Все существующие JWT проверяют, что sessionVersion в токене совпадает с текущим, если нет - токен отклоняется
+ Интеграция с почтой для OTP. На стартовой странице ссылка "Забыли пароль?". Ввод логина -&gt; генерация временного токена (действует 10 минут), токен сохраняется в БД. Пользователь получает письмо. По ссылке /reset?token=... - форма смены пароля</t>
      </text>
    </comment>
    <comment authorId="0" ref="AC8">
      <text>
        <t xml:space="preserve">+ ПЕРЕЧИТАТЬ ЗАДАНИЕ ЛАБОРАТОРНОЙ РАБОТЫ
+ корректная валидация (и на сервере тоже)
+ отображать точки на координатной плоскости
+ обосновать Thread.sleep в main
+ все предыдущие результаты должны сохраняться между запросами и отображаться в таблице (в json файл)
---
+ CSS-анимации
+ Версии ECMAScript, новые возможности ES6 и ES7.
+ event loop
+ CGI &amp; FastCGI
+ Как общается веб-сервер с FastCGI-приложением, records
+ BOM
+ Cookies</t>
      </text>
    </comment>
    <comment authorId="0" ref="AD8">
      <text>
        <t xml:space="preserve">+ Добавить Яндекс Метрику
+ Соответствие сервиса 152 ФЗ</t>
      </text>
    </comment>
    <comment authorId="0" ref="AG8">
      <text>
        <t xml:space="preserve">+ AreaCheckServlet возвращает отдельную страницу
+ Клик курсором мыши по изображению должен обрабатываться JavaScript-функцией, определяющей координаты точки, по которой кликнул пользователь и отправляющей полученные координаты на сервер для проверки факта попадания
+ список результатов хранится в контексте
+ Метод HTTP: POST
---
+ Как контейнер сервлетов управляет экземплярами сервлетов? Создаётся ли новый экземпляр для каждого запроса?
+ Что такое фильтр сервлета?
+ Что такое ServletContextListener и как можно использовать его для выполнения инициализации на уровне всего приложения?
+ Что такое listeners в веб-приложениях? Какие события они могут отслеживать (например, создание сессии, инициализация контекста)?
+ Опишите структуру .war-файла. Какие каталоги и файлы в него входят и какую роль играет web.xml?
+ Bean-компоненты и их использование в JSP</t>
      </text>
    </comment>
    <comment authorId="0" ref="AH8">
      <text>
        <t xml:space="preserve">+ При каждой проверке публиковать CDI-событие PointCheckedEvent. Отдельный @Observes-метод сохраняет результат в историю, логирует, отправляет метрику. Показать декуплинг логики без прямых вызовов.
+ Web-hook для загрузки данных</t>
      </text>
    </comment>
    <comment authorId="0" ref="AK8">
      <text>
        <t xml:space="preserve">+ Слайдер на X
---
+ Концепция ORM. Библиотеки ORM в приложениях на Java. Основные API. Интеграция ORM-провайдеров с драйверами JDBC.
+ Представление страницы JSF на стороне сервера. Класс UIViewRoot.
+ Технология JavaServer Faces. Особенности, отличия от сервлетов и JSP, преимущества и недостатки. Структура JSF-приложения.
+ Навигация в JSF-приложениях.
</t>
      </text>
    </comment>
    <comment authorId="0" ref="AL8">
      <text>
        <t xml:space="preserve">+ Реализация "architectural decision records (ADR) as live documentation". Каждое ключевое решение ("почему выбран JSF", "почему радиус &gt; 0") фиксируется в формате MADR в репозитории. JSF-приложение динамически читает ADR-файлы и отображает их на странице "Архитектура".
- При изменении ADR - интерфейс обновляется без перезапуска
+- Интеграция с системой управления знаниями (Wiki.js или Notion API). Каждый результат содержит ссылку на "обучающую статью" из внутренней Wiki: например, при радиусе = 3 -&gt; ссылка на статью "Свойства окружности". Статьи обновляются независимо. Поддержка embedded preview (iframe или API-рендеринг)</t>
      </text>
    </comment>
    <comment authorId="0" ref="AO8">
      <text>
        <t xml:space="preserve">---
+ Angular: архитектура и основные принципы разработки приложений.
+ Компоненты EJB. Stateless &amp; Stateful Session Beans. EJB Lite и EJB Full.
+ Веб-сервисы. Технологии JAX-RS и JAX-WS.
+ Как клиент должен реагировать на 401 vs 403?
</t>
      </text>
    </comment>
    <comment authorId="0" ref="AC9">
      <text>
        <t xml:space="preserve">+ error message для невалидных данных
+ придумать, как хранить результаты
---
+ Что такое canvas?
+ Что такое event loop в JavaScript? Как он связан с асинхронностью, коллбэками, промисами и очередью задач (task queue)?
+ URL, URI
+ URN
+ Что такое MIME-типы?</t>
      </text>
    </comment>
    <comment authorId="0" ref="AD9">
      <text>
        <t xml:space="preserve">+ Сделать из фронтенда 3D игру с помощью threejs. Стрельба по графику == нажатие</t>
      </text>
    </comment>
    <comment authorId="0" ref="AG9">
      <text>
        <t xml:space="preserve">---
+ HTTP-сессии - назначение, взаимодействие сервлетов с сессией, способы передачи идентификатора сессии
+ Опишите структуру .war-файла. Какие каталоги и файлы в него входят и какую роль играет web.xml?
+ Что такое фильтр сервлета? Приведите примеры его практического использования. doFilter()
+ Объясните разницу между методами service(), doGet() и doPost() в сервлете. Когда и какой метод вызывается?
+ Отличие сервера приложений от веб-сервера</t>
      </text>
    </comment>
    <comment authorId="0" ref="AH9">
      <text>
        <t xml:space="preserve">+ Интегрировать Rollbar ~~Sentry~~ или аналог для фронтенда - ловить и отправлять JS-ошибки, включая ошибки валидации и таймауты AJAX.
+ Написать consumer-тест для фронтенда (JSP/AJAX), который описывает ожидания от /api/check. Запустить mock-сервер Pact, проверить, что бэкенд соответствует контракту. Интегрировать в Maven.</t>
      </text>
    </comment>
    <comment authorId="0" ref="AK9">
      <text>
        <t xml:space="preserve">+ Для управления списком результатов должен использоваться Session-scoped Managed Bean
---
+ Что такое жизненный цикл JSF-запроса? Опишите его фазы и их назначение.
+ Process validation phase, Update module values phase
+ Фаза получения значений компонентов (Apply Request Values Phase)
+ Шаблоны MVVM и MVP. Сходства и отличия от MVC
+ Как JPA обрабатывает наследование? Какие стратегии отображения иерархий классов на таблицы существуют (SINGLE_TABLE, JOINED, TABLE_PER_CLASS)?
+ Какие атрибуты транзакций существуют в EJB/JTA? Приведите примеры, когда стоит использовать REQUIRES_NEW.
+ Объясните, как работает "ленивая загрузка" (Lazy Loading) связанных коллекций в JPA/Hibernate. Какие проблемы производительности она может вызвать и как их избежать (проблема N+1 запроса)?</t>
      </text>
    </comment>
    <comment authorId="0" ref="AL9">
      <text>
        <t xml:space="preserve">+ Настройка synchronous replication с quorum commit и zero data loss SLA. Сконфигурировать кластер из 3+ нод с synchronous_standby_names = ANY 2 (node1, node2, node3), чтобы гарантировать, что транзакция фиксируется минимум на двух репликах. Протестировать отказ одного узла без потери данных
+ Из приложения подключаться не к какой-то из конкретных нод, а к любой живой (использовать pgpool-II или pgbouncer)</t>
      </text>
    </comment>
    <comment authorId="0" ref="AO9">
      <text>
        <t xml:space="preserve">+ Обе страницы приложения должны быть адаптированы для отображения в 3 режимах
+ ПОЧИНИТЬ ЛАБУ
---
+ Для чего нужен key в React. Что такое Reconciliation и как он работает?
+ Как React Fiber reconciler использует двойное дерево (work-in-progress и current) для атомарного коммита изменений и отката при ошибке?
+ Профили и платформы Java EE
+ Зачем нужны useMemo и useCallback?
+ Как JavaMail API поддерживает отправку multipart-сообщений (например, с вложениями) в enterprise-приложении, и какие MIME-типы используются для структурирования тела письма?
+ Как CSP (Content Security Policy) предотвращает XSS, и почему nonce-based подход безопаснее, чем white-list доменов?</t>
      </text>
    </comment>
    <comment authorId="0" ref="AP9">
      <text>
        <t xml:space="preserve">+ Построение spatial-индекса на сервере (R-tree через PostGIS) + клиентская оптимизация через tile-based rendering.
+ В PostgreSQL включите PostGIS. Точки хранятся как GEOMETRY(POINT).
+ При запросе сервер возвращает только точки в текущем viewport через ST_Within(viewport_bbox, point). На фронтенде tile-система (как в картах): холст делится на тайлы, каждый запрашивается отдельно
+ Поддержка zoom с перерасчётом тайлов и кэшированием</t>
      </text>
    </comment>
    <comment authorId="0" ref="AX9">
      <text>
        <t xml:space="preserve">А1 - 4.5
А2 - 6</t>
      </text>
    </comment>
    <comment authorId="0" ref="AC10">
      <text>
        <t xml:space="preserve">+ отображать точки на координатной плоскости
+ сообщения об ошибках вынести из alert на саму страницу, выводить все текущие ошибки (почитать про problem json)
+ все предыдущие результаты должны сохраняться между запросами и отображаться в таблице
+ проверка метода запроса на бэке
+ не обрезать точность чисел
+ исправить добавление некорректных запросов в таблицу
+ Что такое FastCGI Record? Из каких частей он состоит? Какие типы записей бывают?
+ Как в FastCGI-сервере на Java извлечь параметры запроса? Где они хранятся и как парсятся?
+ CORS, preflight</t>
      </text>
    </comment>
    <comment authorId="0" ref="AD10">
      <text>
        <t xml:space="preserve">+ Добавить Thread.sleep на вычисление попадания.
Кэшировать запросы (redis/memcached), показывать локально. Замерить время выполнения без/с кэшированием на большом количестве запросов, показать что и где поменялось.</t>
      </text>
    </comment>
    <comment authorId="0" ref="AG10">
      <text>
        <t xml:space="preserve">+ Убрать единственный оставшийся alert
+ Разобраться с бином
---
+ Как работает JSP
+ Почему RequestDispatcher через контекст сервлета можно получить только по абсолютному пути?
+ Стандартные теги JSP
+ Какие есть реализации интерфейса javax.servlet.Servlet
+ Filter, FilterChain</t>
      </text>
    </comment>
    <comment authorId="0" ref="AH10">
      <text>
        <t xml:space="preserve">+ Мониторинг &amp; работа с логами через Elasticsearch + Logstash + Kibana + Beats
</t>
      </text>
    </comment>
    <comment authorId="0" ref="AK10">
      <text>
        <t xml:space="preserve">+ интерактивные часы обновляются раз в 11 секунд
+ валидация Y (если компонент допускает ввод заведомо некорректных данных, то приложение должно осуществлять их валидацию)
---
+ Что такое CDI (Contexts and Dependency Injection) и как он соотносится с JSF Managed Beans?
+ Что такое состояние сущности в JPA (transient, managed, detached, removed)? Как жизненный цикл сущности связан с EntityManager и транзакциями?
+ Что такое UIViewRoot и какую роль он играет в представлении страницы на стороне сервера?
+ Как JPA стандартизирует работу с ORM? Зачем использовать JPA вместо прямого API конкретного провайдера (например, Hibernate)?
+ Что такое Native Queries в JPA и когда их использование оправдано?
- Как настраивается навигация между страницами в JSF? Какие возможности предоставляет файл faces-config.xml для управления маршрутами?</t>
      </text>
    </comment>
    <comment authorId="0" ref="AL10">
      <text>
        <t xml:space="preserve">+ Реализация распределённой XA-транзакции между PostgreSQL и MinIO через Narayana/JTA. При сохранении результата: запись в PostgreSQL (через EclipseLink), одновременная запись SVG-изображения графика в MinIO как объект с идентификатором результата. Обе операции должны быть атомарны: при сбое - откат обеих. Использовать Narayana JTA с кастомным XAResource для MinIO (эмуляция через двухфазный протокол поверх временных объектов и метаданных)</t>
      </text>
    </comment>
    <comment authorId="0" ref="AO10">
      <text>
        <t xml:space="preserve">+ Убрать alert
+ Доступ авторизованных пользователей к странице логина должен быть запрещён
+ Валидация логина и пароля
+ Исправить предупреждения Vue
---
+ Почему Vue не может отслеживать изменения массива по индексу (arr[0] = val) или длине (arr.length = 0) в Vue 2, и как это компенсируется в Vue 3 через Proxy?
+ Как вы решаете какой бин инжектить, если у вас несколько подходящих бинов. Расскажите о @Primary и @Qualifier?
+ JDK dynamic proxy vs CGLib proxy
+ Типы scope-ов
+ Почему передача токена в URL (например, ?token=...) опасна даже при HTTPS?
+ Технология RMI. Использование RMI в Java EE</t>
      </text>
    </comment>
    <comment authorId="0" ref="AP10">
      <text>
        <t xml:space="preserve">+ Синхронизация истории между устройствами через Conflict-Free Replicated Data Type
+ Разрешите пользователю работать оффлайн: все действия сохраняются локально в IndexedDB, При восстановлении соединения история синхронизируется с сервером, Но вместо простого "последний выигрывает", используйте CRDT (например, LWW-Element-Set) для разрешения конфликтов (например, две точки добавлены на разных устройствах)
+ Бэкенд реализует CRDT-логику поверх PostgreSQL с использованием jsonb и временных меток Lamport
+ PWA
+ Авторизация через Google</t>
      </text>
    </comment>
    <comment authorId="0" ref="AW10">
      <text>
        <t xml:space="preserve">не был очно</t>
      </text>
    </comment>
    <comment authorId="0" ref="AC11">
      <text>
        <t xml:space="preserve">+ чекбокс по варианту
+ не обрезать точность чисел
+ placeholder для Y
---
+ HTTP
+ URL, URN, URI
+ Зачем нужны 1хх коды ответа
+ Что такое event loop в JavaScript? Как он связан с асинхронностью, коллбэками, промисами и очередью задач (task queue)?
+ В чем разница между let, const и var? Как работает hoisting? Что такое временная мертвая зона (TDZ)? Глобальные переменные.</t>
      </text>
    </comment>
    <comment authorId="0" ref="AD11">
      <text>
        <t xml:space="preserve">+ Отслеживание взгляда пользователя и постановка точки при моргании, предпоказ текущей точки
+ Отправлять видеопоток на бэк/обработка на фронте - по выбору студента</t>
      </text>
    </comment>
    <comment authorId="0" ref="AG11">
      <text>
        <t xml:space="preserve">+ разобраться с bean'ом
+ исправить повторную отправку формы
---
+ Архитектура веб-приложений. Шаблон MVC. Архитектурные модели Model 1 и Model 2 и их реализация на платформе Java EE.
- Жизненный цикл JSP и сервлетов
+ Опишите структуру .war-файла. Какие каталоги и файлы в него входят и какую роль играет web.xml?
+ Что такое JNDI (Java Naming and Directory Interface) и какую роль он играет в Java EE-приложениях?
+ HTTP сессия, когда создается, как в сервлете с ней взаимодействовать, url rewriting cookie
- Альтертивы логистической регрессии
+ Механизм логистической регрессии
</t>
      </text>
    </comment>
    <comment authorId="0" ref="AH11">
      <text>
        <t xml:space="preserve">+ Предсказание "попадёт ли пользователь в следующий раз". Обучить бинарный классификатор (логистическая регрессия) на истории кликов пользователя: признаки — предыдущие (x, y, r), результаты, временные интервалы. Сервлет вызывает модель и возвращает прогноз в интерфейс: "Вероятность попадания: 78%".
+ Использовать Tribuo (ML-библиотека от Oracle) или Weka для инференса.
Модели сохраняются в .model-файлы и кладутся в src/main/resources.
В сервлете — загрузка модели при инициализации (init()), вызов .predict() на каждом запросе
+ Никакого Python, только Java</t>
      </text>
    </comment>
    <comment authorId="0" ref="AK11">
      <text>
        <t xml:space="preserve">+ Проверить на наличие N+1 запросов
---
+ Что такое проблема N+1? Почему она возникает? Какие стратегии загрузки (LAZY, EAGER) влияют на её появление? Как её можно избежать?
+ Что такое состояние сущности в JPA (transient, managed, detached, removed)? Как жизненный цикл сущности связан с EntityManager и транзакциями?
+ Концепция ORM. Библиотеки ORM в приложениях на Java. Основные API. Интеграция ORM-провайдеров с драйверами JDBC.
+ Технология JPA. Особенности, API, интеграция с ORM-провайдерами.
+ Что такое CDI и как он интегрируется с JSF Managed Beans?
+ Навигация в JSF-приложениях.
+ Что такое фильтры в Hibernate и для каких сценариев они предназначены?
+ Что такое Embeddable классы в JPA и когда их следует использовать?</t>
      </text>
    </comment>
    <comment authorId="0" ref="AL11">
      <text>
        <t xml:space="preserve">+ Построение self-adaptive системы с reinforcement learning. Система сама подстраивает параметры: если пользователь часто ошибается - временно увеличивает радиус для обучения, если нагрузка высока переключается на приближённую проверку (например, bounding box), обучение происходит через online RL-агент (например, на Python-бэкенде с Kafka-обменом)</t>
      </text>
    </comment>
    <comment authorId="0" ref="AO11">
      <text>
        <t xml:space="preserve">---
+ Для чего нужен key в React? Что такое Reconciliation и как он работает?
+ Способы задания конфигурации в Spring
+ Как работает BeanPostProcessor? Spring AOP
+ Почему React не может обновлять компонент, если состояние изменяется мутативно, и как это связано с алгоритмом shallow comparison?
+ Load-time weaving в Spring
+ Во что превращается JSX?</t>
      </text>
    </comment>
    <comment authorId="0" ref="AP11">
      <text>
        <t xml:space="preserve">+ Вместо хранения логина и хеша в одной таблице реализуйте трёхкомпонентную модель: Principal - абстрактный идентификатор (user_id, UUID, не email!), Credential - способ подтверждения (пароль, TOTP, recovery code), Evidence - доказательство владения (например, HMAC(challenge, secret)). Позвольте пользователю иметь несколько независимых учётных данных (например, пароль + 3 резервных кода). Удаление одного способа не блокирует вход. Вся логика через CDI-бин-стратегии. Почитать про FIDO2/WebAuthn
+ Валидация форм через Zod</t>
      </text>
    </comment>
    <comment authorId="0" ref="AC12">
      <text>
        <t xml:space="preserve">- y не только целые числа
- не обрезать точность чисел
- в варианте GET-запрос, не должно работать для POST-а
- все предыдущие результаты должны сохраняться между запросами и отображаться в таблице</t>
      </text>
    </comment>
    <comment authorId="0" ref="AD12">
      <text>
        <t xml:space="preserve">- Переписать фронтенд на CoffeeScript / PureScript
- Реализовать мультиязычность (i18n): переключение между русским, английским и эсперанто с сохранением языка в localStorage</t>
      </text>
    </comment>
    <comment authorId="0" ref="AC13">
      <text>
        <t xml:space="preserve">+ не обрезать точность чисел
+ убрать футер или реализовать всё, что там находистя
+ с сервера возвращать список ошибок, а не по одной
---
+++
+ Протокол HTTP 
+ DOM
+ Что такое event delegation? 
+ Что такое контекст наложения в CSS?
+ TRACE, CONNECT, OPTIONS, HEAD</t>
      </text>
    </comment>
    <comment authorId="0" ref="AD13">
      <text>
        <t xml:space="preserve">1) локально
+ Поднять 100 инстансов бэкенда
+ Kubernetes
+ Traefik LB
2) на helios
+ GitHub Actions CI/CD, деплой на гелиос</t>
      </text>
    </comment>
    <comment authorId="0" ref="AG13">
      <text>
        <t xml:space="preserve">+ Разобраться с bean'ом
---
+ Архитектура веб-приложений. Шаблон MVC. Архитектурные модели Model 1 и Model 2 и их реализация на платформе Java EE.
+ Что такое JavaBean и как он используется в контексте веб-приложений и JSP? Какие соглашения должен соблюдать класс, чтобы считаться JavaBean?
+ Когда и зачем вызывается метод destroy() у сервлета? Какие действия следует выполнять в этом методе?
+ Почему разделяемое состояние (например, статические поля в сервлетах) может привести к ошибкам в многопользовательской среде?
+ Что такое RequestDispatcher и чем его использование (forward vs include) отличается от sendRedirect?
+ Как можно обработать ошибки (например, 404 или 500) на уровне веб-приложения с помощью сервлетов и web.xml?</t>
      </text>
    </comment>
    <comment authorId="0" ref="AH13">
      <text>
        <t xml:space="preserve">+ По клику на среднюю кнопку мыши, показать место курсора
+ GitOps-развёртывание через Argo CD Написать Helm-chart для WildFly + вашего приложения. Настроить Argo CD на отслеживание репозитория. При пуше в ветку main/master автоматический деплой в Minikube/OpenShift</t>
      </text>
    </comment>
    <comment authorId="0" ref="AK13">
      <text>
        <t xml:space="preserve">+ Ссылка, позволяющая перейти на основную страницу приложения
+ Ссылка, позволяющая вернуться на стартовую страницу
+ Не дублировать запрос
---
+ Что такое Resource Handling в JSF и как организовать управление статическими ресурсами (CSS, JS, изображения)?
+ Как создать собственный конвертер или валидатор? В каких сценариях это может потребоваться?
+ Какие риски возникают при передаче управляемых (managed) сущностей в UI-слой (например, в JSF)? Почему лучше использовать отсоединённые объекты или DTO?
+ Что такое @ViewScoped и чем он отличается от @RequestScoped и @SessionScoped?
+ Класс FacesServlet - назначение, особенности конфигурации
+ Фаза получения значений компонентов (Apply Request Values Phase)</t>
      </text>
    </comment>
    <comment authorId="0" ref="AL13">
      <text>
        <t xml:space="preserve">+ Вынести проверку попадания в отдельный сервис
+ Использовать k8s; Istio как service mesh; Envoy sidecar к сервисам
+ Динамическое обнаружение сервисов, балансировки нагрузки и масштабирование сервиса проверки попаданий</t>
      </text>
    </comment>
    <comment authorId="0" ref="AO13">
      <text>
        <t xml:space="preserve">+ Развернуть на helios
+ Набор полей ввода по варианту
+ Нажатие на график - точка
+ Добавить пагинацию
+ В поле ввода y только числа
+ Добавить отображение пользователя на страницу
+ Синхронизация между двумя окнами
+ Логаут из аккаунта после смены токена
+ Отражение графика при значении R &lt; 0
+ Разные хеши паролей для одинаковых паролей двух пользователей
----
+ Компоненты React. "Умные" и "глупые" компоненты.
+ JSX. Применение в React
+ Платформа Java EE. Спецификации и их реализации
- Что такое Spring MVC?
</t>
      </text>
    </comment>
    <comment authorId="0" ref="AP13">
      <text>
        <t xml:space="preserve">+ Многостадийный GitOps-пайплайн (ArgoCD + Tekton)
+ Автоматическое Canary-развертывание
+ Управление Feature Flags с A/B-тестированием</t>
      </text>
    </comment>
    <comment authorId="0" ref="AC14">
      <text>
        <t xml:space="preserve">-- не обрезать точность чисел
+ в варианте POST-запрос, не должно работать для GET-а
- объяснить, как работает свой код
+- все предыдущие результаты должны сохраняться между запросами и отображаться в таблице
---
+ В чем разница между let, const и var? Как работает hoisting? Что такое временная мертвая зона (TDZ)?
+ Http заголовки
+ Http методы и идемпонентность
+ Css сила селекторов и 5 источников стилей css для
+ Long polling
+ URI, URL, URN</t>
      </text>
    </comment>
    <comment authorId="0" ref="AD14">
      <text>
        <t xml:space="preserve">+ Рисовать область и точки на ней
+ Реализовать "режим виртуальной линейки": при наведении мыши на график отображается сетка с координатами в реальном времени (как в фотошопе)
+ Реализовать "режим дебага": если в запросе есть ?debug=true и заголовок X-Debug-Token=secret - сервер возвращает не только результат, но и внутренние метрики (время валидации, время вычисления, использованная память, номер потока).</t>
      </text>
    </comment>
    <comment authorId="0" ref="AG14">
      <text>
        <t xml:space="preserve">+ исправить повторную отправку формы
---
+ Как контейнер сервлетов управляет экземплярами сервлетов? Создаётся ли новый экземпляр для каждого запроса?
+ Что такое слушатели (listeners) в веб-приложениях? Какие события они могут отслеживать? Как можно использовать ServletContextListener для выполнения инициализации на уровне всего приложения?
+ Что такое фильтр сервлета? Приведите примеры его практического использования.
+ Как фильтры участвуют в цепочке обработки запроса? В чём разница между doFilter() и передачей управления следующему элементу цепочки?
+ Как можно обработать ошибки (например, 404 или 500) на уровне веб-приложения с помощью сервлетов и web.xml?
+ Архитектура веб-приложений. Шаблон MVC. Архитектурные модели Model 1 и Model 2 и их реализация на платформе Java EE
+ Что такое RequestDispatcher и чем его использование (forward vs include) отличается от sendRedirect?</t>
      </text>
    </comment>
    <comment authorId="0" ref="AH14">
      <text>
        <t xml:space="preserve">+ Настроить Open Policy Agent как sidecar или отдельный сервис. WildFly перед отправкой ответа запрашивает у OPA: "Можно ли показывать этот результат?" (например, по гео-политике). Политики в формате Rego</t>
      </text>
    </comment>
    <comment authorId="0" ref="AK14">
      <text>
        <t xml:space="preserve">---
+- Шаблоны MVVM и MVP. Сходства и отличия от MVC
+ Чем отличается Statement от PreparedStatement в JDBC?
+ Что такое транзакционный контекст? Как WildFly распространяет транзакцию между EJB-компонентами?
+ Технология JavaServer Faces. Особенности, отличия от сервлетов и JSP, преимущества и недостатки. Структура JSF-приложения
+ Какие ограничения накладывает пагинация по набору ключей (Keyset), когда её использовать? Какие преимущества и проблемы?
+ Что такое Listeners в JSF и какие типы слушателей поддерживаются?
</t>
      </text>
    </comment>
    <comment authorId="0" ref="AL14">
      <text>
        <t xml:space="preserve">+ Создание аудируемой системы с cryptographic audit trail (Merkle tree + blockchain-like log). Каждая запись в БД включает хеш предыдущей записи. Цепочка формирует Merkle tree. Пользователь может запросить "proof of inclusion" для своего результата - криптографическое доказательство, что запись не была изменена. Хранение корня дерева в отдельном защищённом хранилище (HashiCorp Vault)</t>
      </text>
    </comment>
    <comment authorId="0" ref="AO14">
      <text>
        <t xml:space="preserve">---
+ Компоненты React. State &amp; props. "Умные" и "глупые" компоненты.
+ Java EE API. Виды компонентов. Профили платформы Java EE.
+ Реализация IoC и CDI в Spring. Сходства и отличия с Java EE.
+ Как клиент должен реагировать на 401 vs 403?
</t>
      </text>
    </comment>
    <comment authorId="0" ref="AX14">
      <text>
        <t xml:space="preserve">А1 - 0
А2 - 6</t>
      </text>
    </comment>
    <comment authorId="0" ref="AY14">
      <text>
        <t xml:space="preserve">А1 - 2.96
А2 - 2.92
А3 - 6</t>
      </text>
    </comment>
    <comment authorId="0" ref="AC15">
      <text>
        <t xml:space="preserve">+ ПИСАТЬ ЛАБОРАТОРНУЮ РАБОТУ САМОСТОЯТЕЛЬНО
+ отображать точки на координатной плоскости
+ сообщения об ошибках вынести из alert на саму страницу, выводить все текущие ошибки (почитать про problem json)
+- не обрезать точность чисел
+ HTTPServer ?! - больше его нет
+- все предыдущие результаты должны сохраняться между запросами и отображаться в таблице
+ Данные формы должны передаваться на обработку посредством POST-запроса
+ Отступы элементов ввода должны задаваться в процентах.
---
+ CORS
+ Media-запросы
+ Как работает DNS-запрос? Какие типы записей (A, AAAA, CNAME и т.д.) участвуют, и зачем нужны DNS-кэши (браузер, ОС, резолвер)?
+ Почему использование HTTP/1.1 без keep-alive приводит к исчерпанию ephemeral-портов на клиенте при большом числе параллельных запросов?
+ Как FastCGI взаимодействует с веб-сервером (nginx/apache)? Опишите обмен данными через сокеты (Unix/TCP) и структуру FastCGI-запроса (роли, заголовки, тело).
- URL, URN, URI</t>
      </text>
    </comment>
    <comment authorId="0" ref="AD15">
      <text>
        <t xml:space="preserve">+ HTML-страница с Javadoc-документацией
+- Добавить PWA-функциональность: офлайн-доступ к последним результатам (service workers), иконка на домашнем экране, push-уведомления при “попадании в яблочко + workbox</t>
      </text>
    </comment>
    <comment authorId="0" ref="AG15">
      <text>
        <t xml:space="preserve">+ не дублировать запрос на странице результата
---
+ Жизненный цикл JSP
+ Как создать собственный тег в JSP? Какие два основных способа существуют и в чём их отличия?
+ Опишите структуру .war-файла. Какие каталоги и файлы в него входят и какую роль играет web.xml?
+ Что такое CSRF (Cross-Site Request Forgery) и как можно защитить от него сервлет?
+ Архитектура веб-приложений. Шаблон MVC. Архитектурные модели Model 1 и Model 2 и их реализация на платформе Java EE.
+ Что такое JSTL (JavaServer Pages Standard Tag Library)? Опишите основные библиотеки (core, fmt, sql) и приведите примеры использования тегов из c: namespace.
</t>
      </text>
    </comment>
    <comment authorId="0" ref="AH15">
      <text>
        <t xml:space="preserve">+ Реализовать фильтр, который оборачивает HttpServletResponse в GZIPOutputStream, если клиент поддерживает Accept-Encoding: gzip. Применять только к текстовым ответам (&gt;1 КБ).
+ Использовать на главной странице JSP + Vue</t>
      </text>
    </comment>
    <comment authorId="0" ref="AK15">
      <text>
        <t xml:space="preserve">+ Навигация в JSF-приложениях
+ Конвертеры и валидаторы данных
+ Технология JPA. Особенности, API, интеграция с ORM-провайдерами
+ Конфигурация JSF-приложений. Файл faces-config.xml. Класс FacesServlet</t>
      </text>
    </comment>
    <comment authorId="0" ref="AO15">
      <text>
        <t xml:space="preserve">---
+ Компоненты React. State &amp; props. "Умные" и "глупые" компоненты.
+ Как в JAX-RS (Java EE) реализуется REST API, и какие аннотации используются для маршрутизации и обработки HTTP-запросов?
+ Платформа Java EE. Спецификации и их реализации.
</t>
      </text>
    </comment>
    <comment authorId="0" ref="AQ15">
      <text>
        <t xml:space="preserve">ППА1</t>
      </text>
    </comment>
    <comment authorId="0" ref="AX15">
      <text>
        <t xml:space="preserve">А1 - 0
А2 - неявка
А3 - 6</t>
      </text>
    </comment>
    <comment authorId="0" ref="AC16">
      <text>
        <t xml:space="preserve">+ :has() css синтаксис для дочерних элементов
+ hint для y от -5 до 5
+ отдельно показывать какое поле надо заполнить
+ через js логика ввода для y (только цифры и точки запятые)
+ валидация y сразу после ввода, перенести сообщение об ошибке
---
+ CSS
+ AJAX
+ Media-запросы
+ Промисы
+ Event loop (microtask queue &amp; task queue)
+ Что такое FastCGI Record? Из каких частей он состоит? Какие типы записей бывают?
</t>
      </text>
    </comment>
    <comment authorId="0" ref="AD16">
      <text>
        <t xml:space="preserve">+ Если батарея ноутбука &lt; 20% (проверка через Battery Status API) - интерфейс переключается в монохром, отключаются анимации, фон становится чёрным, все запросы кэшируются локально и отправляются пачкой при зарядке &gt; 50%.
+ При каждом запросе сервер проверяет IP через публичный API угроз (например, AbuseIPDB), и если IP в чёрном списке - возвращает 403 с капчей и логирует инцидент в отдельный файл с timestamp и user-agent</t>
      </text>
    </comment>
    <comment authorId="0" ref="AG16">
      <text>
        <t xml:space="preserve">+ AreaCheckServlet возвращает отдельную страницу
---
+ Жизненный цикл JSP
+ Опишите жизненный цикл сервлета. Какие методы вызываются контейнером и в каком порядке?
+ Опишите структуру .war-файла. Какие каталоги и файлы в него входят и какую роль играет web.xml?
+ Объясните  Events в контексте сервлетов. Какие события могут происходить в жизненном цикле сервлета, сессии или приложения?
+ В чём разница между Jakarta EE и Java EE?</t>
      </text>
    </comment>
    <comment authorId="0" ref="AH16">
      <text>
        <t xml:space="preserve">+ WASM-фильтр в Envoy для предварительной валидации. Написать фильтр на Rust, скомпилировать в WASM, загрузить в Envoy (перед WildFly). Фильтр проверяет: r &gt; 0, x в [-5;5] — и отклоняет запрос до попадания в Java. Интеграция через Proxy-Wasm.
+ Добавить в каждый лог-запись уникальный requestId (UUID), генерируемый в начале обработки запроса. Использовать org.jboss.logmanager.MDC.</t>
      </text>
    </comment>
    <comment authorId="0" ref="AK16">
      <text>
        <t xml:space="preserve">+ Добавить Application-scoped bean
---
+ Что такое Entity Lifecycle Callbacks и какие аннотации используются для обработки событий жизненного цикла сущности JPA?
+ Как работает пагинация?
+ Каковы фундаментальные ограничения подхода LIMIT + OFFSET для пагинации и почему его производительность деградирует с ростом смещения? Проблема пропущенных или дублирующихся записей при изменении данных во время навигации пользователя. 
+ Пагинация по сегментам, курсорная, с помощью оконных функций
+ Навигация в JSF-приложениях
+ Что такое Criteria API? Чем он отличается от JPQL?
+ Как JPA определяет, к какому подтипу относится запись при использовании STI? Какую роль играет дискриминатор?</t>
      </text>
    </comment>
    <comment authorId="0" ref="AL16">
      <text>
        <t xml:space="preserve">+ Реализация строгой временной изоляции с использованием PostgreSQL temporal tables + JSF (PF) timeline UI. Пользователь может не только проверять точку "сейчас", но и задать временной контекст: "как выглядела область 3 дня назад при радиусе = 5?". Все параметры (включая форму фигуры) версионируются. JSF-интерфейс отображает timeline с возможностью перемотки.
+ Добавить анимацию появления новых строк в таблице результатов. При добавлении результата плавное появление строки. Использовать CSS transitions или PrimeFaces &lt;p:effect&gt;</t>
      </text>
    </comment>
    <comment authorId="0" ref="AO16">
      <text>
        <t xml:space="preserve">+ Отражение графика при значении R &lt; 0
+ Обе страницы приложения должны быть адаптированы для отображения в 3 режимах
---
+ Spring MVC: особенности, интеграция в Spring
+ Разметка страницы в React-приложениях. JSX
+ React. Особенности. Архитектура
+ Что такое Spring Boot? Стартеры
+ Что такое «умные» и «глупые» компоненты в React, и как это способствует разделению ответственности в приложении?
+ Профили и платформы Java EE
</t>
      </text>
    </comment>
    <comment authorId="0" ref="AP16">
      <text>
        <t xml:space="preserve">+ Quantum-safe криптография. Реализация: CRYSTALS-Kyber для key exchange, CRYSTALS-Dilithium для цифровых подписей, гибридные схемы (классические + квантово-безопасные)
+ Авторизация через Google</t>
      </text>
    </comment>
    <comment authorId="0" ref="AY16">
      <text>
        <t xml:space="preserve">А1 - 2.96
А2 - 6</t>
      </text>
    </comment>
    <comment authorId="0" ref="AC17">
      <text>
        <t xml:space="preserve">+ никаких alert'ов
 понятные error message'и
+ placeholder для Y
+ не обрезать точность чисел
+ все предыдущие результаты должны сохраняться между запросами и отображаться в таблице
+ рисовать точки на графике
---
+ HTML, DOM
+ Meta-тэги
+ HTML Semantic Elements
+ Опишите жизненный цикл HTTP-запроса: от ввода URL в адресной строке до отображения страницы в браузере. Какие этапы происходят на клиенте, а какие на сервере?</t>
      </text>
    </comment>
    <comment authorId="0" ref="AD17">
      <text>
        <t xml:space="preserve">+ SpotBugs
+ Переписать CSS на _SASS_/LESS
+ Добавить гифку сабвей серф, чтобы во время принятия лабы практик не отвлекался</t>
      </text>
    </comment>
    <comment authorId="0" ref="AG17">
      <text>
        <t xml:space="preserve">+ список результатов сохранять в контексте, а не в сессии
---
+ Жизненный цикл JSP
+ Как можно обработать ошибки (например, 404 или 500) на уровне веб-приложения с помощью сервлетов и web.xml?
+ Как фильтры участвуют в цепочке обработки запроса? В чём разница между doFilter() и передачей управления следующему элементу цепочки?
+ Опишите структуру .war-файла. Какие каталоги и файлы в него входят и какую роль играет web.xml</t>
      </text>
    </comment>
    <comment authorId="0" ref="AH17">
      <text>
        <t xml:space="preserve">+ Реализовать сервлет /export/pdf, который генерирует PDF с логотипом, ФИО студента, таблицей результатов и графиком (встроенным как изображение). Использовать iText 7 или Apache PDFBox.
+ Настроить HTTPS в WildFly: генерация самоподписанного сертификата, перенаправление HTTP -&gt; HTTPS.</t>
      </text>
    </comment>
    <comment authorId="0" ref="AK17">
      <text>
        <t xml:space="preserve">---
+ Что такое JPA? Как JPA соотносится с конкретными ORM-провайдерами, такими как Hibernate или EclipseLink?
+ В чём разница между управляемыми (managed) и отсоединенными (detached) сущностями в JPA?
+ Доступ к БД из Java-приложений. Протокол JDBC, формирование запросов, работа с драйверами СУБД.
+ Какие атрибуты транзакций (REQUIRED, REQUIRES_NEW, NOT_SUPPORTED и др.) существуют в EJB/JTA? Приведите примеры, когда стоит использовать REQUIRES_NEW.
+ Как осуществляется Schema Migration в проектах с JPA/Hibernate?
+ Что такое batch processing в JPA/Hibernate?</t>
      </text>
    </comment>
    <comment authorId="0" ref="AL17">
      <text>
        <t xml:space="preserve">+ Использовать Liquibase для миграций БД
+- Виртуализация таблицы результатов с поддержкой 10^6 строк через 
- Windowing + cursor-based pagination.
+ На фронтенде - виртуальный скролл: рендерятся только видимые строки. Высота строк - фиксированная, позиция - через transform. При скролле подгрузка новых окон без скачков
</t>
      </text>
    </comment>
    <comment authorId="0" ref="AO17">
      <text>
        <t xml:space="preserve">+ Доступ авторизованных пользователей к странице логина должен быть запрещён
+ Хэш пароля SHA-256 -&gt; bcrypt/pbkdf2/argon2/etc.
---
+ Двухфазные и трехфазные конструкторы в Java EE
+ Location Transparency в Java EE
+ Single Page Application(SPA): преимущества, недостатки
+ Что такое island architecture (Astro), и как она снижает объём JavaScript по сравнению с традиционным SPA или SSR-приложением?
+ Как Next.js или Nuxt.js реализуют гибридный рендеринг (SSR + SSG + CSR), и в каких сценариях каждый из режимов даёт максимальную отдачу по Core Web Vitals?
+</t>
      </text>
    </comment>
    <comment authorId="0" ref="AP17">
      <text>
        <t xml:space="preserve">+ Canvas-рендеринг области с WebGL (через regl или raw WebGL) для отрисовки тысяч точек. Используйте WebGL для batch-рендеринга точек (разный цвет = разный uniform), Поддержка zoom/pan через матрицы
+ Использование Angular Signals + RxJS для реактивного обновления холста при изменении состояния. Холст управляется через computed() сигнал, зависящий от results$
+ Парольная политика. При регистрации и смене пароля валидация по правилам: минимум 8 символов, хотя бы одна заглавная буква, хотя бы одна цифра, запрет на использование логина в пароле. Ошибки валидации понятные и по-русски</t>
      </text>
    </comment>
    <comment authorId="0" ref="AC18">
      <text>
        <t xml:space="preserve">+ никаких alert'ов
+ не обрезать точность чисел
+ валидация на сервере
+ корректное отображение предыдущих попыток после перезагрузки страницы
+ ознакомиться с лекциями 1-3 по Программированию
---
+ ecmascript разница версий
+ scss / sass пример минимум 50 строк с трансляцией в css
+ dom, bom, ecmascript связка
+ websockets
+ sse
+ 4 вида http headers с примерами
+ useragent из чего состоит
+ что нужно сделать чтобы настроить cors
+ CORS preflight
+ XSS: reflected, dom-based, stored</t>
      </text>
    </comment>
    <comment authorId="0" ref="AD18">
      <text>
        <t xml:space="preserve">+ Сделать кнопки внизу страницы кликабельными (+ звук)
+ Реализовать голосовой ввод координат через Web Speech API (например: "X минус два, Y три, R один") и автоматическую отправку</t>
      </text>
    </comment>
    <comment authorId="0" ref="AG18">
      <text>
        <t xml:space="preserve">+ исправить повторную отправку формы
---
+ Жизненный цикл JSP
+ Как фильтры участвуют в цепочке обработки запроса? В чём разница между doFilter() и передачей управления следующему элементу цепочки?
+ Диспетчеризация запросов в сервлетах
+ Какие механизмы используются для отслеживания сессии в веб-приложениях? Опишите работу сессионных куки и URL-rewriting.
+ Что такое JSTL и Expression Language (EL)? Как они способствуют разделению логики и представления?
+ Объясните разницу между директивами &lt;%@ page %&gt;, &lt;%@ include %&gt; и &lt;jsp:include&gt;. Когда использовать каждую?</t>
      </text>
    </comment>
    <comment authorId="0" ref="AH18">
      <text>
        <t xml:space="preserve">+ Grafana + Prometheus
+ Настроить Prometheus-метрики: экспорт количества запросов и ошибок через /metrics (использовать WildFly MicroProfile Metrics).</t>
      </text>
    </comment>
    <comment authorId="0" ref="AK18">
      <text>
        <t xml:space="preserve">+ Компонент допускает ввод заведомо некорректных данных (таких, например, как буквы в координатах точки или отрицательный радиус), то приложение должно осуществлять их валидацию
---
+ Как устроена иерархия классов компонентов в JSF? Как создаются и регистрируются пользовательские UI-компоненты?
+ Для чего используются конвертеры и валидаторы в JSF? Приведите примеры стандартных и кастомных реализаций.
+ Какие основные аннотации JPA используются для отображения Java-классов на таблицы базы данных? Приведите примеры
+ Аннотации
+ Какие стратегии кэширования поддерживаются в Hibernate/EclipseLink? Что такое L1 и L2 кэш?
+ Что такое DataSource? Зачем он нужен вместо прямого подключения?
+ Что такое Criteria API? Чем он отличается от JPQL? В каких случаях предпочтительнее использовать Criteria API?
</t>
      </text>
    </comment>
    <comment authorId="0" ref="AL18">
      <text>
        <t xml:space="preserve">+ Настройка synchronous replication с quorum commit и zero data loss SLA. Сконфигурировать кластер из 3+ нод с synchronous_standby_names = ANY 2 (node1, node2, node3), чтобы гарантировать, что транзакция фиксируется минимум на двух репликах. Протестировать отказ одного узла без потери данных
+ Использовать Flyway для миграций БД</t>
      </text>
    </comment>
    <comment authorId="0" ref="AO18">
      <text>
        <t xml:space="preserve">+ Доступ авторизованных пользователей к странице логина должен быть запрещён
+ Доступ неавторизованных пользователей к основной странице должен быть запрещён
+ Хэш пароля SHA-256 -&gt; pbkdf2/argon2
+ Исправить имена пакетов
+- Сделать REST
+ Исправить router
---
+- Что такое REST?
+ Компоненты React. State &amp; props. "Умные" и "глупые" компоненты
+ Архитектура Flux
+ Основные аннотации JAX-RS
+ Java EE API. Виды компонентов. Профили платформы Java EE
+ Почему для хэширования паролей желательнее использовать алгоритмы вроде bcrypt, а не sha-*?
</t>
      </text>
    </comment>
    <comment authorId="0" ref="AP18">
      <text>
        <t xml:space="preserve">+ Развёртывание бэкенда как serverless-функции на WASM-рантайме (WASI). Скомпилируйте логическую часть вашего контроллера для проверки точек в WASI-совместимый WebAssembly-модуль и запустите его как serverless функцию (например эмуляция через WasmEdge + GraalVM native-image -&gt; wasm)
+ Разворачивать фронт отдельно
+ Настроить CORS</t>
      </text>
    </comment>
    <comment authorId="0" ref="AC19">
      <text>
        <t xml:space="preserve">+ выбор нескольких значений в чекбоксе
+ placeholder для Y
+ валидация данных на клиенте и сервере
+ выводить сообщение об ошибке
+ все предыдущие результаты должны сохраняться между запросами и отображаться в таблице
---
+ Методы HTTP. Идемпотентность. Безопасные методы. Отличия PUT и PATCH
+ Что такое event loop в JavaScript? Как он связан с асинхронностью, коллбэками, промисами и очередью задач?
+ async/await
+ URL, URI, URN
+ DOM
+ CSSOM
+ JSON
</t>
      </text>
    </comment>
    <comment authorId="0" ref="AD19">
      <text>
        <t xml:space="preserve">+ Покрыть тестами: модульные на JUnit 5, функц на Selenium, тестовое покрытие, отчет через Jacoco
+ SOAP, WSDL</t>
      </text>
    </comment>
    <comment authorId="0" ref="AG19">
      <text>
        <t xml:space="preserve">+ Интерактивный элемент, содержащий изображение области на координатной плоскости (в соответствии с вариантом задания)
+ Исправить повторную отправку формы
+ Возвращать свою страницу ошибки
---
+ Объясните разницу между директивами &lt;%@ page %&gt;, &lt;%@ include %&gt; и &lt;jsp:include&gt;. Когда использовать каждую?
+ Когда и зачем вызывается метод destroy() у сервлета? Какие действия следует выполнять в этом методе?
+ Bean-компоненты и их использование в JSP
+ В чём суть архитектурного шаблона MVC? Какие обязанности несёт каждый из его компонентов (Model, View, Controller)?
+ Какие механизмы аутентификации и авторизации предоставляет спецификация Java EE? Опишите, как работает контейнерная безопасность.
+ Как создать собственный тег в JSP? Какие основные способы существуют и в чём их отличия?</t>
      </text>
    </comment>
    <comment authorId="0" ref="AH19">
      <text>
        <t xml:space="preserve">+ Переписать на Quarkus, шаблонизатор на усмотрение студента
+ Режим "Только клавиатура" Пользователь может: фокусироваться на поле радиуса (Tab), вводить значение, нажимать Enter → фокус переходит на "виртуальный график", стрелками ←↑→↓ двигать курсор по сетке, Enter — зафиксировать точку. Полностью соответствует WCAG 2.1 AA.</t>
      </text>
    </comment>
    <comment authorId="0" ref="AK19">
      <text>
        <t xml:space="preserve">+ Исправить стирание графика при отправке
+ Компонент допускает ввод заведомо некорректных данных (таких, например, как буквы в координатах точки или отрицательный радиус), то приложение должно осуществлять их валидацию
+ Клик по картинке должен инициировать сценарий, осуществляющий определение координат новой точки и отправку их на сервер для проверки её попадания в область
+ Время и часы брать из бина, а не JS
---
+ Представление страницы JSF на стороне сервера. Класс UIViewRoot
+ Навигация в JSF-приложениях
+ Технология JPA. Особенности, API, интеграция с ORM-провайдерами
+ Конфигурация JSF-приложений. Файл faces-config.xml. Класс FacesServlet
+ Что такое Embeddable классы в JPA?
+ Шаблоны MVVM и MVP. Сходства и отличия от MVC</t>
      </text>
    </comment>
    <comment authorId="0" ref="AL19">
      <text>
        <t xml:space="preserve">+ Реализация data contract между фронтендом и бэкендом через Protocol Buffers или Avro Определить .proto-файл для PointCheckRequest и CheckResult, Сгенерировать Java-классы и использовать их в managed beans, JSF-форма сериализует данные в protobuf перед отправкой (через hidden input или AJAX)</t>
      </text>
    </comment>
    <comment authorId="0" ref="AO19">
      <text>
        <t xml:space="preserve">---
+ Java EE API. Виды компонентов. Профили платформы Java EE.
+ Навигация в React-приложениях. ReactRouter.
+ Платформа Spring. Сходства и отличия с Java EE.
+ Веб-сервисы. Технологии JAX-RS и JAX-WS.
</t>
      </text>
    </comment>
    <comment authorId="0" ref="AY19">
      <text>
        <t xml:space="preserve">А1 - 3.13
А2 - 3.13
А3 - 6</t>
      </text>
    </comment>
    <comment authorId="0" ref="AC20">
      <text>
        <t xml:space="preserve">+ корректное отображение предыдущих попыток после перезагрузки страницы
+ не обрезать точность чисел
+ сохранять предыдущие результаты без ограничений по количеству
+ Что такое CSRF
+ В чем разница между let, const и var? Как работает hoisting? Что такое временная мертвая зона (TDZ)?
+ Что такое MIME-типы? Какую роль они играют в HTTP? Приведите примеры для HTML, JSON, CSS, JavaScript.
</t>
      </text>
    </comment>
    <comment authorId="0" ref="AD20">
      <text>
        <t xml:space="preserve">+ настроить и использовать линтер
+ progressive rate limit
+ recaptcha</t>
      </text>
    </comment>
    <comment authorId="0" ref="AG20">
      <text>
        <t xml:space="preserve">+ не дублировать запрос на странице результата
+ показаться, как проходит деплой на гелиосе
---
+ PRG
+ Как фильтры участвуют в цепочке обработки запроса? В чём разница между doFilter() и передачей управления следующему элементу цепочки?
+ Model 1, Model 2
+ Чем отличается HttpSession от ServletContext? В каких случаях следует использовать тот или иной объект?
+ dispatch, init, destroy
+ контейнер сервлетов</t>
      </text>
    </comment>
    <comment authorId="0" ref="AH20">
      <text>
        <t xml:space="preserve">+ Добавить проверку на “повторную отправку формы”: после POST-запроса делать редирект (PRG-паттерн), чтобы F5 не дублировал запрос.
+ Создать кастомный SessionManager для WildFly: перекрыть стандартный механизм сессий, хранить сессии в зашифрованном виде в off-heap памяти (через sun.misc.Unsafe или ByteBuffer.allocateDirect).</t>
      </text>
    </comment>
    <comment authorId="0" ref="AK20">
      <text>
        <t xml:space="preserve">+ ссылку, позволяющую вернуться на стартовую страницу
+ проверить на наличие N+1 запросов
+ цвет точек должен зависить от факта попадания / непопадания в область
---
+ Что такое проблема N+1? Почему она возникает?
+ Какие стратегии загрузки (LAZY, EAGER) влияют на её появление
+ Как её можно избежать (например, с помощью JOIN FETCH, @EntityGraph)?
+ Как JPA обрабатывает наследование? Какие стратегии отображения иерархий классов на таблицы существуют (SINGLE_TABLE, JOINED, TABLE_PER_CLASS)?
+ Что такое "Flash Scope" и когда его следует использовать?
+ Что такое проекции (projections) в JPA и когда их использовать вместо полных сущностей?
+ Как работает пагинация (pagination) в JPA и какие лучшие практики существуют?
+ Как создать кастомный конвертер или валидатор? В каких сценариях это может потребоваться? Чем отличается вызов ошибки при конвертации и валидации
- Что такое JPQL? Чем он отличается от родного SQL и в чём его преимущества?</t>
      </text>
    </comment>
    <comment authorId="0" ref="AL20">
      <text>
        <t xml:space="preserve">+ Замена JDBC/Hibernate на R2DBC + реактивный JSF-рендеринг. Переписать весь data access layer на реактивный стек (R2DBC + Reactor) [опционально заменить JSF-бин используя собственный async lifecycle]. Обеспечить non-blocking обработку запросов от начала до конца
+ ConnectionPool</t>
      </text>
    </comment>
    <comment authorId="0" ref="AO20">
      <text>
        <t xml:space="preserve">---
+ Архитектура Angular приложения. Модули, компоненты, представление, сервисы
+ Что такое и как работает Spring BeanPostProcessor?
+ JDK dynamic proxy vs CGLib proxy
+ Во что превращается JSX?
+ Что такое JWT (JSON Web Token)?
+ Веб-сервисы. Технологии JAX-RS и JAX-WS.
+ Что такое виртуальный DOM в React, и как алгоритм Reconciliation (включая ключи и diffing) минимизирует количество мутаций реального DOM?
+ Зачем нужны useMemo и useCallback?</t>
      </text>
    </comment>
    <comment authorId="0" ref="AP20">
      <text>
        <t xml:space="preserve">Вместо фиксированной фигуры (как в варианте) реализуйте обобщённую систему областей, где каждая фигура описывается JSON-схемой из БД. Нужно ввести универсальную интерпретируемую модель области, которая описывается данными, а не кодом. Пусть каждая фигура в БД описывается как композиция геометрических примитивов (то есть AST геометрического предиката), например:
{
  ""id"": 123,
  ""name"": ""Моя зона"",
  ""owner_id"": ""user42"",
  ""definition"": {
    ""op"": ""and"",
    ""operands"": [
      { ""primitive"": ""circle"", ""center"": [0, 0], ""radius"": 3 },
      { ""op"": ""not"", ""operand"": { ""primitive"": ""rectangle"", ""x1"": -1, ""y1"": -1, ""x2"": 1, ""y2"": 1 } }
    ]
  }
}
Примитивы: circle { cx, cy, r }, rectangle { x1, y1, x2, y2 }, half_plane { a, b, c } =&gt;  условие ax + by + c &gt;= 0, polygon { vertices: [[x1,y1], [x2,y2], ...] } (и другие по желанию)
Логические операторы: and { operands: [...] }, or { operands: [...] }, not { operand: ... }
Реализуйте рекурсивный парсер JsonStructure -&gt; RegionNode, который валидирует входные данные (например, радиус &gt; 0, вершины не пустые), строит неизменяемое дерево объектов, реализующих интерфейс RegionNode с методом boolean contains(double x, double y). Реализуйте валидацию AST на стороне сервера через JSON Schema.
Расширьте приложение так, чтобы любой аутентифицированный пользователь мог создавать собственные геометрические области через JSON-описание (опциональный доп-доп: визуальный редактор), а не выбирать из заранее заданных вариантов. Сохраняйте хэш от AST (SHA-256) в БД чтобы избежать дублирования одинаковых областей от разных пользователей, одинаковые фигуры создавать запрещено.
Требования к фронтенду:
- На основной странице добавьте: выпадающий список выбора области: ""Стандартная (по варианту)"" или ""Мои пользовательские области…"", кнопку ""Создать новую область"", открывающую модальное окно.
- Canvas должен уметь отрисовывать любую область, полученную из AST: примитивы - разными цветами, логические комбинации - через маски или прозрачность.</t>
      </text>
    </comment>
    <comment authorId="0" ref="AC21">
      <text>
        <t xml:space="preserve">+ корректная валидация (и на сервере)
+ не обрезать точность чисел
+ в варианте POST-запрос, не должно работать для GET-а
+ разобраться с историей запросов на GET
---
+ Как в Java организуется обработка нескольких FastCGI-запросов одновременно?
+ Что такое FastCGI Record? Из каких частей он состоит? Какие типы записей бывают?
+ HTTPS
+ DOM
</t>
      </text>
    </comment>
    <comment authorId="0" ref="AD21">
      <text>
        <t xml:space="preserve">+ Поднять 3 инстанса FastCGI-сервера на разных портах, настроить Nginx/HAProxy как load balancer (round-robin) с health-check’ами (если сервер не отвечает — исключить из пула).
+ Vagrant</t>
      </text>
    </comment>
    <comment authorId="0" ref="AG21">
      <text>
        <t xml:space="preserve">- хранить в контексте приложения
- не дублировать запрос на странице результата
---
+ MIME-типы
+ application в JSP
+ Что такое RequestDispatcher и чем его использование (forward vs include) отличается от sendRedirect?
+ HTTP-сессии - назначение, взаимодействие сервлетов с сессией, способы передачи идентификатора сессии.
+ Отличие сервера приложений от веб-сервера
+ В чём разница между сервлет-контейнером (например, Apache Tomcat) и полноценным сервером приложений (например, WildFly/JBoss)? Какие дополнительные возможности предоставляет WildFly?</t>
      </text>
    </comment>
    <comment authorId="0" ref="AH21">
      <text>
        <t xml:space="preserve">+ Ansible
+ Nagios
+ SAST (Static Application Security Testing): Настройте в pipeline запуск статического анализатора кода.  Для Java: spotbugs или использование плагина OWASP Dependency-Check
+ SCA (Software Composition Analysis): Настройте проверку зависимостей на известные уязвимости. Используйте OWASP Dependency-Check или Snyk. Настройте step в pipeline, который будет запускать сканер и выдавать отчет.
</t>
      </text>
    </comment>
    <comment authorId="0" ref="AK21">
      <text>
        <t xml:space="preserve">---
+ Что такое Restore View и почему она важна для работы JSF?
+ Как работает пагинация (pagination) в JPA и какие лучшие практики существуют?
+ Что произойдёт, если выбросить исключение внутри транзакции?
+ Какие стратегии кэширования поддерживаются в Hibernate/EclipseLink? Что такое L1 и L2 кэш?
+ В чём разница между управляемыми (managed) и отсоединенными (detached) сущностями в JPA?
+ Как JPA обрабатывает наследование? Какие стратегии отображения иерархий классов на таблицы существуют (SINGLE_TABLE, JOINED, TABLE_PER_CLASS)?
</t>
      </text>
    </comment>
    <comment authorId="0" ref="AL21">
      <text>
        <t xml:space="preserve">+ Terraform
+ eBPF-мониторинг с Pixie. Установить Pixie в кластер. Написать PxL-скрипт, который: отслеживает latency /api/check, показывает топ-5 самых медленных запросов, строит flame graph для сервлета.
</t>
      </text>
    </comment>
    <comment authorId="0" ref="AO21">
      <text>
        <t xml:space="preserve">+ Доступ авторизованных пользователей к странице логина должен быть запрещён
---
+ Реализация REST API в Java EE и Spring.
+ Управление состоянием интерфейса. Redux.
+ Принципы IoC, CDI и Location Transpanency
+ Компоненты React. "Умные" и "глупые" компоненты.
</t>
      </text>
    </comment>
    <comment authorId="0" ref="AP21">
      <text>
        <t xml:space="preserve">+ Поднять и настроить Nexus, артефакты и зависимости для лабы хранить на нем
+ Поднять кластер и настроить; Gateway вместо ingress; настроить GitOps - Flux; настроить Loki через Prometheus, Grafana
+ Поднять Harbour в качестве registry и хранить образы в нем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P5">
      <text>
        <t xml:space="preserve">А1 - 2.5
А2 - 6</t>
      </text>
    </comment>
    <comment authorId="0" ref="AQ5">
      <text>
        <t xml:space="preserve">А1 - 2
А2 - 6</t>
      </text>
    </comment>
    <comment authorId="0" ref="AQ6">
      <text>
        <t xml:space="preserve">А1 - 4.5
А2 - 6</t>
      </text>
    </comment>
    <comment authorId="0" ref="AP7">
      <text>
        <t xml:space="preserve">А1 - 4
А2 - 6</t>
      </text>
    </comment>
    <comment authorId="0" ref="AO8">
      <text>
        <t xml:space="preserve">не был очно</t>
      </text>
    </comment>
    <comment authorId="0" ref="AP8">
      <text>
        <t xml:space="preserve">А1 - 0
А2 - 9.5</t>
      </text>
    </comment>
    <comment authorId="0" ref="T9">
      <text>
        <t xml:space="preserve">больше селекторов css
разобраться почему null в сообщениях
не обрезать точность чисел</t>
      </text>
    </comment>
    <comment authorId="0" ref="AQ10">
      <text>
        <t xml:space="preserve">A1 - 3
А2 - 6</t>
      </text>
    </comment>
    <comment authorId="0" ref="AP18">
      <text>
        <t xml:space="preserve">А1 - 1
А2 - 6</t>
      </text>
    </comment>
    <comment authorId="0" ref="AQ18">
      <text>
        <t xml:space="preserve">A1 - 4.38
А2 - 6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S4">
      <text>
        <t xml:space="preserve">A1 - списано
А2 - 6</t>
      </text>
    </comment>
    <comment authorId="0" ref="AS7">
      <text>
        <t xml:space="preserve">А1 - списано
А2 - 6</t>
      </text>
    </comment>
    <comment authorId="0" ref="AS8">
      <text>
        <t xml:space="preserve">А1 - 3.25
А2 - 6</t>
      </text>
    </comment>
    <comment authorId="0" ref="AR10">
      <text>
        <t xml:space="preserve">А1 - 2
А2 - 6</t>
      </text>
    </comment>
    <comment authorId="0" ref="AR11">
      <text>
        <t xml:space="preserve">с 23/24 года</t>
      </text>
    </comment>
    <comment authorId="0" ref="AR12">
      <text>
        <t xml:space="preserve">А1 - 1.5
А2 - 6</t>
      </text>
    </comment>
    <comment authorId="0" ref="AS12">
      <text>
        <t xml:space="preserve">А1 - 2.63
А2 - 3.46
А3 - 6</t>
      </text>
    </comment>
    <comment authorId="0" ref="AR14">
      <text>
        <t xml:space="preserve">А1 - 4
А2 - 6</t>
      </text>
    </comment>
    <comment authorId="0" ref="AS14">
      <text>
        <t xml:space="preserve">А1 - 2.5
А2 - 4.25
А3 - 6</t>
      </text>
    </comment>
    <comment authorId="0" ref="AR16">
      <text>
        <t xml:space="preserve">А1 - 3.5
А2 - 8</t>
      </text>
    </comment>
    <comment authorId="0" ref="AR17">
      <text>
        <t xml:space="preserve">А1 - 3</t>
      </text>
    </comment>
    <comment authorId="0" ref="AQ18">
      <text>
        <t xml:space="preserve">списано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R5">
      <text>
        <t xml:space="preserve">A1 - 2.5
А2 - 6</t>
      </text>
    </comment>
    <comment authorId="0" ref="P6">
      <text>
        <t xml:space="preserve">поправить редиректы</t>
      </text>
    </comment>
    <comment authorId="0" ref="AR7">
      <text>
        <t xml:space="preserve">А1 - неявка
А2 - 6</t>
      </text>
    </comment>
    <comment authorId="0" ref="AA9">
      <text>
        <t xml:space="preserve">при заполнение формы отображать выбранную точку на графике, отображать натыканные точки для выбранного радиуса</t>
      </text>
    </comment>
    <comment authorId="0" ref="AI9">
      <text>
        <t xml:space="preserve">- jooq
- springRepoJpa</t>
      </text>
    </comment>
    <comment authorId="0" ref="AI10">
      <text>
        <t xml:space="preserve">- jooq
- springRepoJpa</t>
      </text>
    </comment>
    <comment authorId="0" ref="AI11">
      <text>
        <t xml:space="preserve">- jooq
- springRepoJpa</t>
      </text>
    </comment>
    <comment authorId="0" ref="R12">
      <text>
        <t xml:space="preserve">*
</t>
      </text>
    </comment>
    <comment authorId="0" ref="AI12">
      <text>
        <t xml:space="preserve">jooq
</t>
      </text>
    </comment>
    <comment authorId="0" ref="AP12">
      <text>
        <t xml:space="preserve">списано</t>
      </text>
    </comment>
    <comment authorId="0" ref="AR12">
      <text>
        <t xml:space="preserve">A1 - ИИ
А2 - 6</t>
      </text>
    </comment>
    <comment authorId="0" ref="AI13">
      <text>
        <t xml:space="preserve">jooq
</t>
      </text>
    </comment>
    <comment authorId="0" ref="AI14">
      <text>
        <t xml:space="preserve">jooq
</t>
      </text>
    </comment>
    <comment authorId="0" ref="AR14">
      <text>
        <t xml:space="preserve">А1 - ИИ
A2 - 6</t>
      </text>
    </comment>
    <comment authorId="0" ref="AA15">
      <text>
        <t xml:space="preserve">отрисовывать точки по радиусу</t>
      </text>
    </comment>
    <comment authorId="0" ref="AI15">
      <text>
        <t xml:space="preserve">- jooq
</t>
      </text>
    </comment>
    <comment authorId="0" ref="AR15">
      <text>
        <t xml:space="preserve">А1 - 4.75
А2 - 6</t>
      </text>
    </comment>
    <comment authorId="0" ref="AA16">
      <text>
        <t xml:space="preserve">зупустить  wildfly в docker и закидывать лабу туда </t>
      </text>
    </comment>
    <comment authorId="0" ref="AI16">
      <text>
        <t xml:space="preserve">jooq
springJpaRepository</t>
      </text>
    </comment>
    <comment authorId="0" ref="AR16">
      <text>
        <t xml:space="preserve">А1 - 5.21
А2 - 6</t>
      </text>
    </comment>
    <comment authorId="0" ref="AP17">
      <text>
        <t xml:space="preserve">не был очно</t>
      </text>
    </comment>
    <comment authorId="0" ref="AQ17">
      <text>
        <t xml:space="preserve">А1 - 1.5
А2 - 4
А3 - 1</t>
      </text>
    </comment>
    <comment authorId="0" ref="AR17">
      <text>
        <t xml:space="preserve">А1 - 1.5
А2 - 6</t>
      </text>
    </comment>
    <comment authorId="0" ref="AI19">
      <text>
        <t xml:space="preserve">использовать jooq для подключения к бд
</t>
      </text>
    </comment>
    <comment authorId="0" ref="AR19">
      <text>
        <t xml:space="preserve">А1 - ИИ
А2 - 6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1 -- +2
2 -- +2
3 -- +2
4 -- +2</t>
      </text>
    </comment>
    <comment authorId="0" ref="E2">
      <text>
        <t xml:space="preserve">1 -- +2
2 -- +2
3 -- +2
4 -- +2</t>
      </text>
    </comment>
    <comment authorId="0" ref="F2">
      <text>
        <t xml:space="preserve">1 -- +2
2 -- +2
3 -- +2
4 -- +2</t>
      </text>
    </comment>
    <comment authorId="0" ref="G2">
      <text>
        <t xml:space="preserve">1 -- +2
2 -- +2
3 -- +2
4 -- +2</t>
      </text>
    </comment>
    <comment authorId="0" ref="H2">
      <text>
        <t xml:space="preserve">1 -- +1
2 -- +2
3 -- +2
4 -- +2</t>
      </text>
    </comment>
    <comment authorId="0" ref="I2">
      <text>
        <t xml:space="preserve">1 -- +0
2 -- +2
3 -- +2
4 -- +2</t>
      </text>
    </comment>
    <comment authorId="0" ref="J2">
      <text>
        <t xml:space="preserve">1 -- +0
2 -- +2
3 -- +2
4 -- +2</t>
      </text>
    </comment>
    <comment authorId="0" ref="K2">
      <text>
        <t xml:space="preserve">1 -- +0
2 -- +1
3 -- +2
4 -- +2</t>
      </text>
    </comment>
    <comment authorId="0" ref="L2">
      <text>
        <t xml:space="preserve">1 -- +0
2 -- +1
3 -- +2
4 -- +2</t>
      </text>
    </comment>
    <comment authorId="0" ref="M2">
      <text>
        <t xml:space="preserve">1 -- +0
2 -- +0
3 -- +2
4 -- +2</t>
      </text>
    </comment>
    <comment authorId="0" ref="N2">
      <text>
        <t xml:space="preserve">1 -- +0
2 -- +0
3 -- +2
4 -- +2</t>
      </text>
    </comment>
    <comment authorId="0" ref="O2">
      <text>
        <t xml:space="preserve">1 -- +0
2 -- +0
3 -- +1
4 -- +2</t>
      </text>
    </comment>
    <comment authorId="0" ref="P2">
      <text>
        <t xml:space="preserve">1 -- +0
2 -- +0
3 -- +1
4 -- +2</t>
      </text>
    </comment>
    <comment authorId="0" ref="Q2">
      <text>
        <t xml:space="preserve">1 -- +0
2 -- +0
3 -- +0
4 -- +2</t>
      </text>
    </comment>
    <comment authorId="0" ref="R2">
      <text>
        <t xml:space="preserve">1 -- +0
2 -- +0
3 -- +0
4 -- +1</t>
      </text>
    </comment>
    <comment authorId="0" ref="S2">
      <text>
        <t xml:space="preserve">1 -- +0
2 -- +0
3 -- +0
4 -- +1</t>
      </text>
    </comment>
    <comment authorId="0" ref="T2">
      <text>
        <t xml:space="preserve">27.01.26</t>
      </text>
    </comment>
    <comment authorId="0" ref="U2">
      <text>
        <t xml:space="preserve">11.02.26</t>
      </text>
    </comment>
    <comment authorId="0" ref="V2">
      <text>
        <t xml:space="preserve">20.02.26</t>
      </text>
    </comment>
    <comment authorId="0" ref="AS4">
      <text>
        <t xml:space="preserve">А1 - неявка
А2 - 6</t>
      </text>
    </comment>
    <comment authorId="0" ref="AT4">
      <text>
        <t xml:space="preserve">А1 - неявка
А2 - 6</t>
      </text>
    </comment>
    <comment authorId="0" ref="AR6">
      <text>
        <t xml:space="preserve">не был очно</t>
      </text>
    </comment>
    <comment authorId="0" ref="AS7">
      <text>
        <t xml:space="preserve">А1 - 4</t>
      </text>
    </comment>
    <comment authorId="0" ref="AT7">
      <text>
        <t xml:space="preserve">A1 - 2.5
А2 - неявка</t>
      </text>
    </comment>
    <comment authorId="0" ref="AS8">
      <text>
        <t xml:space="preserve">А1 - 1
А2 - 6</t>
      </text>
    </comment>
    <comment authorId="0" ref="AT8">
      <text>
        <t xml:space="preserve">A1 - 1.13
А2 - неявка
А3 - 6</t>
      </text>
    </comment>
    <comment authorId="0" ref="AS9">
      <text>
        <t xml:space="preserve">А1 - 4.5
А2 - 6</t>
      </text>
    </comment>
    <comment authorId="0" ref="AT10">
      <text>
        <t xml:space="preserve">A1 - 1.5
А2 - 6</t>
      </text>
    </comment>
    <comment authorId="0" ref="AT12">
      <text>
        <t xml:space="preserve">A1 - 2.21
А2 - 6</t>
      </text>
    </comment>
    <comment authorId="0" ref="AR14">
      <text>
        <t xml:space="preserve">не был очно</t>
      </text>
    </comment>
    <comment authorId="0" ref="AS14">
      <text>
        <t xml:space="preserve">А1 - неявка
А2 - 6</t>
      </text>
    </comment>
    <comment authorId="0" ref="AS15">
      <text>
        <t xml:space="preserve">А1 - 2
А2 - 2
А3 - 6</t>
      </text>
    </comment>
    <comment authorId="0" ref="AT15">
      <text>
        <t xml:space="preserve">A1 - 1.25
А2 - 2.25
А3 - 6</t>
      </text>
    </comment>
    <comment authorId="0" ref="AF18">
      <text>
        <t xml:space="preserve">+1 за допчик</t>
      </text>
    </comment>
    <comment authorId="0" ref="AJ18">
      <text>
        <t xml:space="preserve">+1 за допчик</t>
      </text>
    </comment>
    <comment authorId="0" ref="AS20">
      <text>
        <t xml:space="preserve">А2 - 6</t>
      </text>
    </comment>
    <comment authorId="0" ref="AT20">
      <text>
        <t xml:space="preserve">А1 - 2.63
А2 - 6</t>
      </text>
    </comment>
    <comment authorId="0" ref="AR21">
      <text>
        <t xml:space="preserve">не был очно</t>
      </text>
    </comment>
    <comment authorId="0" ref="AT21">
      <text>
        <t xml:space="preserve">А1 - 4.88
А2 - 6</t>
      </text>
    </comment>
    <comment authorId="0" ref="AR22">
      <text>
        <t xml:space="preserve">списано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5">
      <text>
        <t xml:space="preserve">А1 - неявка
А2 - 6</t>
      </text>
    </comment>
    <comment authorId="0" ref="AP6">
      <text>
        <t xml:space="preserve">А1 - 1.5
А2 - 6</t>
      </text>
    </comment>
    <comment authorId="0" ref="AQ6">
      <text>
        <t xml:space="preserve">A1 - 1.67
А2 - неявка
А3 - 6</t>
      </text>
    </comment>
    <comment authorId="0" ref="AP7">
      <text>
        <t xml:space="preserve">А1 - 4.5
А2 - 6</t>
      </text>
    </comment>
    <comment authorId="0" ref="AQ7">
      <text>
        <t xml:space="preserve">А1 - неявка
А2 - неявка
А3 - 3.75</t>
      </text>
    </comment>
    <comment authorId="0" ref="AP9">
      <text>
        <t xml:space="preserve">А1 - 0.5</t>
      </text>
    </comment>
    <comment authorId="0" ref="AQ9">
      <text>
        <t xml:space="preserve">A1 - 5
А2 - неявка</t>
      </text>
    </comment>
    <comment authorId="0" ref="AO10">
      <text>
        <t xml:space="preserve">не был очно</t>
      </text>
    </comment>
    <comment authorId="0" ref="AP10">
      <text>
        <t xml:space="preserve">А1 - 3.5
А2 - 6</t>
      </text>
    </comment>
    <comment authorId="0" ref="AP11">
      <text>
        <t xml:space="preserve">А1 - 4.5
А2 - 6</t>
      </text>
    </comment>
    <comment authorId="0" ref="AP12">
      <text>
        <t xml:space="preserve">А1 - неявка
А2 - 6</t>
      </text>
    </comment>
    <comment authorId="0" ref="W15">
      <text>
        <t xml:space="preserve">Перезачет с 2024/2025 (10 группа)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U7">
      <text>
        <t xml:space="preserve">А1 - 2.5
А2 - 6</t>
      </text>
    </comment>
    <comment authorId="0" ref="AV7">
      <text>
        <t xml:space="preserve">А1 - неявка
А2 - 6</t>
      </text>
    </comment>
    <comment authorId="0" ref="AT8">
      <text>
        <t xml:space="preserve">списано</t>
      </text>
    </comment>
    <comment authorId="0" ref="AU8">
      <text>
        <t xml:space="preserve">А1 - 0
А2 - 4.5
А3 - 6</t>
      </text>
    </comment>
    <comment authorId="0" ref="AV8">
      <text>
        <t xml:space="preserve">A1 - 4.46
А2 - 6</t>
      </text>
    </comment>
    <comment authorId="0" ref="AT9">
      <text>
        <t xml:space="preserve">списано</t>
      </text>
    </comment>
    <comment authorId="0" ref="AL10">
      <text>
        <t xml:space="preserve">- Provider. Почему вообще не отказаться от пропсов в пользу контекста? Почитать про useContext</t>
      </text>
    </comment>
    <comment authorId="0" ref="AU11">
      <text>
        <t xml:space="preserve">А1 - неявка
А2 - 6</t>
      </text>
    </comment>
    <comment authorId="0" ref="AV11">
      <text>
        <t xml:space="preserve">A1 - 1.63
А2 - неявка
А3 - 6</t>
      </text>
    </comment>
    <comment authorId="0" ref="AU12">
      <text>
        <t xml:space="preserve">А1 - 2
А2 - 6</t>
      </text>
    </comment>
    <comment authorId="0" ref="AV12">
      <text>
        <t xml:space="preserve">A1 - 0.75
А2 - 6</t>
      </text>
    </comment>
    <comment authorId="0" ref="AU13">
      <text>
        <t xml:space="preserve">А1 - 3
А2 - 6</t>
      </text>
    </comment>
    <comment authorId="0" ref="AU15">
      <text>
        <t xml:space="preserve">А1 - 4.5
А2 - 4.5
А3 - 6</t>
      </text>
    </comment>
    <comment authorId="0" ref="AV15">
      <text>
        <t xml:space="preserve">A1 - 4.75
А2 - 1.38
А3 - 6</t>
      </text>
    </comment>
    <comment authorId="0" ref="AT16">
      <text>
        <t xml:space="preserve">списано</t>
      </text>
    </comment>
    <comment authorId="0" ref="AU18">
      <text>
        <t xml:space="preserve">А1 - 3.5
А2 - 6</t>
      </text>
    </comment>
    <comment authorId="0" ref="AV18">
      <text>
        <t xml:space="preserve">A1 - 0.5
А2 - 6</t>
      </text>
    </comment>
    <comment authorId="0" ref="AV19">
      <text>
        <t xml:space="preserve">A1 - 4.38
А2 - -6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S4">
      <text>
        <t xml:space="preserve">А1 - 4
А2 - 6</t>
      </text>
    </comment>
    <comment authorId="0" ref="AS7">
      <text>
        <t xml:space="preserve">А1 - 2
А2 - 6</t>
      </text>
    </comment>
    <comment authorId="0" ref="AT7">
      <text>
        <t xml:space="preserve">A1 - 1.25
А2 - 6</t>
      </text>
    </comment>
    <comment authorId="0" ref="AS10">
      <text>
        <t xml:space="preserve">А1 - 2.5
А2 - 6</t>
      </text>
    </comment>
    <comment authorId="0" ref="AT10">
      <text>
        <t xml:space="preserve">A1 - 1.75
А2 - 6</t>
      </text>
    </comment>
    <comment authorId="0" ref="AR11">
      <text>
        <t xml:space="preserve">списано</t>
      </text>
    </comment>
    <comment authorId="0" ref="AS11">
      <text>
        <t xml:space="preserve">А1 - 4
А2 - 6</t>
      </text>
    </comment>
    <comment authorId="0" ref="AS12">
      <text>
        <t xml:space="preserve">А1 - 4
А2 - 6</t>
      </text>
    </comment>
    <comment authorId="0" ref="AR13">
      <text>
        <t xml:space="preserve">списано</t>
      </text>
    </comment>
    <comment authorId="0" ref="AS13">
      <text>
        <t xml:space="preserve">А1 - неявка
А2 - 6</t>
      </text>
    </comment>
    <comment authorId="0" ref="AS14">
      <text>
        <t xml:space="preserve">А1 - 4.5
А2 - 6</t>
      </text>
    </comment>
    <comment authorId="0" ref="AF15">
      <text>
        <t xml:space="preserve">- ajax при очистке таблицы на сайте
- Double -&gt; BigDecimal
- убрать сервлеты
- подключаться к postgres на helios
</t>
      </text>
    </comment>
    <comment authorId="0" ref="AS15">
      <text>
        <t xml:space="preserve">А1 - 0
А2 - 6</t>
      </text>
    </comment>
    <comment authorId="0" ref="AT15">
      <text>
        <t xml:space="preserve">A1 - 3.13
А2 - 6</t>
      </text>
    </comment>
    <comment authorId="0" ref="AS16">
      <text>
        <t xml:space="preserve">А1 - 1
А2 - 6</t>
      </text>
    </comment>
    <comment authorId="0" ref="AT16">
      <text>
        <t xml:space="preserve">A1 - 0.88
А2 - 6</t>
      </text>
    </comment>
    <comment authorId="0" ref="AR17">
      <text>
        <t xml:space="preserve">не был очно</t>
      </text>
    </comment>
    <comment authorId="0" ref="AS17">
      <text>
        <t xml:space="preserve">А1 - 4
А2 - 6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P4">
      <text>
        <t xml:space="preserve">А1 - 0.5
А2 - 6</t>
      </text>
    </comment>
    <comment authorId="0" ref="AQ4">
      <text>
        <t xml:space="preserve">A1 - 1.25
А2 - 6</t>
      </text>
    </comment>
    <comment authorId="0" ref="AF5">
      <text>
        <t xml:space="preserve">фронт - preact + сравнение с react
бэк - spring + spring actuator вывести метрики на главную страницу</t>
      </text>
    </comment>
    <comment authorId="0" ref="AO5">
      <text>
        <t xml:space="preserve">списано</t>
      </text>
    </comment>
    <comment authorId="0" ref="AF6">
      <text>
        <t xml:space="preserve">1) Фронт: react + tailwind + esbuild
2) Бэк: Spring Boot + Spring Security + Rest API
3) Бд: PostgreSQL + Redis</t>
      </text>
    </comment>
    <comment authorId="0" ref="B7">
      <text>
        <t xml:space="preserve">в двух потоках?</t>
      </text>
    </comment>
    <comment authorId="0" ref="AP7">
      <text>
        <t xml:space="preserve">А1 - 0
А2 - 6</t>
      </text>
    </comment>
    <comment authorId="0" ref="AF8">
      <text>
        <t xml:space="preserve">Micronaut + Svelte</t>
      </text>
    </comment>
    <comment authorId="0" ref="AF9">
      <text>
        <t xml:space="preserve">фронт - react
бэк - spring + spring webflux</t>
      </text>
    </comment>
    <comment authorId="0" ref="AP9">
      <text>
        <t xml:space="preserve">А1 - 1
А2 - 6</t>
      </text>
    </comment>
    <comment authorId="0" ref="AF10">
      <text>
        <t xml:space="preserve">1) Фронт – react + доп библиотеки 
2) Бэк – Spring Boot, REST API
3) БД – PostgreSQL
4) Доп – TMDB API
5) Сборщик не webpack</t>
      </text>
    </comment>
    <comment authorId="0" ref="AF11">
      <text>
        <t xml:space="preserve">фронт - react mfe
бэк - grails</t>
      </text>
    </comment>
    <comment authorId="0" ref="AF12">
      <text>
        <t xml:space="preserve">Spring Boot 
React + Vite
Postgres + TimescaleDB</t>
      </text>
    </comment>
    <comment authorId="0" ref="AF13">
      <text>
        <t xml:space="preserve">Фронт - Next Js with SSR
Бэк - quarkus</t>
      </text>
    </comment>
    <comment authorId="0" ref="AF14">
      <text>
        <t xml:space="preserve">Фронт - Angular &gt;v17
Бэк - Kotlin + Ktor
Доп: ml предсказание попадания следующей точки. Классификатор обучается в реальном времени </t>
      </text>
    </comment>
    <comment authorId="0" ref="AF15">
      <text>
        <t xml:space="preserve">фронт - ember.js
бэк - dropwizard</t>
      </text>
    </comment>
    <comment authorId="0" ref="AF16">
      <text>
        <t xml:space="preserve">Фронт - vue
Бэк - helidon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5">
      <text>
        <t xml:space="preserve">- табличная верстка
- использовать cookies вместо localstorage 
- css псевдоэлементы</t>
      </text>
    </comment>
    <comment authorId="0" ref="AP6">
      <text>
        <t xml:space="preserve">А1 - 4.5
А2 - 6</t>
      </text>
    </comment>
    <comment authorId="0" ref="AP10">
      <text>
        <t xml:space="preserve">А1 - 3.5
А2 - 6</t>
      </text>
    </comment>
    <comment authorId="0" ref="AQ10">
      <text>
        <t xml:space="preserve">А1 - 4.33
А2 - 6</t>
      </text>
    </comment>
    <comment authorId="0" ref="AQ11">
      <text>
        <t xml:space="preserve">А1 - 3.25
А2 - неявка</t>
      </text>
    </comment>
    <comment authorId="0" ref="AO12">
      <text>
        <t xml:space="preserve">списано</t>
      </text>
    </comment>
    <comment authorId="0" ref="AQ12">
      <text>
        <t xml:space="preserve">А1 - 0.75
А2 - 6</t>
      </text>
    </comment>
    <comment authorId="0" ref="AP14">
      <text>
        <t xml:space="preserve">А1 - 3.5
А2 - 6</t>
      </text>
    </comment>
    <comment authorId="0" ref="AQ14">
      <text>
        <t xml:space="preserve">А1 - 2.5
А2 - 6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5">
      <text>
        <t xml:space="preserve">не был очно</t>
      </text>
    </comment>
    <comment authorId="0" ref="AR7">
      <text>
        <t xml:space="preserve">А1 - 2
А2 - 6</t>
      </text>
    </comment>
    <comment authorId="0" ref="AS7">
      <text>
        <t xml:space="preserve">A1 - 2.5
А2 - 6</t>
      </text>
    </comment>
    <comment authorId="0" ref="AR8">
      <text>
        <t xml:space="preserve">А1 - 0</t>
      </text>
    </comment>
    <comment authorId="0" ref="AS8">
      <text>
        <t xml:space="preserve">A1 - списано
А2 - неявка
А3 - 6</t>
      </text>
    </comment>
    <comment authorId="0" ref="AR10">
      <text>
        <t xml:space="preserve">A1 - illness, approved, почему-то есть лист с 0
А2 - неявка
А3 - 6</t>
      </text>
    </comment>
    <comment authorId="0" ref="AS10">
      <text>
        <t xml:space="preserve">А1 - неявка
А2 - 6</t>
      </text>
    </comment>
    <comment authorId="0" ref="AQ11">
      <text>
        <t xml:space="preserve">списано</t>
      </text>
    </comment>
    <comment authorId="0" ref="AR11">
      <text>
        <t xml:space="preserve">А1 - 3
А2 - 6</t>
      </text>
    </comment>
    <comment authorId="0" ref="AR13">
      <text>
        <t xml:space="preserve">А1 - 4.5
А2 - 6</t>
      </text>
    </comment>
    <comment authorId="0" ref="AR15">
      <text>
        <t xml:space="preserve">A1 - illness, approved
А2 - 10</t>
      </text>
    </comment>
    <comment authorId="0" ref="AH20">
      <text>
        <t xml:space="preserve">jax rs + vue (по желанию) 
</t>
      </text>
    </comment>
    <comment authorId="0" ref="AR20">
      <text>
        <t xml:space="preserve">А1 - 0
А2 - 6</t>
      </text>
    </comment>
    <comment authorId="0" ref="AS20">
      <text>
        <t xml:space="preserve">A1 - 1.75
А2 - 6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P4">
      <text>
        <t xml:space="preserve">А1 - 4
А2 - 6</t>
      </text>
    </comment>
    <comment authorId="0" ref="AQ4">
      <text>
        <t xml:space="preserve">A1 - 3.5
А2 - 6</t>
      </text>
    </comment>
    <comment authorId="0" ref="AQ5">
      <text>
        <t xml:space="preserve">A1 - 4.75
А2 - 6</t>
      </text>
    </comment>
    <comment authorId="0" ref="AP7">
      <text>
        <t xml:space="preserve">А1 - 2.5
А2 - 6</t>
      </text>
    </comment>
    <comment authorId="0" ref="AQ7">
      <text>
        <t xml:space="preserve">A1 - 4.5
А2 - 6</t>
      </text>
    </comment>
    <comment authorId="0" ref="AQ8">
      <text>
        <t xml:space="preserve">A1 - 2.88
А2 - 6</t>
      </text>
    </comment>
    <comment authorId="0" ref="AP10">
      <text>
        <t xml:space="preserve">А1 - 3.5
А2 - 4.5</t>
      </text>
    </comment>
    <comment authorId="0" ref="AQ10">
      <text>
        <t xml:space="preserve">A1 - 2.33
А2 - 6</t>
      </text>
    </comment>
    <comment authorId="0" ref="AP11">
      <text>
        <t xml:space="preserve">А1 - 0.5</t>
      </text>
    </comment>
    <comment authorId="0" ref="AP12">
      <text>
        <t xml:space="preserve">А1 - 1</t>
      </text>
    </comment>
    <comment authorId="0" ref="AQ12">
      <text>
        <t xml:space="preserve">A1 - списано</t>
      </text>
    </comment>
    <comment authorId="0" ref="AP14">
      <text>
        <t xml:space="preserve">А1 - 2.5</t>
      </text>
    </comment>
    <comment authorId="0" ref="B17">
      <text>
        <t xml:space="preserve">Почему-то в 21 группе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O4">
      <text>
        <t xml:space="preserve">А1 - 4.5
А2 - 6</t>
      </text>
    </comment>
    <comment authorId="0" ref="AP4">
      <text>
        <t xml:space="preserve">A1 - 4.75
А2 - 6</t>
      </text>
    </comment>
    <comment authorId="0" ref="AN6">
      <text>
        <t xml:space="preserve">не был очно</t>
      </text>
    </comment>
    <comment authorId="0" ref="AP7">
      <text>
        <t xml:space="preserve">A1 - 2
А2 - 6</t>
      </text>
    </comment>
    <comment authorId="0" ref="AO8">
      <text>
        <t xml:space="preserve">А1 - 1</t>
      </text>
    </comment>
    <comment authorId="0" ref="AN15">
      <text>
        <t xml:space="preserve">не был очно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На доп</t>
      </text>
    </comment>
    <comment authorId="0" ref="J2">
      <text>
        <t xml:space="preserve">Перенос на сессию
</t>
      </text>
    </comment>
    <comment authorId="0" ref="L2">
      <text>
        <t xml:space="preserve">День рубежа №1</t>
      </text>
    </comment>
    <comment authorId="0" ref="T2">
      <text>
        <t xml:space="preserve">Перенос с 01.09</t>
      </text>
    </comment>
    <comment authorId="0" ref="U2">
      <text>
        <t xml:space="preserve">Перенос с 13.10</t>
      </text>
    </comment>
    <comment authorId="0" ref="AW4">
      <text>
        <t xml:space="preserve">А1 - 0
А2 - 6</t>
      </text>
    </comment>
    <comment authorId="0" ref="AX4">
      <text>
        <t xml:space="preserve">A1 - ИИ
А2 - 4.5
А3 - 6</t>
      </text>
    </comment>
    <comment authorId="0" ref="AW5">
      <text>
        <t xml:space="preserve">А1 - 4
А2 - 6</t>
      </text>
    </comment>
    <comment authorId="0" ref="AX5">
      <text>
        <t xml:space="preserve">А1 - 3.75
А2 - 6</t>
      </text>
    </comment>
    <comment authorId="0" ref="AW6">
      <text>
        <t xml:space="preserve">А1 - 1.5</t>
      </text>
    </comment>
    <comment authorId="0" ref="AX6">
      <text>
        <t xml:space="preserve">А1 - неявка
А2 - 6</t>
      </text>
    </comment>
    <comment authorId="0" ref="AW7">
      <text>
        <t xml:space="preserve">А1 - 0.5
А2 - 6</t>
      </text>
    </comment>
    <comment authorId="0" ref="AX7">
      <text>
        <t xml:space="preserve">А1 - 1.33
А2 - 6</t>
      </text>
    </comment>
    <comment authorId="0" ref="AX9">
      <text>
        <t xml:space="preserve">А1 - 0.5
А2 - 6</t>
      </text>
    </comment>
    <comment authorId="0" ref="AW10">
      <text>
        <t xml:space="preserve">А1 - 2
А2 - 6</t>
      </text>
    </comment>
    <comment authorId="0" ref="AX10">
      <text>
        <t xml:space="preserve">А1 - 2.5
А2 - 6</t>
      </text>
    </comment>
    <comment authorId="0" ref="AV11">
      <text>
        <t xml:space="preserve">списано</t>
      </text>
    </comment>
    <comment authorId="0" ref="AW11">
      <text>
        <t xml:space="preserve">А1 - 1
А2 - 6</t>
      </text>
    </comment>
    <comment authorId="0" ref="AX11">
      <text>
        <t xml:space="preserve">А1 - 0.75
А2 - 6</t>
      </text>
    </comment>
    <comment authorId="0" ref="AN12">
      <text>
        <t xml:space="preserve">+ Можно регистрироваться без пароля и логина
+ При логине и регистрации с неверными кредами моргает основная страница
- useResultsAllQuery
- что такое теги</t>
      </text>
    </comment>
    <comment authorId="0" ref="AW12">
      <text>
        <t xml:space="preserve">А1 - 3
А2 - 6</t>
      </text>
    </comment>
    <comment authorId="0" ref="AX12">
      <text>
        <t xml:space="preserve">А1 - 1
А2 - 6</t>
      </text>
    </comment>
    <comment authorId="0" ref="AN13">
      <text>
        <t xml:space="preserve">- Рефрешить токен корректнее на 401 от бека
- Если есть WS и REST - то надо придерживаться чего-то одного. Отправку точки можно перенести в WS 
- Оптимизация сокета - слать только те ивенты, о которых клиент точно не знает</t>
      </text>
    </comment>
    <comment authorId="0" ref="AV13">
      <text>
        <t xml:space="preserve">списано</t>
      </text>
    </comment>
    <comment authorId="0" ref="AW14">
      <text>
        <t xml:space="preserve">А1 - 3.5
А2 - 6</t>
      </text>
    </comment>
    <comment authorId="0" ref="AX14">
      <text>
        <t xml:space="preserve">А1 - 2.75
А2 - 6</t>
      </text>
    </comment>
    <comment authorId="0" ref="AX15">
      <text>
        <t xml:space="preserve">А1 - 3.83
А2 - 6</t>
      </text>
    </comment>
    <comment authorId="0" ref="AX16">
      <text>
        <t xml:space="preserve">А1 - 2
А2 - 6</t>
      </text>
    </comment>
    <comment authorId="0" ref="AV18">
      <text>
        <t xml:space="preserve">списано</t>
      </text>
    </comment>
    <comment authorId="0" ref="AW18">
      <text>
        <t xml:space="preserve">А1 - 0
А2 - 6</t>
      </text>
    </comment>
    <comment authorId="0" ref="AX18">
      <text>
        <t xml:space="preserve">А1 - 0.83
А2 - 6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Q4">
      <text>
        <t xml:space="preserve">А1 - неявка
А2 - неявка</t>
      </text>
    </comment>
    <comment authorId="0" ref="AP5">
      <text>
        <t xml:space="preserve">А1 - 2
А2 - 6</t>
      </text>
    </comment>
    <comment authorId="0" ref="AQ5">
      <text>
        <t xml:space="preserve">A1 - illness, approved
А2 - 6</t>
      </text>
    </comment>
    <comment authorId="0" ref="AF6">
      <text>
        <t xml:space="preserve">фронт - angular
бэк - spring</t>
      </text>
    </comment>
    <comment authorId="0" ref="Y7">
      <text>
        <t xml:space="preserve">management console wildfly
back validation
println instead of use jsp
date format</t>
      </text>
    </comment>
    <comment authorId="0" ref="AG7">
      <text>
        <t xml:space="preserve">dispatch invocation argument
providers как работают для чего нужны
babel что это как работает
этапы сборки
сервер недоступен</t>
      </text>
    </comment>
    <comment authorId="0" ref="AP7">
      <text>
        <t xml:space="preserve">А1 - 0
А2 - 6</t>
      </text>
    </comment>
    <comment authorId="0" ref="AQ7">
      <text>
        <t xml:space="preserve">A1 - 1.79
А2 - неявка
А3 - 6</t>
      </text>
    </comment>
    <comment authorId="0" ref="AP8">
      <text>
        <t xml:space="preserve">А1 - 3.5
А2 - 6</t>
      </text>
    </comment>
    <comment authorId="0" ref="AQ8">
      <text>
        <t xml:space="preserve">А1 - неявка
А2 - 4.75
А3 - 6</t>
      </text>
    </comment>
    <comment authorId="0" ref="AP9">
      <text>
        <t xml:space="preserve">А1 - 3
А2 - 6</t>
      </text>
    </comment>
    <comment authorId="0" ref="AD10">
      <text>
        <t xml:space="preserve">- Переписать бэкенд на Helidon/Micronaut
- Разработка собственного расширения на C для проверки попадания. Написать PostgreSQL extension на C, реализующий функцию point_in_custom_region(x float, y float, params jsonb) RETURNS bool. Скомпилировать, установить, протестировать.</t>
      </text>
    </comment>
    <comment authorId="0" ref="AP10">
      <text>
        <t xml:space="preserve">А1 - 1.5
А2 - 6</t>
      </text>
    </comment>
    <comment authorId="0" ref="AP11">
      <text>
        <t xml:space="preserve">А1 - 4.5
А2 - 6</t>
      </text>
    </comment>
    <comment authorId="0" ref="AQ11">
      <text>
        <t xml:space="preserve">A1 - 2.83
А2 - 6</t>
      </text>
    </comment>
    <comment authorId="0" ref="AO12">
      <text>
        <t xml:space="preserve">списано</t>
      </text>
    </comment>
    <comment authorId="0" ref="AP12">
      <text>
        <t xml:space="preserve">А1 - неявка
А2 - 6</t>
      </text>
    </comment>
    <comment authorId="0" ref="AQ12">
      <text>
        <t xml:space="preserve">A1 - 1.38
А2 - 6</t>
      </text>
    </comment>
    <comment authorId="0" ref="AF13">
      <text>
        <t xml:space="preserve">фронт - vue
бэк - micronaut
</t>
      </text>
    </comment>
    <comment authorId="0" ref="AQ13">
      <text>
        <t xml:space="preserve">A1 - 0.75
А2 - 6</t>
      </text>
    </comment>
    <comment authorId="0" ref="AQ14">
      <text>
        <t xml:space="preserve">A1 - 3.25
A2 - 6</t>
      </text>
    </comment>
    <comment authorId="0" ref="AF15">
      <text>
        <t xml:space="preserve">kubernetes
ansible
nfs
logstash?
</t>
      </text>
    </comment>
    <comment authorId="0" ref="AP15">
      <text>
        <t xml:space="preserve">А1 - 3
А2 - 6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P6">
      <text>
        <t xml:space="preserve">А1 - 1.5</t>
      </text>
    </comment>
    <comment authorId="0" ref="AP7">
      <text>
        <t xml:space="preserve">А1 - 2.5
А2 - 6</t>
      </text>
    </comment>
    <comment authorId="0" ref="AQ7">
      <text>
        <t xml:space="preserve">A1 - ИИ
А2 - 6</t>
      </text>
    </comment>
    <comment authorId="0" ref="AP9">
      <text>
        <t xml:space="preserve">А1 - 2.5
А2 - 6</t>
      </text>
    </comment>
    <comment authorId="0" ref="AQ9">
      <text>
        <t xml:space="preserve">А1 - 0.75
А2 - 6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">
      <text>
        <t xml:space="preserve">1. некорректно рисуется область +
2. большие числа округляются +
3. res xor status +</t>
      </text>
    </comment>
    <comment authorId="0" ref="AP4">
      <text>
        <t xml:space="preserve">А1 - 2.5</t>
      </text>
    </comment>
    <comment authorId="0" ref="AQ4">
      <text>
        <t xml:space="preserve">А1 - 1.75
А2 - неявка</t>
      </text>
    </comment>
    <comment authorId="0" ref="AP5">
      <text>
        <t xml:space="preserve">А1 - неявка
А2 - 6</t>
      </text>
    </comment>
    <comment authorId="0" ref="AQ5">
      <text>
        <t xml:space="preserve">А1 - неявка
А2 - 2.83</t>
      </text>
    </comment>
    <comment authorId="0" ref="U6">
      <text>
        <t xml:space="preserve">1. . и , равноценны
2. нужно сохраняться точки пользователя между перезагрузками страницы</t>
      </text>
    </comment>
    <comment authorId="0" ref="Y6">
      <text>
        <t xml:space="preserve">1. Округление</t>
      </text>
    </comment>
    <comment authorId="0" ref="AP6">
      <text>
        <t xml:space="preserve">А2 - 6</t>
      </text>
    </comment>
    <comment authorId="0" ref="AQ6">
      <text>
        <t xml:space="preserve">А1 - 4.5
А2 - 6</t>
      </text>
    </comment>
    <comment authorId="0" ref="Y7">
      <text>
        <t xml:space="preserve">отрисовка точек, всех, красные/зеленые от hit
текст о ограничениях не должен залазить на кнопку
при сжатии экрана корректное отображение
цепочку doFilter
</t>
      </text>
    </comment>
    <comment authorId="0" ref="AC7">
      <text>
        <t xml:space="preserve">экспорт картинки с точками в пнг
тепловая карта в зависимости от скопления точек (heatmap)</t>
      </text>
    </comment>
    <comment authorId="0" ref="U8">
      <text>
        <t xml:space="preserve">ajax
cgi / fastcgi
отрисовка точек на графике, всех+
не обрезать 8 элементами числа+
очистить таблицу+
цвета
блок для информации об ошибке под полем ввода
</t>
      </text>
    </comment>
    <comment authorId="0" ref="AP8">
      <text>
        <t xml:space="preserve">А1 - 4
А2 - 6</t>
      </text>
    </comment>
    <comment authorId="0" ref="AQ8">
      <text>
        <t xml:space="preserve">А1 - неявка
А2 - 2.88
А3 - 6</t>
      </text>
    </comment>
    <comment authorId="0" ref="U9">
      <text>
        <t xml:space="preserve">время выполнения. нс +
проверить формулу 
все точки на графике
кнопка очистить
точки были разного цвета в зависимость от hit
</t>
      </text>
    </comment>
    <comment authorId="0" ref="AG9">
      <text>
        <t xml:space="preserve">Spring data – как работает
Архитектура spring 
IoC
location Transparency
CDI
react</t>
      </text>
    </comment>
    <comment authorId="0" ref="AP9">
      <text>
        <t xml:space="preserve">А1 - 3.5
А2 - 4
А3 - 6</t>
      </text>
    </comment>
    <comment authorId="0" ref="AQ9">
      <text>
        <t xml:space="preserve">А1 - 0.67
А2 - неявка
А3 - 6</t>
      </text>
    </comment>
    <comment authorId="0" ref="AP10">
      <text>
        <t xml:space="preserve">А1 - 0</t>
      </text>
    </comment>
    <comment authorId="0" ref="AQ10">
      <text>
        <t xml:space="preserve">А1 - 0</t>
      </text>
    </comment>
    <comment authorId="0" ref="U11">
      <text>
        <t xml:space="preserve">все комментарии на гитхабе
</t>
      </text>
    </comment>
    <comment authorId="0" ref="U12">
      <text>
        <t xml:space="preserve">прицел для точек
покрасить точки(Зеленая/красная)
отрисовка графика</t>
      </text>
    </comment>
    <comment authorId="0" ref="Y13">
      <text>
        <t xml:space="preserve">отрисовка точек
масштабирование страницы
статистика
</t>
      </text>
    </comment>
    <comment authorId="0" ref="AG13">
      <text>
        <t xml:space="preserve"> дважды отправляются точки
exec time в таблице
не алерт
при наведении на график пусть показываются координаты
</t>
      </text>
    </comment>
    <comment authorId="0" ref="AP14">
      <text>
        <t xml:space="preserve">А1 - 1.5
А2 - 4
А3 - 6</t>
      </text>
    </comment>
    <comment authorId="0" ref="AQ14">
      <text>
        <t xml:space="preserve">А1 - 0.88
А2 - 6</t>
      </text>
    </comment>
    <comment authorId="0" ref="U16">
      <text>
        <t xml:space="preserve">1. разобраться с плавающей точкой
2. врмя в нс
3. врмя без Z
4. график через svg
5. методы запросов http
6. BOM
7. коды ответов
8. + всё остальное
9. структура http запроса</t>
      </text>
    </comment>
    <comment authorId="0" ref="Y16">
      <text>
        <t xml:space="preserve">1. сделать так, чтобы не слетала r при перезагрузке
2. сделать сессию</t>
      </text>
    </comment>
    <comment authorId="0" ref="AC16">
      <text>
        <t xml:space="preserve">1. Ajax
2. Лимитировать выдачу результатов</t>
      </text>
    </comment>
    <comment authorId="0" ref="AQ16">
      <text>
        <t xml:space="preserve">А1 - 4.13
А2 - списано
А3 - 6</t>
      </text>
    </comment>
    <comment authorId="0" ref="U17">
      <text>
        <t xml:space="preserve">1. корректный вывод ошибки</t>
      </text>
    </comment>
    <comment authorId="0" ref="X17">
      <text>
        <t xml:space="preserve">1. динамические точки на графике
2. время выполнения запроса добавить</t>
      </text>
    </comment>
    <comment authorId="0" ref="Y17">
      <text>
        <t xml:space="preserve">1. http сессия</t>
      </text>
    </comment>
    <comment authorId="0" ref="AC17">
      <text>
        <t xml:space="preserve">1. отрисовка точек при загрузке страницы
2. единый шаблон страницы доктора</t>
      </text>
    </comment>
    <comment authorId="0" ref="AG17">
      <text>
        <t xml:space="preserve">1. Без разлогина при перезагрузке
2. Ioc and CDI с примером в коде
3. RestController vs controller
3. @Repository and JpaRepository</t>
      </text>
    </comment>
    <comment authorId="0" ref="AQ17">
      <text>
        <t xml:space="preserve">А1 - 4.5
А2 - 6</t>
      </text>
    </comment>
    <comment authorId="0" ref="U18">
      <text>
        <t xml:space="preserve">1. Не должна перерисовываться диаграмма
2. корректная диаграмми
3. ошибка в расчёте попадания при y=0
4. валидация вводимых данных
5. ошибка округления на беке
6. чтобы подписи под input полями не пропадали при вооде</t>
      </text>
    </comment>
    <comment authorId="0" ref="Y18">
      <text>
        <t xml:space="preserve">1. chean of responsibility
2. http-session
3.  Model 1 и Model 2</t>
      </text>
    </comment>
    <comment authorId="0" ref="AC18">
      <text>
        <t xml:space="preserve">1. синхронизация времени с сервером
2. выдавать в ответ только последнюю точку
3. inversion of control / @Inject
4. Serializable</t>
      </text>
    </comment>
    <comment authorId="0" ref="AG18">
      <text>
        <t xml:space="preserve">1. Логины
2. Google auth</t>
      </text>
    </comment>
    <comment authorId="0" ref="AO18">
      <text>
        <t xml:space="preserve">не был очно</t>
      </text>
    </comment>
    <comment authorId="0" ref="AP18">
      <text>
        <t xml:space="preserve">А1 - 3
А2 - 6</t>
      </text>
    </comment>
    <comment authorId="0" ref="U19">
      <text>
        <t xml:space="preserve">1. http-session</t>
      </text>
    </comment>
    <comment authorId="0" ref="Y19">
      <text>
        <t xml:space="preserve">1. точка съезжает
2. надо чтобы R оставался после перезагрузки страницы
3. Область должна быть всегда, когда выбран R
4. Фильтры сервлетов
5. Контекст сервлета
6. Шаблон MVC. Архитектурные модели Model 1 и Model 2
7. 10-14</t>
      </text>
    </comment>
    <comment authorId="0" ref="AC19">
      <text>
        <t xml:space="preserve">1. Без перезагрузки страницы при клике</t>
      </text>
    </comment>
    <comment authorId="0" ref="AF19">
      <text>
        <t xml:space="preserve">1. Vue.ja
2. Поправить корректность попадания по области при сжатии</t>
      </text>
    </comment>
    <comment authorId="0" ref="AQ19">
      <text>
        <t xml:space="preserve">А1 - 4.5
А2 - 6</t>
      </text>
    </comment>
    <comment authorId="0" ref="U20">
      <text>
        <t xml:space="preserve">1. локальный запуск
2. указывать допустимые значения для Y
3. число с плавающей точкой в Y</t>
      </text>
    </comment>
    <comment authorId="0" ref="Y20">
      <text>
        <t xml:space="preserve">1. добавить валидацию
2. сделать точку точнее
3. валидный вывод с бэка при ошибке
4. зачем нужны bean-ы</t>
      </text>
    </comment>
    <comment authorId="0" ref="AP20">
      <text>
        <t xml:space="preserve">А1 - 3.5
А2 - 6</t>
      </text>
    </comment>
    <comment authorId="0" ref="U21">
      <text>
        <t xml:space="preserve">1. проверка числа знаков на беке
</t>
      </text>
    </comment>
    <comment authorId="0" ref="X21">
      <text>
        <t xml:space="preserve">1. точки должны быть динамическими</t>
      </text>
    </comment>
    <comment authorId="0" ref="AB21">
      <text>
        <t xml:space="preserve">1. область некорректно работает при сжатии страницы
2. *перскакивает правый столбец</t>
      </text>
    </comment>
    <comment authorId="0" ref="AG21">
      <text>
        <t xml:space="preserve">1. При перелогине мелькают точки предыдущего пользователя 
2. Пагинация с дозагрузкой</t>
      </text>
    </comment>
    <comment authorId="0" ref="AO21">
      <text>
        <t xml:space="preserve">списано</t>
      </text>
    </comment>
    <comment authorId="0" ref="U22">
      <text>
        <t xml:space="preserve">1. корректный ввод
2. корректная ошибка</t>
      </text>
    </comment>
    <comment authorId="0" ref="X22">
      <text>
        <t xml:space="preserve">1. сделать ajax</t>
      </text>
    </comment>
    <comment authorId="0" ref="Y22">
      <text>
        <t xml:space="preserve">1. chain of responsablity
2. http-session</t>
      </text>
    </comment>
    <comment authorId="0" ref="AC22">
      <text>
        <t xml:space="preserve">1. область не работает после изменения значений
2. не должно быть округления если тыкаем в невалидную область</t>
      </text>
    </comment>
    <comment authorId="0" ref="AG22">
      <text>
        <t xml:space="preserve">1. вынести бизнес логику из контроллера
2. создать фильтр для проверки authorization. Использовать PreAuthorize и authority о том что пользователь найден в контексте
3. использовать jwt токен. Access/refresh токены
4. для чего /actuator
5. FetchType.Lazy
6. SecurityContextHolder.getContext() как работает так, что у всех пользователей свой контекст при том, что метод статический
7. SecurityFilterChain
8. Spring Boot vs Spring core vs Spring data vs Spring security
9. @Transactional особенности работы 
10. react
</t>
      </text>
    </comment>
    <comment authorId="0" ref="AO22">
      <text>
        <t xml:space="preserve">не был очно</t>
      </text>
    </comment>
    <comment authorId="0" ref="AQ22">
      <text>
        <t xml:space="preserve">А1 - 2.75
А2 - 6</t>
      </text>
    </comment>
    <comment authorId="0" ref="U23">
      <text>
        <t xml:space="preserve">1. ограничнния
2. корректная ошибка
3. валидация на сервер</t>
      </text>
    </comment>
    <comment authorId="0" ref="Y23">
      <text>
        <t xml:space="preserve">1. lombok
2. как работает http session
3. FastCGI vs сервлеты
4. жизненный цикл сервлета и jsp
5. разница между сервлетом и jsp</t>
      </text>
    </comment>
    <comment authorId="0" ref="AQ23">
      <text>
        <t xml:space="preserve">А1 - 3.38
А2 - 6</t>
      </text>
    </comment>
    <comment authorId="0" ref="U24">
      <text>
        <t xml:space="preserve">1. Svg картинка
2. Y ошибка детериинированная
3. Cgi fast cgi</t>
      </text>
    </comment>
    <comment authorId="0" ref="Y24">
      <text>
        <t xml:space="preserve">1. Redirect
2. Цепочки фильтров
3. Http-сесси</t>
      </text>
    </comment>
    <comment authorId="0" ref="AP24">
      <text>
        <t xml:space="preserve">А1 - 2
А2 - 6</t>
      </text>
    </comment>
    <comment authorId="0" ref="AQ24">
      <text>
        <t xml:space="preserve">А1 - 2.46
А2 - 6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">
      <text>
        <t xml:space="preserve">http+
fastCgi+
cookie/storage
rest/rpc</t>
      </text>
    </comment>
    <comment authorId="0" ref="Y4">
      <text>
        <t xml:space="preserve">Что произойдёт, если переопределить метод service() в сервлете?
Как JSP-страница преобразуется в сервлет? На каком этапе происходит эта трансляция?</t>
      </text>
    </comment>
    <comment authorId="0" ref="AG4">
      <text>
        <t xml:space="preserve">изолировать фронт от бэка
проверить работает ли аутентификация при каждом запросе
вынести валидацию в отдельный класс</t>
      </text>
    </comment>
    <comment authorId="0" ref="AO5">
      <text>
        <t xml:space="preserve">не был очно</t>
      </text>
    </comment>
    <comment authorId="0" ref="AP5">
      <text>
        <t xml:space="preserve">А1 - неявка
А2 - неявка
А3 - 6</t>
      </text>
    </comment>
    <comment authorId="0" ref="AQ5">
      <text>
        <t xml:space="preserve">А1 - 1
A2 - неявка
А3 -  3.5</t>
      </text>
    </comment>
    <comment authorId="0" ref="J6">
      <text>
        <t xml:space="preserve">справку прислал</t>
      </text>
    </comment>
    <comment authorId="0" ref="AP7">
      <text>
        <t xml:space="preserve">А1 - 3
А2 - 6</t>
      </text>
    </comment>
    <comment authorId="0" ref="AQ7">
      <text>
        <t xml:space="preserve">А1 - неявка
А2 - неявка
А3 - 6</t>
      </text>
    </comment>
    <comment authorId="0" ref="AO8">
      <text>
        <t xml:space="preserve">списано</t>
      </text>
    </comment>
    <comment authorId="0" ref="AP8">
      <text>
        <t xml:space="preserve">А1 - 4
А2 - 6</t>
      </text>
    </comment>
    <comment authorId="0" ref="AQ8">
      <text>
        <t xml:space="preserve">А1 - ИИ
А2 - 6</t>
      </text>
    </comment>
    <comment authorId="0" ref="AP10">
      <text>
        <t xml:space="preserve">А1 - 4
А2 - 6</t>
      </text>
    </comment>
    <comment authorId="0" ref="AP12">
      <text>
        <t xml:space="preserve">А1 - 3.5
А2 - 6</t>
      </text>
    </comment>
    <comment authorId="0" ref="AQ12">
      <text>
        <t xml:space="preserve">A1 - 1.75
А2 - неявка</t>
      </text>
    </comment>
    <comment authorId="0" ref="AO13">
      <text>
        <t xml:space="preserve">списано</t>
      </text>
    </comment>
    <comment authorId="0" ref="AO14">
      <text>
        <t xml:space="preserve">не был очно</t>
      </text>
    </comment>
    <comment authorId="0" ref="AP15">
      <text>
        <t xml:space="preserve">А1 - 3
А2 - 6</t>
      </text>
    </comment>
    <comment authorId="0" ref="K17">
      <text>
        <t xml:space="preserve">справку прислал</t>
      </text>
    </comment>
    <comment authorId="0" ref="AO17">
      <text>
        <t xml:space="preserve">не был очно</t>
      </text>
    </comment>
    <comment authorId="0" ref="G18">
      <text>
        <t xml:space="preserve">справку прислал</t>
      </text>
    </comment>
    <comment authorId="0" ref="AO18">
      <text>
        <t xml:space="preserve">не был очно</t>
      </text>
    </comment>
    <comment authorId="0" ref="AC19">
      <text>
        <t xml:space="preserve">точки динамически должны перемещаться
и график не работает</t>
      </text>
    </comment>
    <comment authorId="0" ref="AP19">
      <text>
        <t xml:space="preserve">А1 - 3.5
А2 - 6</t>
      </text>
    </comment>
    <comment authorId="0" ref="AQ19">
      <text>
        <t xml:space="preserve">А1 - 4.5
А2 - 6
</t>
      </text>
    </comment>
    <comment authorId="0" ref="Y20">
      <text>
        <t xml:space="preserve">довести график до идеала, а так все норм остальное</t>
      </text>
    </comment>
    <comment authorId="0" ref="AC20">
      <text>
        <t xml:space="preserve">доделать график</t>
      </text>
    </comment>
    <comment authorId="0" ref="AP20">
      <text>
        <t xml:space="preserve">A1 - 3
А2 - 6</t>
      </text>
    </comment>
    <comment authorId="0" ref="AQ20">
      <text>
        <t xml:space="preserve">А1 - неявка
А2 - неявка
А3 - 6</t>
      </text>
    </comment>
    <comment authorId="0" ref="AQ22">
      <text>
        <t xml:space="preserve">А1 - неявка
А2 - 5
А3 - 6</t>
      </text>
    </comment>
    <comment authorId="0" ref="Y23">
      <text>
        <t xml:space="preserve">жц сервлетов
Что произойдёт, если переопределить метод service() в сервлете?
контейнер сервлетов+
фильтры
мвс+</t>
      </text>
    </comment>
    <comment authorId="0" ref="AC23">
      <text>
        <t xml:space="preserve">показать что на гелиосе разворачивается + точки должны динамически меняться</t>
      </text>
    </comment>
    <comment authorId="0" ref="AO23">
      <text>
        <t xml:space="preserve">не был очно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ajax
разделить классы
потестить прямые запросы</t>
      </text>
    </comment>
    <comment authorId="0" ref="N5">
      <text>
        <t xml:space="preserve">1. отрисовывать все точки
2. убрать alert
3. разделить Model/Controller
</t>
      </text>
    </comment>
    <comment authorId="0" ref="P5">
      <text>
        <t xml:space="preserve">1. разнести логику бд и обработки
</t>
      </text>
    </comment>
    <comment authorId="0" ref="Q5">
      <text>
        <t xml:space="preserve">1. JPA EntityManager состояния</t>
      </text>
    </comment>
    <comment authorId="0" ref="AP5">
      <text>
        <t xml:space="preserve">компенсация за 12.12</t>
      </text>
    </comment>
    <comment authorId="0" ref="AW5">
      <text>
        <t xml:space="preserve">А1 - 3
А2 - 6</t>
      </text>
    </comment>
    <comment authorId="0" ref="AX5">
      <text>
        <t xml:space="preserve">A1 - 3
А2 - 6</t>
      </text>
    </comment>
    <comment authorId="0" ref="F6">
      <text>
        <t xml:space="preserve">.00000000001
400 коды</t>
      </text>
    </comment>
    <comment authorId="0" ref="P6">
      <text>
        <t xml:space="preserve">2. JPA API, PersistanceContext
3. Hibernate специфика (кеши итд)
4. Criteria API
5. JSF представление - зачем</t>
      </text>
    </comment>
    <comment authorId="0" ref="AP6">
      <text>
        <t xml:space="preserve">компенсация за 12.12</t>
      </text>
    </comment>
    <comment authorId="0" ref="AV6">
      <text>
        <t xml:space="preserve">не был очно</t>
      </text>
    </comment>
    <comment authorId="0" ref="AW6">
      <text>
        <t xml:space="preserve">А1 - 2
А2 - 6</t>
      </text>
    </comment>
    <comment authorId="0" ref="AX6">
      <text>
        <t xml:space="preserve">А1 - код слегка видоизменен, но я такой сегодня уже видел. У кого видел, тот попался на ИИ
А2 - 6</t>
      </text>
    </comment>
    <comment authorId="0" ref="M7">
      <text>
        <t xml:space="preserve">1. 3.00000000000001
2. 2.f
3. валидация сервер+клиент
4. checkbox x/r
5. запрос в начале для подгрузки таблицы
6. селектор псевдоэлементов
</t>
      </text>
    </comment>
    <comment authorId="0" ref="O7">
      <text>
        <t xml:space="preserve">1. view вынести из сервлета
2. ходить всегда через controller </t>
      </text>
    </comment>
    <comment authorId="0" ref="T7">
      <text>
        <t xml:space="preserve">1. ORM-провайдеры
2. JPA: entityManager, состояния entity итд
3. Hibernate: аннотации entity, особенности api отн-но JPA</t>
      </text>
    </comment>
    <comment authorId="0" ref="AN7">
      <text>
        <t xml:space="preserve">убрать алерты
отображать ошибки
авторизация на бэке
</t>
      </text>
    </comment>
    <comment authorId="0" ref="AW7">
      <text>
        <t xml:space="preserve">А1 - неявка
А2 - неявка
А3 - 4.5</t>
      </text>
    </comment>
    <comment authorId="0" ref="AX7">
      <text>
        <t xml:space="preserve">А1 - 2.13
А2 - неявка
А3 - 3.38</t>
      </text>
    </comment>
    <comment authorId="0" ref="L8">
      <text>
        <t xml:space="preserve">1 ограничить параметры по длине на сервере
2 не завязываться на порядок аргументов</t>
      </text>
    </comment>
    <comment authorId="0" ref="N8">
      <text>
        <t xml:space="preserve">1. после ошибки валидации не дает ввести в поле
2. разделить логику Controller/Model
3. редирект на jsp из ControllerServlet</t>
      </text>
    </comment>
    <comment authorId="0" ref="T8">
      <text>
        <t xml:space="preserve">1. Hibernate связи сущностей (аннотации итд)</t>
      </text>
    </comment>
    <comment authorId="0" ref="AN8">
      <text>
        <t xml:space="preserve">проверка авторизации на бэке при запросах</t>
      </text>
    </comment>
    <comment authorId="0" ref="AX8">
      <text>
        <t xml:space="preserve">А1 - 3.04
А2 - 6</t>
      </text>
    </comment>
    <comment authorId="0" ref="H9">
      <text>
        <t xml:space="preserve">y=2gg 
y=gg - 500
отображение подсказки ввода y
при неправильной структуре 200 + error page?
GET отключить/поправить чтобы не выдавал 500</t>
      </text>
    </comment>
    <comment authorId="0" ref="I9">
      <text>
        <t xml:space="preserve">5.000001
</t>
      </text>
    </comment>
    <comment authorId="0" ref="N9">
      <text>
        <t xml:space="preserve">1.  валидация на сервере
2. отсутствие 1 параметра - 400, не 500
3. отображать все точки на графике
4. разделить логику Model и Controller</t>
      </text>
    </comment>
    <comment authorId="0" ref="P9">
      <text>
        <t xml:space="preserve">1. JPA API, PersistanceContext
2. Hibernate специфика (кеши итд)
3. Criteria API</t>
      </text>
    </comment>
    <comment authorId="0" ref="T9">
      <text>
        <t xml:space="preserve">1. ошибка регистрации
2. при успешной регистрации отображать ok
3. r=0 невалидный
4. csrf/cors включить</t>
      </text>
    </comment>
    <comment authorId="0" ref="AP9">
      <text>
        <t xml:space="preserve">компенсация за 12.12</t>
      </text>
    </comment>
    <comment authorId="0" ref="AX9">
      <text>
        <t xml:space="preserve">А1 - 5
А2 - 6</t>
      </text>
    </comment>
    <comment authorId="0" ref="D10">
      <text>
        <t xml:space="preserve">буквы в y
валидация на сервере
x/y/r не заполнен
селекторов атрибутов</t>
      </text>
    </comment>
    <comment authorId="0" ref="F10">
      <text>
        <t xml:space="preserve">формулы поправить
</t>
      </text>
    </comment>
    <comment authorId="0" ref="Q10">
      <text>
        <t xml:space="preserve">1. Security - контекст, роли итд
2. JWT плюсы отн-но педедачи uuid
3. DI Spring способы; бины
4. Kafka 
5. танзакции (ACID, уровни изоляции)
6. React JS. Архитектура и основные принципы разработки приложений.
7. Angular: модули, компоненты, сервисы и DI.
8. Java EE CDI движок
9. Spring Boot 
10. EJB Lite и EJB Full</t>
      </text>
    </comment>
    <comment authorId="0" ref="AP10">
      <text>
        <t xml:space="preserve">компенсация за 12.12</t>
      </text>
    </comment>
    <comment authorId="0" ref="AY10">
      <text>
        <t xml:space="preserve">устный опрос</t>
      </text>
    </comment>
    <comment authorId="0" ref="I11">
      <text>
        <t xml:space="preserve">3ghh
отдельная страница результат</t>
      </text>
    </comment>
    <comment authorId="0" ref="P11">
      <text>
        <t xml:space="preserve">1. UIViewRoot/ представление на стороне сервера
2. Валидация/конвертация
3. Жизненный цикл запроса
4. PersistanceContext переход</t>
      </text>
    </comment>
    <comment authorId="0" ref="G12">
      <text>
        <t xml:space="preserve">x,y=дроби
x=0,y=2,r=1
400ые коды</t>
      </text>
    </comment>
    <comment authorId="0" ref="L12">
      <text>
        <t xml:space="preserve">1 y = 2.u8
2 динамическая отрисовка области на графике
3 результаты хранить в контексте</t>
      </text>
    </comment>
    <comment authorId="0" ref="N12">
      <text>
        <t xml:space="preserve">сообщения об ошибках валидации
</t>
      </text>
    </comment>
    <comment authorId="0" ref="P12">
      <text>
        <t xml:space="preserve">1. JPA API, PersistanceContext
2. Hibernate специфика (кеши итд)
3. Criteria API</t>
      </text>
    </comment>
    <comment authorId="0" ref="Q12">
      <text>
        <t xml:space="preserve">1. 401 вместо 400 при логине (и др коды) 
2. Кнопку назвать регистрация (на стр реги)
3. Invalid date
4. CORS
5. JWT 
6. Stateless + другие аннотации Java EE 
7. Angular/React livecoding </t>
      </text>
    </comment>
    <comment authorId="0" ref="AP12">
      <text>
        <t xml:space="preserve">компенсация за 12.12</t>
      </text>
    </comment>
    <comment authorId="0" ref="AV12">
      <text>
        <t xml:space="preserve">не был очно</t>
      </text>
    </comment>
    <comment authorId="0" ref="AW12">
      <text>
        <t xml:space="preserve">А1 - 1
А2 - неявка
А3 - 6</t>
      </text>
    </comment>
    <comment authorId="0" ref="AV13">
      <text>
        <t xml:space="preserve">списано</t>
      </text>
    </comment>
    <comment authorId="0" ref="AX13">
      <text>
        <t xml:space="preserve">А1 - 4.21
А2 - 6</t>
      </text>
    </comment>
    <comment authorId="0" ref="AV14">
      <text>
        <t xml:space="preserve">не был очно</t>
      </text>
    </comment>
    <comment authorId="0" ref="AW14">
      <text>
        <t xml:space="preserve">А1 - 3.5
А2 - 5
А3 - 6</t>
      </text>
    </comment>
    <comment authorId="0" ref="AX14">
      <text>
        <t xml:space="preserve">А1 - ИИ, видел код почти один в один сегодня, только тексты на русском, вместо англицкого
A2 - 6</t>
      </text>
    </comment>
    <comment authorId="0" ref="AO15">
      <text>
        <t xml:space="preserve">+ Пагинация (limit+offset, оконная, курсорная, по сегментам, keyset, Clustered TID Scan)
+ Как реализуется стратегия «one-way data flow» в React/Vue/Angular, и почему двусторонняя привязка (two-way binding) в Angular ([()]) считается потенциально опасной?
+ Профили и платформы Java EE
- Если бьешь приложение на чанки, какие могут быть проблемы с кешированием и как их решить?
</t>
      </text>
    </comment>
    <comment authorId="0" ref="AW15">
      <text>
        <t xml:space="preserve">А1 - 3
А2 - неявка
А3 - 6</t>
      </text>
    </comment>
    <comment authorId="0" ref="AX15">
      <text>
        <t xml:space="preserve">A1 - 2.5
А2 - 6</t>
      </text>
    </comment>
    <comment authorId="0" ref="AW16">
      <text>
        <t xml:space="preserve">А1 - 3
А2 - 6</t>
      </text>
    </comment>
    <comment authorId="0" ref="AX16">
      <text>
        <t xml:space="preserve">A1 - 3.08
А2 - 6</t>
      </text>
    </comment>
    <comment authorId="0" ref="AX17">
      <text>
        <t xml:space="preserve">A1 - 3.67
А2 - 6</t>
      </text>
    </comment>
    <comment authorId="0" ref="AX19">
      <text>
        <t xml:space="preserve">А1 - неявка
А2 - неявка
А3 - неявка</t>
      </text>
    </comment>
    <comment authorId="0" ref="AX20">
      <text>
        <t xml:space="preserve">A1 - 3
А2 - 6</t>
      </text>
    </comment>
    <comment authorId="0" ref="AW21">
      <text>
        <t xml:space="preserve">А1 - 3.5
А2 - 6</t>
      </text>
    </comment>
    <comment authorId="0" ref="AX21">
      <text>
        <t xml:space="preserve">A1 - 3.25
А2 - 6</t>
      </text>
    </comment>
    <comment authorId="0" ref="D23">
      <text>
        <t xml:space="preserve">3.00000000001 бек + фронт
r/x/y не выставлен в GET</t>
      </text>
    </comment>
    <comment authorId="0" ref="AW24">
      <text>
        <t xml:space="preserve">А1 - 5
А2 - неявка
А3 - 6</t>
      </text>
    </comment>
    <comment authorId="0" ref="AX24">
      <text>
        <t xml:space="preserve">A1 - 2
А2 - неявка
А3 - 6</t>
      </text>
    </comment>
    <comment authorId="0" ref="AV25">
      <text>
        <t xml:space="preserve">списано</t>
      </text>
    </comment>
    <comment authorId="0" ref="AX25">
      <text>
        <t xml:space="preserve">A1 - 3.38
А2 - 6</t>
      </text>
    </comment>
    <comment authorId="0" ref="AW31">
      <text>
        <t xml:space="preserve">A1 - illness, approved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4">
      <text>
        <t xml:space="preserve">Вместо radiobutton checkbox, сразу несколько значений при этом
Сохранять значения в файле и возможность очищения файла
Человекочитаемые сообщения об ошибках
В поле ввода y только числовые значения
Масштаб графика
Перевернуть таблицу
Центрировать время выполнения и написать единицы измерения явно
</t>
      </text>
    </comment>
    <comment authorId="0" ref="AB4">
      <text>
        <t xml:space="preserve">3.5 вопрос ответил
Отличие uri, url и urn
Методы http, идемпонентность, patch, post и put разница
Заголовки http
Что такое псевдоклассы
Browser object model
</t>
      </text>
    </comment>
    <comment authorId="0" ref="AE4">
      <text>
        <t xml:space="preserve">Статичные координаты, точки не должны разъезжаться
Значения из таблицы должны быть на графике всегда
Пофиксить валидацию формы
Двойной клик по картинке вызывает отправку точки
</t>
      </text>
    </comment>
    <comment authorId="0" ref="AF4">
      <text>
        <t xml:space="preserve">3 вопрос ответил
Http-сессии, способы передачи, когда они создаются
Диспетчеризация сервлетов, фильтры сервлетов, методы forward и redirect разница
</t>
      </text>
    </comment>
    <comment authorId="0" ref="AV4">
      <text>
        <t xml:space="preserve">А1 - 0
А2 - неявка
А3 - 6</t>
      </text>
    </comment>
    <comment authorId="0" ref="AW4">
      <text>
        <t xml:space="preserve">А1 - неявка
А2 - неявка
А3 - 1.5</t>
      </text>
    </comment>
    <comment authorId="0" ref="AI5">
      <text>
        <t xml:space="preserve">1) Сделать миграцию на Flyway
</t>
      </text>
    </comment>
    <comment authorId="0" ref="AM5">
      <text>
        <t xml:space="preserve">Отрицательный радиус должен быть валиден, точку отправлять
Приложение на helios
Разные цвета точек
Перевернуть таблицу
Добавить пагинацию таблицы
Перезагрузка страницы не приводит к выходу из аккаунта
Уникальные значения для одинаковых паролей
</t>
      </text>
    </comment>
    <comment authorId="0" ref="AN5">
      <text>
        <t xml:space="preserve">4 вопросов ответила
Веб-сервисы. Технологии JAX-RS и JAX-WS.
Angular: клиент-серверное взаимодействие, создание, отправка и валидация данных форм.
</t>
      </text>
    </comment>
    <comment authorId="0" ref="AI6">
      <text>
        <t xml:space="preserve">Добавить еще один радиус для точки и сделать проверку попадания 50% </t>
      </text>
    </comment>
    <comment authorId="0" ref="AM6">
      <text>
        <t xml:space="preserve">Добавить регистрацию
Явно отображать имя пользователя на основной странице
Поле y имело только числовые значения
Четыре цвета точек
Запустить h2 на helios
Синхронизация двух окон с одним пользователем</t>
      </text>
    </comment>
    <comment authorId="0" ref="AN6">
      <text>
        <t xml:space="preserve">4 вопросов ответил
Компоненты EJB. Stateless &amp; Stateful Session Beans. EJB Lite и EJB Full.
Модули Spring. Архитектура Spring Runtime. Spring Security и Spring Data.
React JS. Архитектура и основные принципы разработки приложений.
Angular: модули, компоненты, сервисы и DI.
</t>
      </text>
    </comment>
    <comment authorId="0" ref="AV6">
      <text>
        <t xml:space="preserve">А1 - 3
A2 - 6</t>
      </text>
    </comment>
    <comment authorId="0" ref="AI7">
      <text>
        <t xml:space="preserve">лаба с допом на 3D график
</t>
      </text>
    </comment>
    <comment authorId="0" ref="AJ7">
      <text>
        <t xml:space="preserve">4 вопросов ответила
Все про CriteriaApi
Что такое проблема N+1? Почему она возникает? Какие стратегии загрузки (LAZY, EAGER) влияют на её появление? Как её можно избежать (например, с помощью JOIN FETCH, @EntityGraph)?
Какие стратегии кэширования поддерживаются в Hibernate/EclipseLink?
</t>
      </text>
    </comment>
    <comment authorId="0" ref="AM7">
      <text>
        <t xml:space="preserve">Добавить пагинацию
Пофиксить токен
Разные точки для разных пользователей
</t>
      </text>
    </comment>
    <comment authorId="0" ref="AN7">
      <text>
        <t xml:space="preserve">4 вопроса ответила
Платформа Spring. Сходства и отличия с Java EE. Spring orm vs Spring data
Angular: модули, компоненты, сервисы и DI.
</t>
      </text>
    </comment>
    <comment authorId="0" ref="AE8">
      <text>
        <t xml:space="preserve">1) Показать где резы в КП
2) цвет точкам вернуть
3) фильтр чейн
4) как и куда и что попадает (на сервере)
5) JSP</t>
      </text>
    </comment>
    <comment authorId="0" ref="AI8">
      <text>
        <t xml:space="preserve">Flyway
</t>
      </text>
    </comment>
    <comment authorId="0" ref="AM8">
      <text>
        <t xml:space="preserve">Настроить разницу отображений
Показ пользователю сообщений об ошибках в случае неверного ввода
Добавление пользователей
Уникальные точки для различных пользователей, они видят только то, что сами добавили
Зеркальное отражение для отрицательных радиусов</t>
      </text>
    </comment>
    <comment authorId="0" ref="AN8">
      <text>
        <t xml:space="preserve">4 вопросов ответил
</t>
      </text>
    </comment>
    <comment authorId="0" ref="AE9">
      <text>
        <t xml:space="preserve">1. JS == и ===
2. график обновлялся
3. фильтрация по убыванию и возрастанию для x y R и выполнения</t>
      </text>
    </comment>
    <comment authorId="0" ref="AI9">
      <text>
        <t xml:space="preserve">сделать бегающую точку</t>
      </text>
    </comment>
    <comment authorId="0" ref="AM9">
      <text>
        <t xml:space="preserve">Без теории, за доп к 3 лабе (выполнен)
Лабораторная на helios
Только числа в поле ввода y инпута
Перевернуть таблицу
</t>
      </text>
    </comment>
    <comment authorId="0" ref="AV9">
      <text>
        <t xml:space="preserve">A1 - illness, approved
A2 - 6</t>
      </text>
    </comment>
    <comment authorId="0" ref="AI10">
      <text>
        <t xml:space="preserve">1. Спросить все про БИНЫ
2. трехфакторный конструктор
</t>
      </text>
    </comment>
    <comment authorId="0" ref="AM10">
      <text>
        <t xml:space="preserve">Только числа в поле ввода для y
Лабораторная на helios
</t>
      </text>
    </comment>
    <comment authorId="0" ref="AN10">
      <text>
        <t xml:space="preserve">4 вопросов ответила
Модули Spring. Архитектура Spring Runtime. Spring Security и Spring Data.
Компоненты React. State &amp; props. "Умные" и "глупые" компоненты.
Angular: архитектура и основные принципы разработки приложений.
</t>
      </text>
    </comment>
    <comment authorId="0" ref="AI11">
      <text>
        <t xml:space="preserve">4 цвета точек
В input нельзя буквы, спецсимволы, два минуса, два плюса, запятая превращается в точку, до 12 символов</t>
      </text>
    </comment>
    <comment authorId="0" ref="AJ11">
      <text>
        <t xml:space="preserve">4 вопроса ответил
</t>
      </text>
    </comment>
    <comment authorId="0" ref="AM11">
      <text>
        <t xml:space="preserve">Три разных лендинга
Нормальное сообщение об ошибке в странице логина и редирект на нее
Лабораторная на helios
Инвалидация токенов</t>
      </text>
    </comment>
    <comment authorId="0" ref="AN11">
      <text>
        <t xml:space="preserve">4 вопросов ответил
Angular: модули, компоненты, сервисы и DI.
</t>
      </text>
    </comment>
    <comment authorId="0" ref="AW11">
      <text>
        <t xml:space="preserve">A1 - 4.5
А2 - 6</t>
      </text>
    </comment>
    <comment authorId="0" ref="AI12">
      <text>
        <t xml:space="preserve">Лабораторная на helios
Правильная подпись слайдера
Только числа в поле ввода для переменных r и y
Правильная отрисовка графика и шаг для спиннера
</t>
      </text>
    </comment>
    <comment authorId="0" ref="AJ12">
      <text>
        <t xml:space="preserve">4 вопросов ответила
Что такое Criteria API? Чем он отличается от JPQL? В каких случаях предпочтительнее использовать Criteria API?
</t>
      </text>
    </comment>
    <comment authorId="0" ref="AM12">
      <text>
        <t xml:space="preserve">Три разных лендинга
Синхронизация между двумя окнами с одним пользователем
</t>
      </text>
    </comment>
    <comment authorId="0" ref="AN12">
      <text>
        <t xml:space="preserve">4 вопросов ответила
</t>
      </text>
    </comment>
    <comment authorId="0" ref="AV12">
      <text>
        <t xml:space="preserve">А1 - 5
A2 - 6</t>
      </text>
    </comment>
    <comment authorId="0" ref="AA13">
      <text>
        <t xml:space="preserve">1.  Ошибку выводить не алертом
2. тыкать на картинку
</t>
      </text>
    </comment>
    <comment authorId="0" ref="AE13">
      <text>
        <t xml:space="preserve">1) filterChain
2) scope </t>
      </text>
    </comment>
    <comment authorId="0" ref="AI13">
      <text>
        <t xml:space="preserve">скроллинг таблицы
</t>
      </text>
    </comment>
    <comment authorId="0" ref="AM13">
      <text>
        <t xml:space="preserve">Отрицательный радиус
Правильные диапазоны переменных
Перевернуть таблицу
Три разных лендинга, React инструменты
Отображение пользователя видимое
</t>
      </text>
    </comment>
    <comment authorId="0" ref="AN13">
      <text>
        <t xml:space="preserve">3 вопросов ответил
Управление жизненным циклом компонентов. Дескрипторы развёртывания.
JMS. Реализация очередей сообщений. Способы доставки сообщений до клиента. Message-Driven Beans.
Angular: архитектура и основные принципы разработки приложений.
</t>
      </text>
    </comment>
    <comment authorId="0" ref="AI15">
      <text>
        <t xml:space="preserve">Только числа в поле ввода для чисел
Убрать все точки вне старых сессий в табличке
Перевернуть таблицу
y новый, а точка старая
</t>
      </text>
    </comment>
    <comment authorId="0" ref="AJ15">
      <text>
        <t xml:space="preserve">3 вопросов ответил
Концепция ORM. Библиотеки ORM в приложениях на Java. Основные API. Интеграция ORM-провайдеров с драйверами JDBC. Jpql vs hql, criteria api, native sql
Какие атрибуты транзакций (REQUIRED, REQUIRES_NEW, NOT_SUPPORTED и др.) существуют в EJB/JTA? Приведите примеры, когда стоит использовать REQUIRES_NEW.
</t>
      </text>
    </comment>
    <comment authorId="0" ref="AM15">
      <text>
        <t xml:space="preserve">Выход из аккаунта при изменении значения куки на некорректное
Пароль в открытом виде не передавать</t>
      </text>
    </comment>
    <comment authorId="0" ref="AN15">
      <text>
        <t xml:space="preserve">3 вопросов ответил
Платформа Spring. Сходства и отличия с Java EE.
</t>
      </text>
    </comment>
    <comment authorId="0" ref="AW15">
      <text>
        <t xml:space="preserve">А1 - 1.79
А2 - 6</t>
      </text>
    </comment>
    <comment authorId="0" ref="AA16">
      <text>
        <t xml:space="preserve">1) посмотреть почему underfined (через код страницы заменили значение)
2) POST сделать 
3) onClick</t>
      </text>
    </comment>
    <comment authorId="0" ref="AE16">
      <text>
        <t xml:space="preserve">Таблица наоборот
Масштаб картинки после изменения радиуса
Запятая превращается в точку
Повторные точки убрать из второй странички</t>
      </text>
    </comment>
    <comment authorId="0" ref="AF16">
      <text>
        <t xml:space="preserve">4 вопросов ответил
Жизненный цикл сервлетов и JSP
Preflight запрос, как создается http сессия
Контекст сервлета - назначение, способы взаимодействия сервлетов с контекстом.
Архитектура веб-приложений. Шаблон MVC. Архитектурные модели Model 1 и Model 2 и их реализация на платформе Java EE.
Шаблоны MVVM и MVP. Сходства и отличия от MVC</t>
      </text>
    </comment>
    <comment authorId="0" ref="AI16">
      <text>
        <t xml:space="preserve">Бины в конфигурационном файле
</t>
      </text>
    </comment>
    <comment authorId="0" ref="AJ16">
      <text>
        <t xml:space="preserve">4 вопросов ответил
Конвертеры и валидаторы данных (JSF в какой момент их делает)
Что такое L1 cache в JPA? Как он связан с PersistenceContext? Почему повторный запрос по тому же ID может не обращаться к БД?
Что такое L2 cache? Поддерживается ли он по умолчанию в Hibernate/EclipseLink? Как его включить и настроить?
Как JPA обрабатывает наследование? Какие стратегии отображения иерархий классов на таблицы существуют (SINGLE_TABLE, JOINED, TABLE_PER_CLASS)?
</t>
      </text>
    </comment>
    <comment authorId="0" ref="AA17">
      <text>
        <t xml:space="preserve">1) onClick
2) перерисовывать график при изменении R (в real time)
3) duckHunt</t>
      </text>
    </comment>
    <comment authorId="0" ref="AE17">
      <text>
        <t xml:space="preserve">Сообщение об ошибке при некорректном вводе данных
Отсутствие повторной формы
Разные цвета точек
Перевернуть таблицу</t>
      </text>
    </comment>
    <comment authorId="0" ref="AF17">
      <text>
        <t xml:space="preserve">? ответил
Жизненный цикл JSP и сервлетов
Архитектура веб-приложений. Шаблон MVC. Архитектурные модели Model 1 и Model 2 и их реализация на платформе Java EE.
HTTP-сессии - назначение, взаимодействие сервлетов с сессией, способы передачи идентификатора сессии.
Как обеспечить безопасную передачу данных между клиентом и сервером в веб-приложении? Какую роль играет HTTPS и заголовки безопасности (например, Content-Security-Policy)?</t>
      </text>
    </comment>
    <comment authorId="0" ref="AE18">
      <text>
        <t xml:space="preserve">1. если "y" пустой строкой отправить - ошибка
2. Что с таблицей происходит
3. алерты????? + ошибку от сервера тоже надо как то обработать
4. true/false/YES/NO
1. MVP MVVC
2. EL
3. Bean-компонент + контекст приложения</t>
      </text>
    </comment>
    <comment authorId="0" ref="AI18">
      <text>
        <t xml:space="preserve">Бины в конфигурационных файлах
Application scope</t>
      </text>
    </comment>
    <comment authorId="0" ref="AJ18">
      <text>
        <t xml:space="preserve">4 вопросов ответила
Представление страницы JSF на стороне сервера. Класс UIViewRoot.
Концепция ORM. Библиотеки ORM в приложениях на Java. Основные API. Интеграция ORM-провайдеров с драйверами JDBC.
Что такое JNDI и как он используется в WildFly для доступа к DataSource или EJB?
Что такое ACID и как JTA помогает обеспечить эти свойства в распределённых системах?</t>
      </text>
    </comment>
    <comment authorId="0" ref="AM18">
      <text>
        <t xml:space="preserve">Лабораторная на helios
Перевернуть таблицу
Разные в базе данных пароли для разных пользователей с одинаковым паролем
Зеркальное отражение при отрицательном радиусе
Нет точек при отрицательном радиусе
Работоспособность токена
</t>
      </text>
    </comment>
    <comment authorId="0" ref="AN18">
      <text>
        <t xml:space="preserve">4 вопросов ответила
Принципы IoC, CDI и Location Transpanency. Компоненты и контейнеры.
JMS. Реализация очередей сообщений. Способы доставки сообщений до клиента. Message-Driven Beans.
</t>
      </text>
    </comment>
    <comment authorId="0" ref="AM19">
      <text>
        <t xml:space="preserve">Отрицательные радиусы возможно выбрать в интерфейсе, а график перерисовывается потом
Сделать три различных вида интерфейса
Перевернуть таблицу
Переписать на правильные компоненты, такие, какие в варианте
Развернуть на сервере</t>
      </text>
    </comment>
    <comment authorId="0" ref="AN19">
      <text>
        <t xml:space="preserve">4 вопросов ответил
Принципы IoC, CDI и Location Transpanency. Компоненты и контейнеры.
Веб-сервисы. Технологии JAX-RS и JAX-WS.
Angular: шаблоны страниц, жизненный цикл компонентов, подключение CSS.
</t>
      </text>
    </comment>
    <comment authorId="0" ref="AI20">
      <text>
        <t xml:space="preserve">Прикрутить авторизацию через гугл и сделать отображение точек для конкретного юзера</t>
      </text>
    </comment>
    <comment authorId="0" ref="AN20">
      <text>
        <t xml:space="preserve">4 вопросов ответила
Компоненты React. State &amp; props. "Умные" и "глупые" компоненты.
</t>
      </text>
    </comment>
    <comment authorId="0" ref="AE21">
      <text>
        <t xml:space="preserve">1) Понять где точка отправляется
2) Как из контекста приложения достается
3) на график нанести подписи + менять от радиуса менять график
4) фильтр чейн на проверку хита и валидацию точек
P.S. Файлы которые не используются удалить!!!!!!!
</t>
      </text>
    </comment>
    <comment authorId="0" ref="AF21">
      <text>
        <t xml:space="preserve">4 вопросов ответила
Жизненый цикл JSP
В чем критическая разница между вызовом session.invalidate() и установкой таймаута сессии через session.setMaxInactiveInterval(-1)?
Контейнер сервлетов, зачем нужен, что такое, что делает
</t>
      </text>
    </comment>
    <comment authorId="0" ref="AJ21">
      <text>
        <t xml:space="preserve">+ Что такое жизненный цикл JSF-запроса? Опишите его фазы и их назначение.
+ Что такое Native Queries в JPA и когда их использование оправдано?
+ Что такое JPQL (Java Persistence Query Language)? Чем он отличается от родного SQL и в чём его преимущества?
+ Что такое «транзакционный контекст»? Как WildFly распространяет транзакцию между EJB-компонентами?
+ Какие атрибуты транзакций (REQUIRED, REQUIRES_NEW, NOT_SUPPORTED и др.) существуют в EJB/JTA? Приведите примеры, когда стоит использовать REQUIRES_NEW.</t>
      </text>
    </comment>
    <comment authorId="0" ref="AN21">
      <text>
        <t xml:space="preserve">4 вопроса ответила
Компоненты EJB. Stateless &amp; Stateful Session Beans. EJB Lite и EJB Full.
</t>
      </text>
    </comment>
    <comment authorId="0" ref="AV21">
      <text>
        <t xml:space="preserve">А1 - 0
А2 - 6</t>
      </text>
    </comment>
    <comment authorId="0" ref="AW21">
      <text>
        <t xml:space="preserve">A1 - 4.25
А2 - 6</t>
      </text>
    </comment>
    <comment authorId="0" ref="AE23">
      <text>
        <t xml:space="preserve">Обновление сделать после выбора R
</t>
      </text>
    </comment>
    <comment authorId="0" ref="AI23">
      <text>
        <t xml:space="preserve">Лабораторная должна быть на helios
Только числа в поле ввода y
Убрать загрузку на стартовой странице долгую
Сделать конфигурацию бинов в файле
Добавить читаемые сообщения об ошибке в случае невалидного заполнения значений
</t>
      </text>
    </comment>
    <comment authorId="0" ref="AJ23">
      <text>
        <t xml:space="preserve">3 вопросов ответила
Какие атрибуты транзакций (REQUIRED, REQUIRES_NEW, NOT_SUPPORTED и др.) существуют в EJB/JTA? Приведите примеры, когда стоит использовать REQUIRES_NEW.
</t>
      </text>
    </comment>
    <comment authorId="0" ref="AM23">
      <text>
        <t xml:space="preserve">- Убрать алерты
- Редирект со  страницы логина для вошедшего пользователя
-  Синхронизация для двух вкладок
- Зеркалить для R &lt; 0
- Обрабатывать R = 0
- Добавить пагинацию
- Использовать Belle</t>
      </text>
    </comment>
    <comment authorId="0" ref="AN23">
      <text>
        <t xml:space="preserve">4 вопросов ответила
</t>
      </text>
    </comment>
    <comment authorId="0" ref="AV23">
      <text>
        <t xml:space="preserve">А1 - 3
А2 - 6</t>
      </text>
    </comment>
    <comment authorId="0" ref="AW23">
      <text>
        <t xml:space="preserve">А1 - неявка
А2 - 3.75
А3 - 6</t>
      </text>
    </comment>
    <comment authorId="0" ref="AI24">
      <text>
        <t xml:space="preserve">Можно только цифры один минус запятую точку для y ввести
Несколько чекбоксов
Перевернуть таблицу
Пофиксить точку в углах при графике с маленьким масштабом
Сообщение об ошибке при отправке точек с неподходящими значениями
</t>
      </text>
    </comment>
    <comment authorId="0" ref="AJ24">
      <text>
        <t xml:space="preserve">4 вопросов ответил
Концепция ORM. Библиотеки ORM в приложениях на Java. Основные API. Интеграция ORM-провайдеров с драйверами JDBC.
Какие атрибуты транзакций (REQUIRED, REQUIRES_NEW, NOT_SUPPORTED и др.) существуют в EJB/JTA? Приведите примеры, когда стоит использовать REQUIRES_NEW.
Что такое состояние сущности в JPA (transient, managed, detached, removed)? Как жизненный цикл сущности связан с EntityManager и транзакциями?
</t>
      </text>
    </comment>
    <comment authorId="0" ref="AM24">
      <text>
        <t xml:space="preserve">Использовать компоненты, которые в варианте
Человекочитаемые сообщения об ошибках при логине неуспешном
Пофиксить поле ввода для y
Отзеркаливать точки для разных знаков радиуса
Сделать настройку для перерисовки либо точек на странице, либо всех
Не хранить пароль в открытом виде
Токен должен работать
Редирект с страницы логина на страницу с точками в случае валидного токена
</t>
      </text>
    </comment>
    <comment authorId="0" ref="AN24">
      <text>
        <t xml:space="preserve">4 вопросов ответил
Веб-сервисы. Технологии JAX-RS и JAX-WS.
</t>
      </text>
    </comment>
    <comment authorId="0" ref="B25">
      <text>
        <t xml:space="preserve">Официально в группе P3231</t>
      </text>
    </comment>
    <comment authorId="0" ref="AV25">
      <text>
        <t xml:space="preserve">А1 - 3</t>
      </text>
    </comment>
    <comment authorId="0" ref="AI26">
      <text>
        <t xml:space="preserve">Лабораторная на helios
Перерисовывать масштаб графика
Только числа в поле ввода
</t>
      </text>
    </comment>
    <comment authorId="0" ref="AJ26">
      <text>
        <t xml:space="preserve">4 вопросов ответил
Жизненный цикл JSF и возникающие в нем события, отличия от компонентных событий
Что такое состояние сущности в JPA (transient, managed, detached, removed)? Как жизненный цикл сущности связан с EntityManager и транзакциями?
Библиотеки ORM Hibernate и EclipseLink. Особенности, API, сходства и отличия.
Объясните, как работает "ленивая загрузка" (Lazy Loading) связанных коллекций в JPA/Hibernate. Какие проблемы производительности она может вызвать и как их избежать (проблема N+1 запроса)?</t>
      </text>
    </comment>
    <comment authorId="0" ref="AM26">
      <text>
        <t xml:space="preserve">У разных пользователей с одинаковым паролем разный его хеш
Синхронизация между окнами
Реализовать пагинацию таблицы
Пароль в открытом виде не передавать
Пофиксить токен
Добавить имя пользователя на страницу с графиком
</t>
      </text>
    </comment>
    <comment authorId="0" ref="AN26">
      <text>
        <t xml:space="preserve">4 вопросов ответил</t>
      </text>
    </comment>
    <comment authorId="0" ref="AW26">
      <text>
        <t xml:space="preserve">A1 - списано
А2 - неявка
А3 - 6</t>
      </text>
    </comment>
  </commentList>
</comments>
</file>

<file path=xl/sharedStrings.xml><?xml version="1.0" encoding="utf-8"?>
<sst xmlns="http://schemas.openxmlformats.org/spreadsheetml/2006/main" count="6832" uniqueCount="620">
  <si>
    <t>ВПИСАТЬ ПРЕПОДАВАТЕЛЯ</t>
  </si>
  <si>
    <t>Portbase</t>
  </si>
  <si>
    <t>Посещаемость</t>
  </si>
  <si>
    <t>ЛР1</t>
  </si>
  <si>
    <t>ЛР2</t>
  </si>
  <si>
    <t>ЛР3</t>
  </si>
  <si>
    <t>ЛР4</t>
  </si>
  <si>
    <t>КР1</t>
  </si>
  <si>
    <t>КР2</t>
  </si>
  <si>
    <t>КР3</t>
  </si>
  <si>
    <t>КР4</t>
  </si>
  <si>
    <t>КР5</t>
  </si>
  <si>
    <t>КР6</t>
  </si>
  <si>
    <t>Руб. 1</t>
  </si>
  <si>
    <t>Руб. 2</t>
  </si>
  <si>
    <t>Экз.</t>
  </si>
  <si>
    <t>БАРС</t>
  </si>
  <si>
    <t>Итог</t>
  </si>
  <si>
    <t>F</t>
  </si>
  <si>
    <t>ИСУ</t>
  </si>
  <si>
    <t>ФИО</t>
  </si>
  <si>
    <t>Вар.</t>
  </si>
  <si>
    <t>Защ.</t>
  </si>
  <si>
    <t>ЛК</t>
  </si>
  <si>
    <t>Дата</t>
  </si>
  <si>
    <t xml:space="preserve">[0-2]
</t>
  </si>
  <si>
    <t>[6-10]</t>
  </si>
  <si>
    <t>[12-20]</t>
  </si>
  <si>
    <t>[0-2]</t>
  </si>
  <si>
    <t>Р1</t>
  </si>
  <si>
    <t>Р2</t>
  </si>
  <si>
    <t>Э</t>
  </si>
  <si>
    <t>Демурчян Владимир Варламович</t>
  </si>
  <si>
    <t>Байбурина Карина Ильшатовна</t>
  </si>
  <si>
    <t>Екимов Александр Дмитриевич</t>
  </si>
  <si>
    <t>Зыков Андрей Алексеевич</t>
  </si>
  <si>
    <t>Кишинская Екатерина Михайловна</t>
  </si>
  <si>
    <t>Косогова Мария Александровна</t>
  </si>
  <si>
    <t>Котиков Вадим Сергеевич</t>
  </si>
  <si>
    <t>Мельник Фёдор Александрович</t>
  </si>
  <si>
    <t>Некрутенко Максим Владимирович</t>
  </si>
  <si>
    <t>Пчелкин Илья Игоревич</t>
  </si>
  <si>
    <t>Свечников Фёдор Андреевич</t>
  </si>
  <si>
    <t>Сидоров Илья Александрович</t>
  </si>
  <si>
    <t>Тарасов Савелий Дмитриевич</t>
  </si>
  <si>
    <t>Федоров Дмитрий Александрович</t>
  </si>
  <si>
    <t>Хахулина Светлана Алексеевна</t>
  </si>
  <si>
    <t>Чернов Алексей Анатольевич</t>
  </si>
  <si>
    <t>Швецов Егор Максимович</t>
  </si>
  <si>
    <t>Бен Шамех Абделазиз</t>
  </si>
  <si>
    <t>Маншетов Максим Владимирович</t>
  </si>
  <si>
    <t>Солдатов Кирилл Александрович</t>
  </si>
  <si>
    <t>Вальц Мартин Эдуардович</t>
  </si>
  <si>
    <t>Допса</t>
  </si>
  <si>
    <t>Бурносов Андрей Сергеевич</t>
  </si>
  <si>
    <t>Y</t>
  </si>
  <si>
    <t>N</t>
  </si>
  <si>
    <t>*</t>
  </si>
  <si>
    <t>17.10</t>
  </si>
  <si>
    <t>Гришин Артем Александрович</t>
  </si>
  <si>
    <t>Добрышкин Владимир Александрович</t>
  </si>
  <si>
    <t>**</t>
  </si>
  <si>
    <t>Колодей Елизавета Владимировна</t>
  </si>
  <si>
    <t>Корепанов Олег Сергеевич</t>
  </si>
  <si>
    <t>03.10</t>
  </si>
  <si>
    <t>7.11</t>
  </si>
  <si>
    <t>Прокопенко Сергей Петрович</t>
  </si>
  <si>
    <t>10.10</t>
  </si>
  <si>
    <t>Пшеничников Артём Дмитриевич</t>
  </si>
  <si>
    <t>Радченко Алина Александровна</t>
  </si>
  <si>
    <t>Рязанов Никита Сергеевич</t>
  </si>
  <si>
    <t>22.10</t>
  </si>
  <si>
    <t>Собитов Анвархон Акмалович</t>
  </si>
  <si>
    <t>Соколов Лев Анатольевич</t>
  </si>
  <si>
    <t>Софьин Вячеслав Евгеньевич</t>
  </si>
  <si>
    <t>Таратенко Алексей Вадимович</t>
  </si>
  <si>
    <t>Хойрыш Семён Алексеевич</t>
  </si>
  <si>
    <t>Шишкин Артём Владимирович</t>
  </si>
  <si>
    <t>Некрасов Александр</t>
  </si>
  <si>
    <t>Логачев Владислав Алексеевич</t>
  </si>
  <si>
    <t>Меснянкин Максим Александрович</t>
  </si>
  <si>
    <t>Райла М</t>
  </si>
  <si>
    <t>Вар ист. хран.</t>
  </si>
  <si>
    <t>Абдуллаева София Улугбековна</t>
  </si>
  <si>
    <t>y</t>
  </si>
  <si>
    <t>н</t>
  </si>
  <si>
    <t>Горин Семён Дмитриевич</t>
  </si>
  <si>
    <t>Данилевский Тимур Давидович</t>
  </si>
  <si>
    <t>тг</t>
  </si>
  <si>
    <t>Джантуре Назерке</t>
  </si>
  <si>
    <t>Дубовец Дмитрий Александрович</t>
  </si>
  <si>
    <t>n</t>
  </si>
  <si>
    <t>Ильичев Александр Игоревич</t>
  </si>
  <si>
    <t xml:space="preserve">Кондилеев Егор </t>
  </si>
  <si>
    <t>Корепина Ксения Ильинична</t>
  </si>
  <si>
    <t>Кузнецов Андрей Романович</t>
  </si>
  <si>
    <t xml:space="preserve">Новикова Юлия Игоревна </t>
  </si>
  <si>
    <t>Решетников Сергей Евгеньевич</t>
  </si>
  <si>
    <t>Решетов Даниил Алексеевич</t>
  </si>
  <si>
    <t>Соколов Александр Алексеевич</t>
  </si>
  <si>
    <t>Су Лянхуа</t>
  </si>
  <si>
    <t>Сярдин Иван Андреевич</t>
  </si>
  <si>
    <t>Таустоб Глеб Витальевич</t>
  </si>
  <si>
    <t>Филимонов Никита Данилович</t>
  </si>
  <si>
    <t>Шкиптан Александр Олегович</t>
  </si>
  <si>
    <t>Барсуков Максим Андреевич</t>
  </si>
  <si>
    <t>ВедЕрникова Анна Васильевна</t>
  </si>
  <si>
    <t>Евграфов Артём Андреевич</t>
  </si>
  <si>
    <t>07.11</t>
  </si>
  <si>
    <t>Исаева Александра-Ирина Антоновна</t>
  </si>
  <si>
    <t>Калакин Ярослав Евгеньевич</t>
  </si>
  <si>
    <t>Калинин Дмитрий Викторович</t>
  </si>
  <si>
    <t>Крылова Мария Дмитриевна</t>
  </si>
  <si>
    <t>24.10</t>
  </si>
  <si>
    <t>Кузьмин Дмитрий Анатольевич</t>
  </si>
  <si>
    <t>Ларионов Владислав Васильевич</t>
  </si>
  <si>
    <t>Марагин Артём Антонович</t>
  </si>
  <si>
    <t>Мухамедьяров Артур Альбертович</t>
  </si>
  <si>
    <t>Надольский Кирилл Николаевич</t>
  </si>
  <si>
    <t>Никифоров Кирилл Евгеньевич</t>
  </si>
  <si>
    <t>Поляков Алексей Леонидович</t>
  </si>
  <si>
    <t>Рзаев Ахмед Меджидович</t>
  </si>
  <si>
    <t>Соболев Егор Викторович</t>
  </si>
  <si>
    <t>ТЕрехов Юрий Владимирович</t>
  </si>
  <si>
    <t>Фадин Константин Алексеевич</t>
  </si>
  <si>
    <t>Шубин Егор Вячеславович</t>
  </si>
  <si>
    <t>2F</t>
  </si>
  <si>
    <t>3E</t>
  </si>
  <si>
    <t>3D</t>
  </si>
  <si>
    <t>4C</t>
  </si>
  <si>
    <t>4B</t>
  </si>
  <si>
    <t>5A</t>
  </si>
  <si>
    <t>Карасёва Мария Александровна</t>
  </si>
  <si>
    <t>Ахроров Кароматуллохон Фирдавсович</t>
  </si>
  <si>
    <t>21.10.2025</t>
  </si>
  <si>
    <t>Бармичев Григорий Андреевич</t>
  </si>
  <si>
    <t>Глотова Дарья Михайловна</t>
  </si>
  <si>
    <t>14/10</t>
  </si>
  <si>
    <t>Гончаров Максим Дмитриевич</t>
  </si>
  <si>
    <t xml:space="preserve">Давидюк Антон </t>
  </si>
  <si>
    <t>Девятых Павел Леонидович</t>
  </si>
  <si>
    <t>Ипантьев Иван</t>
  </si>
  <si>
    <t>Караганов Павел Эдуардович</t>
  </si>
  <si>
    <t>Кутузова Софья Руслановна</t>
  </si>
  <si>
    <t>Мыц Иван Евгеньевич</t>
  </si>
  <si>
    <t>21.10.25</t>
  </si>
  <si>
    <t>Полуянов Игорь Андреевич</t>
  </si>
  <si>
    <t>Рябов Георгий Алексеевич</t>
  </si>
  <si>
    <t>Самсонова Владислава Николаевна</t>
  </si>
  <si>
    <t>Фонарева Виктория Сергеевна</t>
  </si>
  <si>
    <t>23/09</t>
  </si>
  <si>
    <t>Чжун Цзяцзюнь</t>
  </si>
  <si>
    <t>Шукаев Олег Евгеньевич</t>
  </si>
  <si>
    <t>Алтухов Владимир Александрович</t>
  </si>
  <si>
    <t>Булюсин Илья Олегович</t>
  </si>
  <si>
    <t>Еремин Денис Андреевич</t>
  </si>
  <si>
    <t>Лазеев Сергей Максимович</t>
  </si>
  <si>
    <t>Абрамова Анастасия Сергеевна</t>
  </si>
  <si>
    <t>***</t>
  </si>
  <si>
    <t>перенос на конец декабря</t>
  </si>
  <si>
    <t>Горелова Ульяна Андреевна</t>
  </si>
  <si>
    <t>3.10</t>
  </si>
  <si>
    <t>Гришин Артем Евгеньевич</t>
  </si>
  <si>
    <t>31.10</t>
  </si>
  <si>
    <t>Дереновский Илья Андреевич</t>
  </si>
  <si>
    <t>Ерохин Егор Геннадьевич</t>
  </si>
  <si>
    <t>Карнажицкий Максим Романович</t>
  </si>
  <si>
    <t>Круль Михаил Валерьевич</t>
  </si>
  <si>
    <t>Лежебоков Владислав Максимович</t>
  </si>
  <si>
    <t>Макогон Никита Игоревич</t>
  </si>
  <si>
    <t>****</t>
  </si>
  <si>
    <t>Михайлов Петр Сергеевич</t>
  </si>
  <si>
    <t>Наумов Мирослав</t>
  </si>
  <si>
    <t>*****</t>
  </si>
  <si>
    <t>Рязанов Григорий Алексеевич</t>
  </si>
  <si>
    <t>Ткачев Денис Владимирович</t>
  </si>
  <si>
    <t>Шумахер Демид Сергеевич</t>
  </si>
  <si>
    <t>Чимирёв Антон Олегович</t>
  </si>
  <si>
    <t>Чимирёв Игорь Олегович</t>
  </si>
  <si>
    <t>Бандурин Егор Сергеевич</t>
  </si>
  <si>
    <t>Зуев Даниил Андреевич</t>
  </si>
  <si>
    <t>Крамбалев Сергей Дмитриевич</t>
  </si>
  <si>
    <t>Поллак Артур Дмитриевич</t>
  </si>
  <si>
    <t>Рыженкова Алина Александровна</t>
  </si>
  <si>
    <t>Остапенко Иван Вадимович</t>
  </si>
  <si>
    <t>Бердышев Григорий Александрович</t>
  </si>
  <si>
    <t>р</t>
  </si>
  <si>
    <t>Вельган Евгений Мирославович</t>
  </si>
  <si>
    <t>Гойхман Елена Яковлевна</t>
  </si>
  <si>
    <t>Головач Владимир Сергеевич</t>
  </si>
  <si>
    <t>Заголович Александр Андреевич</t>
  </si>
  <si>
    <t>Зубулина Юлия Максимовна</t>
  </si>
  <si>
    <t>*р</t>
  </si>
  <si>
    <t>Карасев Александр Дмитриевич</t>
  </si>
  <si>
    <t>Козаченко Данил Александрович</t>
  </si>
  <si>
    <t>Лежнев Никита Сергеевич</t>
  </si>
  <si>
    <t>Марьин Григорий Алексеевич</t>
  </si>
  <si>
    <t>Молоков Федор Михайлович</t>
  </si>
  <si>
    <t>Назайкин Егор Евгеньевич</t>
  </si>
  <si>
    <t>Полищенко Николай Николаевич</t>
  </si>
  <si>
    <t>Середа Вероника Сергеевна</t>
  </si>
  <si>
    <t>Толмачёв Игорь Дмитриевич</t>
  </si>
  <si>
    <t>Яруков Артём Дмитриевич</t>
  </si>
  <si>
    <t>Саломахин Тимур Евгеньевич</t>
  </si>
  <si>
    <t>Цопа Евгений Алексеевич</t>
  </si>
  <si>
    <t>Д1</t>
  </si>
  <si>
    <t>Д2</t>
  </si>
  <si>
    <t>Д3</t>
  </si>
  <si>
    <t>Гаврилюк Максим Юрьевич</t>
  </si>
  <si>
    <t>12.12.25</t>
  </si>
  <si>
    <t>Гладышев Иван Станиславович</t>
  </si>
  <si>
    <t>W</t>
  </si>
  <si>
    <t>w</t>
  </si>
  <si>
    <t>19.09.25</t>
  </si>
  <si>
    <t>10.10.25</t>
  </si>
  <si>
    <t>14.11.25</t>
  </si>
  <si>
    <t>05.12.25</t>
  </si>
  <si>
    <t>Западовников Алексей Викторович</t>
  </si>
  <si>
    <t>31.10.25</t>
  </si>
  <si>
    <t>27.01.26</t>
  </si>
  <si>
    <t>Кайгородова Александра Андреевна</t>
  </si>
  <si>
    <t>Картомышев Антон Романович</t>
  </si>
  <si>
    <t>18.02.26</t>
  </si>
  <si>
    <t>Коробов Алексей Сергеевич</t>
  </si>
  <si>
    <t>03.10.25</t>
  </si>
  <si>
    <t>28.11.25</t>
  </si>
  <si>
    <t>Лейковский Никита Вячеславович</t>
  </si>
  <si>
    <t>17.10.2025</t>
  </si>
  <si>
    <t>Леонтьева Арина Николаевна</t>
  </si>
  <si>
    <t>24.10,25</t>
  </si>
  <si>
    <t>19.12.25</t>
  </si>
  <si>
    <t>16.02.26</t>
  </si>
  <si>
    <t>Львова Елизавета Юрьевна</t>
  </si>
  <si>
    <t>Пахомов Игнат Александрович</t>
  </si>
  <si>
    <t>Плющев Александр Алексеевич</t>
  </si>
  <si>
    <t>Резников Алексей Романович</t>
  </si>
  <si>
    <t>РогОвич Мария Михайловна</t>
  </si>
  <si>
    <t>Сарваров Тимур Фазаелович</t>
  </si>
  <si>
    <t>Смирнов Андрей Алексеевич</t>
  </si>
  <si>
    <t>СтАриков Арсений Дмитриевич</t>
  </si>
  <si>
    <t>07.11.25</t>
  </si>
  <si>
    <t>Хлопцов Сергей Дмитриевич</t>
  </si>
  <si>
    <t>Якименко Владислав Игоревич</t>
  </si>
  <si>
    <t>Ясаков Артем Андреевич</t>
  </si>
  <si>
    <t>17.10.25</t>
  </si>
  <si>
    <t>Ермаков Михаил Константинович</t>
  </si>
  <si>
    <t>Авдеев Владислав Александрович</t>
  </si>
  <si>
    <t>10.10.2025</t>
  </si>
  <si>
    <t>14.11.2025</t>
  </si>
  <si>
    <t>30.01.2026</t>
  </si>
  <si>
    <t>Александрова Милана Сергеевна</t>
  </si>
  <si>
    <t>24.10.2025</t>
  </si>
  <si>
    <t>21.11.2025</t>
  </si>
  <si>
    <t>Васильев Александр Георгиевич</t>
  </si>
  <si>
    <t>28.11.2025</t>
  </si>
  <si>
    <t>14.02.2026</t>
  </si>
  <si>
    <t>Захарченко Андрей Сергеевич</t>
  </si>
  <si>
    <t>05.12.2025</t>
  </si>
  <si>
    <t>07.02.2026</t>
  </si>
  <si>
    <t>Лесников Владимир Алексеевич</t>
  </si>
  <si>
    <t>Макаров Матвей Романович</t>
  </si>
  <si>
    <t>Нефедов Кирилл Дмитриевич</t>
  </si>
  <si>
    <t>Никитенко Матвей Олегович</t>
  </si>
  <si>
    <t>07.11.2025</t>
  </si>
  <si>
    <t>Павлов Эдгар Айсенович (P3216)</t>
  </si>
  <si>
    <t>Паршуков Семён Алексеевич</t>
  </si>
  <si>
    <t>Плотников Алексей Алексеевич</t>
  </si>
  <si>
    <t>31.10.2025</t>
  </si>
  <si>
    <t>Спасов Владимир Алексеевич</t>
  </si>
  <si>
    <t>16.12</t>
  </si>
  <si>
    <t>Степанов Илья Вячеславович</t>
  </si>
  <si>
    <t>Чупров Иван Андреевич</t>
  </si>
  <si>
    <t>Зайцев Дмитрий Владимирович</t>
  </si>
  <si>
    <t>Курагина Анастасия Романовна</t>
  </si>
  <si>
    <t>Симакова Алёна Александровна</t>
  </si>
  <si>
    <t>Тонков Николай Павлович</t>
  </si>
  <si>
    <t>Кулинич Ярослав Вадимович</t>
  </si>
  <si>
    <t>Бондаренко Андрей Владимирович</t>
  </si>
  <si>
    <t>null</t>
  </si>
  <si>
    <t>Галак Екатерина Анатольевна</t>
  </si>
  <si>
    <t>Зенченков Павел Геннадьевич</t>
  </si>
  <si>
    <t>Клевцов Александр Сергеевич</t>
  </si>
  <si>
    <t>Кудряшова Татьяна Юрьевна</t>
  </si>
  <si>
    <t>Линейский Аким Евгеньевич</t>
  </si>
  <si>
    <t>Матвеева Полина Павловна</t>
  </si>
  <si>
    <t xml:space="preserve">Никифоров Антон Евгеньевич </t>
  </si>
  <si>
    <t>НикОленко Максим Викторович</t>
  </si>
  <si>
    <t>Панченко Антон Дмитриевич</t>
  </si>
  <si>
    <t>Разыграев Кирилл Сергеевич</t>
  </si>
  <si>
    <t>Селецкий Никита Антонович</t>
  </si>
  <si>
    <t>Снагин Станислав Максимович</t>
  </si>
  <si>
    <t>Степанов Илья Алексеевич</t>
  </si>
  <si>
    <t>Суворов Станислав Денисович</t>
  </si>
  <si>
    <t>Торбин Илья Александрович</t>
  </si>
  <si>
    <t>Храбров Артём Алексеевич</t>
  </si>
  <si>
    <t>Лунин Илья Владимирович</t>
  </si>
  <si>
    <t>Чимирев Игорь Олегович</t>
  </si>
  <si>
    <t>Наумова</t>
  </si>
  <si>
    <t>Бойко Георгий Александрович</t>
  </si>
  <si>
    <t>Газизуллин Ринат Ришатович</t>
  </si>
  <si>
    <t>Григорьев Даниил Александрович</t>
  </si>
  <si>
    <t>Красноштанова Юлия Николаевна</t>
  </si>
  <si>
    <t>Лоскутов Прохор Александрович</t>
  </si>
  <si>
    <t>Пахомов Даниил Михайлович</t>
  </si>
  <si>
    <t>Петрова Полина Алексеевна</t>
  </si>
  <si>
    <t>Ровкова Анастасия Сергеевна</t>
  </si>
  <si>
    <t>Седов Даниил Борисович</t>
  </si>
  <si>
    <t>Серенко Егор Игоревич</t>
  </si>
  <si>
    <t>Столбченко Илья Викторович</t>
  </si>
  <si>
    <t>Чебыкин Владимир Андреевич</t>
  </si>
  <si>
    <t>Чэнь Хаолинь</t>
  </si>
  <si>
    <t>Шайкина Виктория Евгеньевна</t>
  </si>
  <si>
    <t>Бибиков Владислав Олегович</t>
  </si>
  <si>
    <t>Бражкин Егор Юрьевич</t>
  </si>
  <si>
    <t>Гончаров Артём Дмитриевич</t>
  </si>
  <si>
    <t>Ковалев Руслан Бабекович</t>
  </si>
  <si>
    <t>Павлов Эдгар Айсенович (переведен в поток P3214)</t>
  </si>
  <si>
    <t>Русских Егор Алексеевич</t>
  </si>
  <si>
    <t>Семенов Егор Евгеньевич</t>
  </si>
  <si>
    <t>Миху Вадим Дмитриевич</t>
  </si>
  <si>
    <t>рубеж</t>
  </si>
  <si>
    <t>Букреев Степан Сергеевич</t>
  </si>
  <si>
    <t>11/11</t>
  </si>
  <si>
    <t>02/12</t>
  </si>
  <si>
    <t>27/12</t>
  </si>
  <si>
    <t>24/02</t>
  </si>
  <si>
    <t>Жеребцов Михаил Александрович</t>
  </si>
  <si>
    <t>30/09</t>
  </si>
  <si>
    <t>25/11</t>
  </si>
  <si>
    <t>Изаак Герман Константинович</t>
  </si>
  <si>
    <t>7/10</t>
  </si>
  <si>
    <t>Квятковский Ярослав Владимирович</t>
  </si>
  <si>
    <t>Ковыршин Александр Сергеевич</t>
  </si>
  <si>
    <t>16/09</t>
  </si>
  <si>
    <t>Кудрявцева Руслана Сергеевна</t>
  </si>
  <si>
    <t>Махнева Ирина Александровна</t>
  </si>
  <si>
    <t>22/09</t>
  </si>
  <si>
    <t>23/12</t>
  </si>
  <si>
    <t>Нагорный Николай Викторович</t>
  </si>
  <si>
    <t>Павленко Иван Дмитриевич</t>
  </si>
  <si>
    <t>9/9</t>
  </si>
  <si>
    <t>Санатин Дмитрий Павлович</t>
  </si>
  <si>
    <t>18/11</t>
  </si>
  <si>
    <t>Симонов Лев Константинович</t>
  </si>
  <si>
    <t>Сушко Александр Александрович</t>
  </si>
  <si>
    <t>16/12</t>
  </si>
  <si>
    <t>Чайковский Никита Михайлович</t>
  </si>
  <si>
    <t>Давиденко Кирилл Павлович</t>
  </si>
  <si>
    <t>Макашин Андрей Михайлович</t>
  </si>
  <si>
    <t>Образцов Максим Евгеньевич</t>
  </si>
  <si>
    <t>Ведехин Александр Вадимович</t>
  </si>
  <si>
    <t>Деревянко Владимир Владимирович</t>
  </si>
  <si>
    <t>Краснов Алексей Сергеевич</t>
  </si>
  <si>
    <t>Кутасов Клим Олегович</t>
  </si>
  <si>
    <t>Макогон Ярослав Вадимович</t>
  </si>
  <si>
    <t>Мюгриев Даниил Константинович</t>
  </si>
  <si>
    <t>Остапишин Никита Алексеевич</t>
  </si>
  <si>
    <t>Петров Павел Алексеевич</t>
  </si>
  <si>
    <t>Пингачева Лилия Сергеевна</t>
  </si>
  <si>
    <t xml:space="preserve"> </t>
  </si>
  <si>
    <t>Солиев Илхом Равшанович</t>
  </si>
  <si>
    <t>Чистякова Екатерина Александровна</t>
  </si>
  <si>
    <t>Умарова Амина Магомедгабибовна</t>
  </si>
  <si>
    <t>Гиря Максим Дмитриевич</t>
  </si>
  <si>
    <t>доп 1</t>
  </si>
  <si>
    <t>доп 2</t>
  </si>
  <si>
    <t>доп 3</t>
  </si>
  <si>
    <t>доп 4</t>
  </si>
  <si>
    <t>Абрамов Егор Денисович</t>
  </si>
  <si>
    <t>Бегун Фёдор Аркадьевич</t>
  </si>
  <si>
    <t>Быков Лев</t>
  </si>
  <si>
    <t>Вольнова Анна Александровна</t>
  </si>
  <si>
    <t>Гладин Александр Иванович</t>
  </si>
  <si>
    <t>Дърлянов Христо Христов</t>
  </si>
  <si>
    <t>Козицкая Полина Николаевна</t>
  </si>
  <si>
    <t>Коршун Артём Сергеевич</t>
  </si>
  <si>
    <t>Мантуш Даниил Валерьевич</t>
  </si>
  <si>
    <t>Осипов Вячеслав Витальевич</t>
  </si>
  <si>
    <t>Пиляров Руслан Назирович</t>
  </si>
  <si>
    <t>Симдякина Виктория Вадимовна</t>
  </si>
  <si>
    <t>Смирнов Вадим Константинович</t>
  </si>
  <si>
    <t>Соснина Анастасия Владимировна</t>
  </si>
  <si>
    <t>Тарасов Владислав Павлович</t>
  </si>
  <si>
    <t>Торопов Павел Кириллович</t>
  </si>
  <si>
    <t>Федяев Михаил Дмитриевич</t>
  </si>
  <si>
    <t>Целиков Даниил Александрович</t>
  </si>
  <si>
    <t>Ануфриев Андрей Сергеевич</t>
  </si>
  <si>
    <t xml:space="preserve">Бострикова Дарья Константиновна </t>
  </si>
  <si>
    <t>Бобровский Ярослав Андреевич</t>
  </si>
  <si>
    <t>Быков Тимур Антонович</t>
  </si>
  <si>
    <t>Гетман Юлия Сергеевна</t>
  </si>
  <si>
    <t>Казорин Даниил Дмитриевич</t>
  </si>
  <si>
    <t>Козлова Ульяна Сергеевна</t>
  </si>
  <si>
    <t>Красногорский Тимофей Алексеевич</t>
  </si>
  <si>
    <t>Музыка Олег Сергеевич</t>
  </si>
  <si>
    <t>Прокофьев Роман Алексеевич</t>
  </si>
  <si>
    <t>Саитов Камиль Булатович</t>
  </si>
  <si>
    <t>Яременко Владимир Михайлович</t>
  </si>
  <si>
    <t>Ярулина Алесия Ильгамовна</t>
  </si>
  <si>
    <t>Кантунья Саласар Жан Карло</t>
  </si>
  <si>
    <t>Бирюков Ян Владиславович</t>
  </si>
  <si>
    <t>Демакова Ксения Александровна</t>
  </si>
  <si>
    <t>Кульдпере Андрей Игоревич</t>
  </si>
  <si>
    <t>06.10.2025</t>
  </si>
  <si>
    <t>Лебедев Артём Евгеньевич</t>
  </si>
  <si>
    <t>Лужецкая Алёна Михайловна</t>
  </si>
  <si>
    <t>Неокесарийский Максим Григорьевич</t>
  </si>
  <si>
    <t>Нефедов Семён Александрович</t>
  </si>
  <si>
    <t>Попов Глеб Ильич</t>
  </si>
  <si>
    <t>Сафронов Матвей Денисович</t>
  </si>
  <si>
    <t>27.10.25</t>
  </si>
  <si>
    <t xml:space="preserve">Суворов Роман Алексеевич </t>
  </si>
  <si>
    <t>Фан Тан Зунг</t>
  </si>
  <si>
    <t>Филимонов Глеб Максимович</t>
  </si>
  <si>
    <t>Деро Давид Андреевич</t>
  </si>
  <si>
    <t>Крупкина Варвара Александровна</t>
  </si>
  <si>
    <t>Поляков Иван Романович</t>
  </si>
  <si>
    <t>Герасимова Алина Юрьевна</t>
  </si>
  <si>
    <t>Дорош Даниил Денисович</t>
  </si>
  <si>
    <t>Елисеев Валерий Павлович</t>
  </si>
  <si>
    <t>Керимов Артём Тимурович</t>
  </si>
  <si>
    <t>Клименко Марк</t>
  </si>
  <si>
    <t>Немыкин Ярослав Алексеевич</t>
  </si>
  <si>
    <t>Павлов Руслан Алексеевич</t>
  </si>
  <si>
    <t>Рахман Матвей Максимович</t>
  </si>
  <si>
    <t>Рябцева Вероника Александровна</t>
  </si>
  <si>
    <t>Сафин Максим Владиславович</t>
  </si>
  <si>
    <t>Сенькина Мария Дмитриевна</t>
  </si>
  <si>
    <t>Сланов Артур Робертович</t>
  </si>
  <si>
    <t>Слудная Виктория Евгеньевна</t>
  </si>
  <si>
    <t>Соловьев Даниил Дмитриевич</t>
  </si>
  <si>
    <t>Хакимова Сафина Рамисовна</t>
  </si>
  <si>
    <t>Овлякулыев Расул</t>
  </si>
  <si>
    <t>Чимирев Антон Олегович</t>
  </si>
  <si>
    <t>доп.1</t>
  </si>
  <si>
    <t>Гнездилов Дмитрий Вадимович</t>
  </si>
  <si>
    <t>Дранкевич Алиса Игоревна</t>
  </si>
  <si>
    <t>20/10</t>
  </si>
  <si>
    <t>14/11</t>
  </si>
  <si>
    <t>22/12</t>
  </si>
  <si>
    <t>Исаев Сергей Алексеевич</t>
  </si>
  <si>
    <t>10/11</t>
  </si>
  <si>
    <t>20/02</t>
  </si>
  <si>
    <t>Кабиров Данияр Умарович</t>
  </si>
  <si>
    <t>Кузнецов Матвей Сергеевич</t>
  </si>
  <si>
    <t>Лебедев Александр Алексеевич</t>
  </si>
  <si>
    <t>13/10</t>
  </si>
  <si>
    <t>Лебедев Алексей Алексеевич</t>
  </si>
  <si>
    <t>08/12</t>
  </si>
  <si>
    <t>Легостаев Даниил Игоревич</t>
  </si>
  <si>
    <t>y/2</t>
  </si>
  <si>
    <t>Мясников Артём Валерьевич</t>
  </si>
  <si>
    <t>Немировская Татьяна Игоревна</t>
  </si>
  <si>
    <t>Рыжаков Владислав Александрович</t>
  </si>
  <si>
    <t>Фокин Владимир Сергеевич</t>
  </si>
  <si>
    <t xml:space="preserve"> n</t>
  </si>
  <si>
    <t>17/11</t>
  </si>
  <si>
    <t>24/11</t>
  </si>
  <si>
    <t>Альшухайед Рами</t>
  </si>
  <si>
    <t>Абдуллаев Санжар Отабекович</t>
  </si>
  <si>
    <t>Аль Араси Мохаммед</t>
  </si>
  <si>
    <t>Аникин Максим</t>
  </si>
  <si>
    <t>Игнатов Андрей Игоревич</t>
  </si>
  <si>
    <t>Копленко Алиса Денисовна</t>
  </si>
  <si>
    <t>Нигматчанов Никита Андреевич</t>
  </si>
  <si>
    <t xml:space="preserve">Хамитова Анастасия Рашидовна </t>
  </si>
  <si>
    <t>переосв</t>
  </si>
  <si>
    <t>Бухарбаев Чингиз Уралович</t>
  </si>
  <si>
    <t>Долженко Александра Борисовна</t>
  </si>
  <si>
    <t>Сайфутдинов Ярослав Денисович</t>
  </si>
  <si>
    <r>
      <rPr>
        <b/>
        <color rgb="FFFFFF00"/>
      </rPr>
      <t xml:space="preserve">Воронина Дарья Сергеевна </t>
    </r>
    <r>
      <rPr>
        <b/>
        <color rgb="FFFF9900"/>
      </rPr>
      <t>, Кустарев Иван Павлович</t>
    </r>
  </si>
  <si>
    <t>Агаларова Айсел Нубарековна</t>
  </si>
  <si>
    <t>Ашралиева Дана Руслановна</t>
  </si>
  <si>
    <t>Баукин Максим Александрович</t>
  </si>
  <si>
    <t>+</t>
  </si>
  <si>
    <t>19.12.2025</t>
  </si>
  <si>
    <t>26.12.2026</t>
  </si>
  <si>
    <t>11.02.2026</t>
  </si>
  <si>
    <t>Белов Вадим Алексеевич</t>
  </si>
  <si>
    <t>Васин Михаил Александрович</t>
  </si>
  <si>
    <t>Вернер Кристина Витальевна</t>
  </si>
  <si>
    <t>Восканов Григорий Андреевич</t>
  </si>
  <si>
    <t>Дараб Задех Захра</t>
  </si>
  <si>
    <t>Журавлев Ярослав Денисович</t>
  </si>
  <si>
    <t>Зотов Ярослав Сергеевич</t>
  </si>
  <si>
    <t>Казакова Елена Денисовна</t>
  </si>
  <si>
    <t>Косов Артём Андреевич</t>
  </si>
  <si>
    <t>Кузубов Константин Александрович</t>
  </si>
  <si>
    <t>17.09.2025</t>
  </si>
  <si>
    <t>Милехина Елизавета Алексеевна</t>
  </si>
  <si>
    <t>26.09.2025</t>
  </si>
  <si>
    <t>Оладое Майкл Блессинг</t>
  </si>
  <si>
    <t>26.12.2025</t>
  </si>
  <si>
    <t>Рахаман Мд Афифур</t>
  </si>
  <si>
    <t>23.01.2026</t>
  </si>
  <si>
    <t>Свечников Константин Денисович</t>
  </si>
  <si>
    <t>Соловьев Алексей Владиславович</t>
  </si>
  <si>
    <t>19.09.2025</t>
  </si>
  <si>
    <t>03.10.2025</t>
  </si>
  <si>
    <t>Стивен Франклин Фейвор Ннаемека</t>
  </si>
  <si>
    <t>Стрелов Алексей Дмитриевич</t>
  </si>
  <si>
    <t>Хоменков Андрей Петрович</t>
  </si>
  <si>
    <t>Арцер Александр Александрович</t>
  </si>
  <si>
    <t>Ежелева Дарья Витальевна</t>
  </si>
  <si>
    <t>Пулотов Фирдавсджон Шухратович</t>
  </si>
  <si>
    <t>Салями Анас</t>
  </si>
  <si>
    <t>Шихахмедов Багаутдин Вадимович</t>
  </si>
  <si>
    <r>
      <rPr>
        <b/>
        <color rgb="FFFF0000"/>
      </rPr>
      <t>Цю</t>
    </r>
    <r>
      <rPr>
        <b/>
      </rPr>
      <t>/</t>
    </r>
    <r>
      <rPr>
        <b/>
        <color rgb="FF4A86E8"/>
      </rPr>
      <t>Лисицина</t>
    </r>
  </si>
  <si>
    <t>Валиев Руслан Новруз Оглы</t>
  </si>
  <si>
    <t>0,5</t>
  </si>
  <si>
    <t>17.02.2026</t>
  </si>
  <si>
    <t>Динь Хюи Хоанг</t>
  </si>
  <si>
    <t>05.02.2026</t>
  </si>
  <si>
    <t>Дядев Владислав Александрович</t>
  </si>
  <si>
    <t>3,10</t>
  </si>
  <si>
    <t>31,10</t>
  </si>
  <si>
    <t>Ершов Дмитрий Александрович</t>
  </si>
  <si>
    <t>Идрис Шуаибу</t>
  </si>
  <si>
    <t>10,10</t>
  </si>
  <si>
    <t>07,11</t>
  </si>
  <si>
    <t>Ислам Мд Асифул</t>
  </si>
  <si>
    <t>Кириченко Тимофей Тарасович</t>
  </si>
  <si>
    <t>17,10</t>
  </si>
  <si>
    <t>Лабин Макар Андреевич</t>
  </si>
  <si>
    <t>Минин Арсений Васильевич</t>
  </si>
  <si>
    <t>Мохамед Амр Ибрахим Гениди</t>
  </si>
  <si>
    <t>Новиков Даниил Дмитриевич</t>
  </si>
  <si>
    <t>Ожеховский Александр Сергеевич</t>
  </si>
  <si>
    <t>24,10</t>
  </si>
  <si>
    <t>5,12</t>
  </si>
  <si>
    <t>Пивоваров Роман Николаевич</t>
  </si>
  <si>
    <t>Разгоняев Максим Витальевич</t>
  </si>
  <si>
    <t>07,10</t>
  </si>
  <si>
    <t>12,12</t>
  </si>
  <si>
    <t>Родионов Максим Артемович</t>
  </si>
  <si>
    <t>Рутман Роман Ильич</t>
  </si>
  <si>
    <t>14.01.2026</t>
  </si>
  <si>
    <t>САвинов Дмитрий Александрович</t>
  </si>
  <si>
    <t>Старченко Александр Николаевич</t>
  </si>
  <si>
    <t>12.09.2025</t>
  </si>
  <si>
    <t>Сыщиков Никита Сергеевич</t>
  </si>
  <si>
    <t>Тенькаев Артём Антонович</t>
  </si>
  <si>
    <t>Турыгин Никита Денисович</t>
  </si>
  <si>
    <t>Езерский Андрей Александрович*</t>
  </si>
  <si>
    <t>Ларби Энох Асанте*</t>
  </si>
  <si>
    <t>Серов Антон Александрович*</t>
  </si>
  <si>
    <t>Чирима Инносент Кельвин*</t>
  </si>
  <si>
    <r>
      <rPr>
        <b/>
      </rPr>
      <t xml:space="preserve">Данилов Павел Юрьевич / </t>
    </r>
    <r>
      <rPr>
        <b/>
        <color rgb="FF4A86E8"/>
      </rPr>
      <t>Стригалев Никита Сергеевич</t>
    </r>
  </si>
  <si>
    <t>Абодерин Абдуллах Аболаде</t>
  </si>
  <si>
    <t>Антонова Анна Игоревна</t>
  </si>
  <si>
    <t>Бущик Иван Николаевич</t>
  </si>
  <si>
    <t>Горшелев Кирилл Валерьевич</t>
  </si>
  <si>
    <t>Горшенин Владислав Дмитриевич</t>
  </si>
  <si>
    <t>Гребенюк Леонид Сергеевич</t>
  </si>
  <si>
    <t>Гузалов Тимур Павлович</t>
  </si>
  <si>
    <t>Гулахмадзода Имрон Бехруз</t>
  </si>
  <si>
    <t>Жукова Мария Владимировна</t>
  </si>
  <si>
    <t>Корхонен Артём Андреевич</t>
  </si>
  <si>
    <t>Кузнецов Андрей Александрович</t>
  </si>
  <si>
    <t>Ларютин Иван Николаевич</t>
  </si>
  <si>
    <t>Лукина Татьяна Александровна</t>
  </si>
  <si>
    <t>Маренников Андрей Иванович</t>
  </si>
  <si>
    <t>Русанов Сергей Константинович</t>
  </si>
  <si>
    <t>Сологубов Матвей Алексеевич</t>
  </si>
  <si>
    <t>Тарнопольский Максим Николаевич</t>
  </si>
  <si>
    <t>Уджах Генри Агада</t>
  </si>
  <si>
    <t>Хабиров Тимур Рустемович</t>
  </si>
  <si>
    <t>Хоанг Тхе Вьет</t>
  </si>
  <si>
    <t>Шмидько Елизавета Львовна</t>
  </si>
  <si>
    <t>Юксель Хамза</t>
  </si>
  <si>
    <t>Белхушет Мохаммед Сирадж</t>
  </si>
  <si>
    <t>Димо Джофани Патрис Юпио</t>
  </si>
  <si>
    <t>Краснов Владислав Васильевич</t>
  </si>
  <si>
    <t>Ковалев Александр Юрьевич</t>
  </si>
  <si>
    <t>Стригалев Никита Сергеевич</t>
  </si>
  <si>
    <t xml:space="preserve"> Гурбашков Степан Максимович</t>
  </si>
  <si>
    <t>21.01</t>
  </si>
  <si>
    <t>Чэнь Жохань</t>
  </si>
  <si>
    <t>13.09.25</t>
  </si>
  <si>
    <t>27.09.25</t>
  </si>
  <si>
    <t>18.10.25</t>
  </si>
  <si>
    <t>Слепцов Кирилл Андреевич</t>
  </si>
  <si>
    <t>``</t>
  </si>
  <si>
    <t>04.10.25</t>
  </si>
  <si>
    <t>08.11.25</t>
  </si>
  <si>
    <t>15.11.25</t>
  </si>
  <si>
    <t>Вавилина Екатерина Андреевна</t>
  </si>
  <si>
    <t>20.09.2025</t>
  </si>
  <si>
    <t>Баширов Анар Керимович</t>
  </si>
  <si>
    <t>11.10.25</t>
  </si>
  <si>
    <t>КрикОрова Мария Алексеевна</t>
  </si>
  <si>
    <t>11.11.25</t>
  </si>
  <si>
    <t>22.11.25</t>
  </si>
  <si>
    <t>Казакова Кристина Дмитриевна</t>
  </si>
  <si>
    <t>11.09.25</t>
  </si>
  <si>
    <t>Кадилов Михаил Владимирович</t>
  </si>
  <si>
    <t>13.09.2025</t>
  </si>
  <si>
    <t>30.11.2024</t>
  </si>
  <si>
    <t>Белоусова Анна Константиновна</t>
  </si>
  <si>
    <t>Беля Алексей Иванович</t>
  </si>
  <si>
    <t>Ларби Энох Асанте</t>
  </si>
  <si>
    <t>Плешивцев Кирилл Михайлович</t>
  </si>
  <si>
    <t>Пашов Илья Александрович</t>
  </si>
  <si>
    <t>25.10.2025</t>
  </si>
  <si>
    <t>Зорин Георгий Юрьевич</t>
  </si>
  <si>
    <t>ГаврилОвич Вероника Вячеславовна</t>
  </si>
  <si>
    <t>Антипин Григорий Викторович</t>
  </si>
  <si>
    <t>Стольная Стелла Андреевна</t>
  </si>
  <si>
    <t>Зуенок Александра Романовна</t>
  </si>
  <si>
    <t>-</t>
  </si>
  <si>
    <t>Тоскуев Егор Денисович</t>
  </si>
  <si>
    <t>Карандашева Анастасия Денисовна</t>
  </si>
  <si>
    <t>Королев Артем Вадимович</t>
  </si>
  <si>
    <t>Савинов Дмитрий Александрович</t>
  </si>
  <si>
    <t>Лихачев Владлен Артемович</t>
  </si>
  <si>
    <t>06.12.2023</t>
  </si>
  <si>
    <t>13.02.2024</t>
  </si>
  <si>
    <t>Группа</t>
  </si>
  <si>
    <t>Шидловский Никита Иванович</t>
  </si>
  <si>
    <t>P3230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</si>
</sst>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.MM"/>
    <numFmt numFmtId="165" formatCode="m/d/yyyy h:mm:ss"/>
    <numFmt numFmtId="166" formatCode="mm/dd"/>
    <numFmt numFmtId="167" formatCode="m/d/yyyy"/>
    <numFmt numFmtId="168" formatCode="m/d"/>
    <numFmt numFmtId="169" formatCode="mm/dd/yy"/>
    <numFmt numFmtId="170" formatCode="&quot; &quot;dd&quot;.&quot;mm"/>
    <numFmt numFmtId="171" formatCode="0.0"/>
    <numFmt numFmtId="172" formatCode="dd&quot;.&quot;mm"/>
    <numFmt numFmtId="173" formatCode="dd.mm"/>
    <numFmt numFmtId="174" formatCode="d.m"/>
  </numFmts>
  <fonts count="26">
    <font>
      <sz val="10.0"/>
      <color rgb="FF000000"/>
      <name val="Arial"/>
    </font>
    <font>
      <b/>
    </font>
    <font>
      <b/>
      <sz val="10.0"/>
    </font>
    <font/>
    <font>
      <name val="Arial"/>
    </font>
    <font>
      <name val="Liberation Serif"/>
    </font>
    <font>
      <color rgb="FF000000"/>
    </font>
    <font>
      <strike/>
      <name val="Arial"/>
    </font>
    <font>
      <strike/>
      <name val="Liberation Serif"/>
    </font>
    <font>
      <color rgb="FF000000"/>
      <name val="&quot;Open Sans&quot;"/>
    </font>
    <font>
      <color rgb="FF000000"/>
      <name val="Arial"/>
    </font>
    <font>
      <color rgb="FF000000"/>
      <name val="Liberation Serif"/>
    </font>
    <font>
      <b/>
      <name val="Arial"/>
    </font>
    <font>
      <color rgb="FFFF0000"/>
    </font>
    <font>
      <strike/>
    </font>
    <font>
      <b/>
      <strike/>
      <sz val="10.0"/>
    </font>
    <font>
      <strike/>
      <color rgb="FFFF0000"/>
    </font>
    <font>
      <b/>
      <color rgb="FF000000"/>
      <name val="Arial"/>
    </font>
    <font>
      <color rgb="FF000000"/>
      <name val="Roboto"/>
    </font>
    <font>
      <name val="Open Sans"/>
    </font>
    <font>
      <b/>
      <color rgb="FFFF9900"/>
    </font>
    <font>
      <sz val="9.0"/>
      <name val="Google Sans Mono"/>
    </font>
    <font>
      <color rgb="FFFFFFFF"/>
      <name val="Liberation Serif"/>
    </font>
    <font>
      <color rgb="FFFFFFFF"/>
    </font>
    <font>
      <color rgb="FFFFFFFF"/>
      <name val="Arial"/>
    </font>
    <font>
      <strike/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</fills>
  <borders count="12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bottom"/>
    </xf>
    <xf borderId="1" fillId="0" fontId="3" numFmtId="0" xfId="0" applyBorder="1" applyFont="1"/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readingOrder="0" textRotation="90"/>
    </xf>
    <xf borderId="0" fillId="0" fontId="3" numFmtId="0" xfId="0" applyAlignment="1" applyFont="1">
      <alignment readingOrder="0" textRotation="90"/>
    </xf>
    <xf borderId="2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readingOrder="0" vertical="bottom"/>
    </xf>
    <xf borderId="2" fillId="0" fontId="3" numFmtId="0" xfId="0" applyBorder="1" applyFont="1"/>
    <xf borderId="3" fillId="0" fontId="3" numFmtId="0" xfId="0" applyBorder="1" applyFont="1"/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0" fontId="3" numFmtId="0" xfId="0" applyAlignment="1" applyBorder="1" applyFont="1">
      <alignment readingOrder="0"/>
    </xf>
    <xf borderId="0" fillId="0" fontId="3" numFmtId="0" xfId="0" applyAlignment="1" applyFont="1">
      <alignment horizontal="right" readingOrder="0"/>
    </xf>
    <xf borderId="3" fillId="0" fontId="3" numFmtId="0" xfId="0" applyAlignment="1" applyBorder="1" applyFont="1">
      <alignment readingOrder="0"/>
    </xf>
    <xf borderId="3" fillId="0" fontId="2" numFmtId="0" xfId="0" applyBorder="1" applyFont="1"/>
    <xf borderId="0" fillId="0" fontId="2" numFmtId="0" xfId="0" applyAlignment="1" applyFont="1">
      <alignment readingOrder="0"/>
    </xf>
    <xf borderId="1" fillId="0" fontId="3" numFmtId="166" xfId="0" applyAlignment="1" applyBorder="1" applyFont="1" applyNumberFormat="1">
      <alignment readingOrder="0"/>
    </xf>
    <xf borderId="2" fillId="0" fontId="3" numFmtId="0" xfId="0" applyAlignment="1" applyBorder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5" xfId="0" applyFont="1" applyNumberFormat="1"/>
    <xf borderId="1" fillId="0" fontId="3" numFmtId="165" xfId="0" applyBorder="1" applyFont="1" applyNumberFormat="1"/>
    <xf borderId="0" fillId="0" fontId="2" numFmtId="0" xfId="0" applyFont="1"/>
    <xf borderId="0" fillId="0" fontId="1" numFmtId="0" xfId="0" applyAlignment="1" applyFont="1">
      <alignment horizontal="left" readingOrder="0"/>
    </xf>
    <xf borderId="5" fillId="0" fontId="2" numFmtId="0" xfId="0" applyAlignment="1" applyBorder="1" applyFont="1">
      <alignment horizontal="center" readingOrder="0" vertical="bottom"/>
    </xf>
    <xf borderId="0" fillId="0" fontId="4" numFmtId="164" xfId="0" applyAlignment="1" applyFont="1" applyNumberFormat="1">
      <alignment textRotation="90" vertical="bottom"/>
    </xf>
    <xf borderId="0" fillId="0" fontId="5" numFmtId="0" xfId="0" applyAlignment="1" applyFont="1">
      <alignment horizontal="right" readingOrder="0" vertical="top"/>
    </xf>
    <xf borderId="0" fillId="0" fontId="4" numFmtId="0" xfId="0" applyAlignment="1" applyFont="1">
      <alignment horizontal="left" readingOrder="0" vertical="top"/>
    </xf>
    <xf borderId="1" fillId="0" fontId="3" numFmtId="0" xfId="0" applyAlignment="1" applyBorder="1" applyFont="1">
      <alignment horizontal="center" readingOrder="0"/>
    </xf>
    <xf borderId="0" fillId="2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right" readingOrder="0" vertical="top"/>
    </xf>
    <xf borderId="1" fillId="0" fontId="2" numFmtId="0" xfId="0" applyBorder="1" applyFont="1"/>
    <xf borderId="0" fillId="0" fontId="6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0" fillId="0" fontId="4" numFmtId="0" xfId="0" applyFont="1"/>
    <xf borderId="1" fillId="0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left" readingOrder="0" vertical="top"/>
    </xf>
    <xf borderId="0" fillId="0" fontId="3" numFmtId="0" xfId="0" applyAlignment="1" applyFont="1">
      <alignment horizontal="center"/>
    </xf>
    <xf borderId="2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right" vertical="bottom"/>
    </xf>
    <xf borderId="1" fillId="0" fontId="4" numFmtId="167" xfId="0" applyAlignment="1" applyBorder="1" applyFont="1" applyNumberFormat="1">
      <alignment horizontal="right" vertical="bottom"/>
    </xf>
    <xf borderId="2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2" fillId="0" fontId="4" numFmtId="0" xfId="0" applyAlignment="1" applyBorder="1" applyFont="1">
      <alignment horizontal="right" readingOrder="0" vertical="bottom"/>
    </xf>
    <xf borderId="1" fillId="0" fontId="3" numFmtId="168" xfId="0" applyAlignment="1" applyBorder="1" applyFont="1" applyNumberFormat="1">
      <alignment readingOrder="0"/>
    </xf>
    <xf borderId="0" fillId="0" fontId="4" numFmtId="0" xfId="0" applyAlignment="1" applyFont="1">
      <alignment vertical="bottom"/>
    </xf>
    <xf borderId="0" fillId="0" fontId="7" numFmtId="0" xfId="0" applyAlignment="1" applyFont="1">
      <alignment horizontal="left" readingOrder="0" vertical="top"/>
    </xf>
    <xf borderId="0" fillId="0" fontId="4" numFmtId="0" xfId="0" applyAlignment="1" applyFont="1">
      <alignment vertical="bottom"/>
    </xf>
    <xf borderId="1" fillId="0" fontId="3" numFmtId="169" xfId="0" applyAlignment="1" applyBorder="1" applyFont="1" applyNumberFormat="1">
      <alignment readingOrder="0"/>
    </xf>
    <xf borderId="1" fillId="0" fontId="3" numFmtId="167" xfId="0" applyAlignment="1" applyBorder="1" applyFont="1" applyNumberFormat="1">
      <alignment readingOrder="0"/>
    </xf>
    <xf borderId="0" fillId="0" fontId="8" numFmtId="0" xfId="0" applyAlignment="1" applyFont="1">
      <alignment horizontal="left" readingOrder="0" vertical="top"/>
    </xf>
    <xf borderId="0" fillId="0" fontId="3" numFmtId="169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2" fillId="0" fontId="3" numFmtId="0" xfId="0" applyAlignment="1" applyBorder="1" applyFont="1">
      <alignment readingOrder="0" textRotation="90"/>
    </xf>
    <xf borderId="1" fillId="0" fontId="3" numFmtId="0" xfId="0" applyAlignment="1" applyBorder="1" applyFont="1">
      <alignment readingOrder="0" textRotation="90"/>
    </xf>
    <xf borderId="1" fillId="3" fontId="3" numFmtId="0" xfId="0" applyAlignment="1" applyBorder="1" applyFill="1" applyFont="1">
      <alignment horizontal="center" readingOrder="0" vertical="center"/>
    </xf>
    <xf quotePrefix="1" borderId="1" fillId="0" fontId="3" numFmtId="0" xfId="0" applyAlignment="1" applyBorder="1" applyFont="1">
      <alignment readingOrder="0"/>
    </xf>
    <xf borderId="2" fillId="4" fontId="3" numFmtId="0" xfId="0" applyAlignment="1" applyBorder="1" applyFill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quotePrefix="1" borderId="1" fillId="0" fontId="4" numFmtId="0" xfId="0" applyAlignment="1" applyBorder="1" applyFont="1">
      <alignment horizontal="right" readingOrder="0" vertical="bottom"/>
    </xf>
    <xf borderId="1" fillId="0" fontId="4" numFmtId="2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horizontal="right" vertical="bottom"/>
    </xf>
    <xf quotePrefix="1" borderId="0" fillId="0" fontId="3" numFmtId="0" xfId="0" applyAlignment="1" applyFont="1">
      <alignment readingOrder="0"/>
    </xf>
    <xf borderId="2" fillId="3" fontId="3" numFmtId="0" xfId="0" applyAlignment="1" applyBorder="1" applyFont="1">
      <alignment horizontal="center" readingOrder="0" vertical="center"/>
    </xf>
    <xf borderId="0" fillId="0" fontId="3" numFmtId="167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2" xfId="0" applyAlignment="1" applyFont="1" applyNumberFormat="1">
      <alignment readingOrder="0" textRotation="90"/>
    </xf>
    <xf borderId="0" fillId="0" fontId="3" numFmtId="170" xfId="0" applyAlignment="1" applyFont="1" applyNumberFormat="1">
      <alignment readingOrder="0" textRotation="90" vertical="bottom"/>
    </xf>
    <xf borderId="0" fillId="0" fontId="3" numFmtId="0" xfId="0" applyAlignment="1" applyFont="1">
      <alignment readingOrder="0" textRotation="90" vertical="bottom"/>
    </xf>
    <xf borderId="1" fillId="0" fontId="3" numFmtId="2" xfId="0" applyAlignment="1" applyBorder="1" applyFont="1" applyNumberFormat="1">
      <alignment readingOrder="0"/>
    </xf>
    <xf borderId="1" fillId="0" fontId="3" numFmtId="171" xfId="0" applyAlignment="1" applyBorder="1" applyFont="1" applyNumberFormat="1">
      <alignment readingOrder="0"/>
    </xf>
    <xf borderId="1" fillId="0" fontId="3" numFmtId="170" xfId="0" applyAlignment="1" applyBorder="1" applyFont="1" applyNumberFormat="1">
      <alignment readingOrder="0"/>
    </xf>
    <xf borderId="1" fillId="0" fontId="3" numFmtId="2" xfId="0" applyBorder="1" applyFont="1" applyNumberFormat="1"/>
    <xf borderId="0" fillId="0" fontId="3" numFmtId="2" xfId="0" applyAlignment="1" applyFont="1" applyNumberFormat="1">
      <alignment readingOrder="0"/>
    </xf>
    <xf borderId="0" fillId="5" fontId="9" numFmtId="0" xfId="0" applyAlignment="1" applyFill="1" applyFont="1">
      <alignment readingOrder="0"/>
    </xf>
    <xf borderId="0" fillId="0" fontId="3" numFmtId="2" xfId="0" applyFont="1" applyNumberFormat="1"/>
    <xf borderId="6" fillId="0" fontId="2" numFmtId="0" xfId="0" applyAlignment="1" applyBorder="1" applyFont="1">
      <alignment horizontal="center" readingOrder="0" vertical="bottom"/>
    </xf>
    <xf borderId="6" fillId="0" fontId="3" numFmtId="0" xfId="0" applyBorder="1" applyFont="1"/>
    <xf borderId="0" fillId="4" fontId="3" numFmtId="0" xfId="0" applyAlignment="1" applyFont="1">
      <alignment readingOrder="0" textRotation="90"/>
    </xf>
    <xf borderId="0" fillId="3" fontId="3" numFmtId="164" xfId="0" applyAlignment="1" applyFont="1" applyNumberFormat="1">
      <alignment readingOrder="0" textRotation="90"/>
    </xf>
    <xf borderId="0" fillId="3" fontId="3" numFmtId="0" xfId="0" applyAlignment="1" applyFont="1">
      <alignment readingOrder="0" textRotation="90"/>
    </xf>
    <xf borderId="0" fillId="2" fontId="3" numFmtId="0" xfId="0" applyAlignment="1" applyFont="1">
      <alignment readingOrder="0" textRotation="90"/>
    </xf>
    <xf borderId="0" fillId="0" fontId="10" numFmtId="0" xfId="0" applyAlignment="1" applyFont="1">
      <alignment horizontal="left" readingOrder="0" vertical="top"/>
    </xf>
    <xf borderId="1" fillId="0" fontId="3" numFmtId="49" xfId="0" applyAlignment="1" applyBorder="1" applyFont="1" applyNumberFormat="1">
      <alignment horizontal="right" readingOrder="0" textRotation="0"/>
    </xf>
    <xf borderId="1" fillId="0" fontId="3" numFmtId="164" xfId="0" applyBorder="1" applyFont="1" applyNumberFormat="1"/>
    <xf borderId="0" fillId="0" fontId="11" numFmtId="0" xfId="0" applyAlignment="1" applyFont="1">
      <alignment horizontal="left" readingOrder="0" vertical="top"/>
    </xf>
    <xf borderId="1" fillId="0" fontId="3" numFmtId="164" xfId="0" applyAlignment="1" applyBorder="1" applyFont="1" applyNumberFormat="1">
      <alignment readingOrder="0"/>
    </xf>
    <xf borderId="0" fillId="2" fontId="3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 vertical="bottom"/>
    </xf>
    <xf borderId="0" fillId="6" fontId="6" numFmtId="0" xfId="0" applyAlignment="1" applyFill="1" applyFont="1">
      <alignment readingOrder="0"/>
    </xf>
    <xf borderId="7" fillId="0" fontId="5" numFmtId="0" xfId="0" applyAlignment="1" applyBorder="1" applyFont="1">
      <alignment horizontal="right" readingOrder="0" vertical="top"/>
    </xf>
    <xf borderId="7" fillId="0" fontId="11" numFmtId="0" xfId="0" applyAlignment="1" applyBorder="1" applyFont="1">
      <alignment horizontal="left" readingOrder="0" vertical="top"/>
    </xf>
    <xf borderId="8" fillId="0" fontId="3" numFmtId="0" xfId="0" applyBorder="1" applyFont="1"/>
    <xf borderId="9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readingOrder="0"/>
    </xf>
    <xf borderId="8" fillId="0" fontId="3" numFmtId="49" xfId="0" applyAlignment="1" applyBorder="1" applyFont="1" applyNumberFormat="1">
      <alignment horizontal="right" readingOrder="0" textRotation="0"/>
    </xf>
    <xf borderId="9" fillId="0" fontId="3" numFmtId="0" xfId="0" applyAlignment="1" applyBorder="1" applyFont="1">
      <alignment readingOrder="0"/>
    </xf>
    <xf borderId="8" fillId="0" fontId="3" numFmtId="164" xfId="0" applyAlignment="1" applyBorder="1" applyFont="1" applyNumberFormat="1">
      <alignment readingOrder="0"/>
    </xf>
    <xf borderId="8" fillId="0" fontId="3" numFmtId="0" xfId="0" applyAlignment="1" applyBorder="1" applyFont="1">
      <alignment readingOrder="0"/>
    </xf>
    <xf borderId="7" fillId="0" fontId="3" numFmtId="0" xfId="0" applyBorder="1" applyFont="1"/>
    <xf borderId="9" fillId="0" fontId="3" numFmtId="0" xfId="0" applyBorder="1" applyFont="1"/>
    <xf borderId="10" fillId="0" fontId="1" numFmtId="0" xfId="0" applyAlignment="1" applyBorder="1" applyFont="1">
      <alignment horizontal="right"/>
    </xf>
    <xf borderId="10" fillId="7" fontId="3" numFmtId="0" xfId="0" applyAlignment="1" applyBorder="1" applyFill="1" applyFont="1">
      <alignment horizontal="center" readingOrder="0"/>
    </xf>
    <xf borderId="10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 readingOrder="0"/>
    </xf>
    <xf borderId="10" fillId="7" fontId="3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 vertical="bottom"/>
    </xf>
    <xf borderId="0" fillId="0" fontId="3" numFmtId="3" xfId="0" applyAlignment="1" applyFont="1" applyNumberFormat="1">
      <alignment readingOrder="0"/>
    </xf>
    <xf borderId="0" fillId="0" fontId="3" numFmtId="3" xfId="0" applyFont="1" applyNumberFormat="1"/>
    <xf borderId="1" fillId="0" fontId="4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readingOrder="0" textRotation="90" vertical="center"/>
    </xf>
    <xf borderId="1" fillId="0" fontId="3" numFmtId="49" xfId="0" applyAlignment="1" applyBorder="1" applyFont="1" applyNumberFormat="1">
      <alignment readingOrder="0"/>
    </xf>
    <xf borderId="1" fillId="0" fontId="4" numFmtId="0" xfId="0" applyAlignment="1" applyBorder="1" applyFont="1">
      <alignment horizontal="right" vertical="bottom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textRotation="90" vertical="bottom"/>
    </xf>
    <xf borderId="2" fillId="0" fontId="5" numFmtId="0" xfId="0" applyAlignment="1" applyBorder="1" applyFont="1">
      <alignment horizontal="right" readingOrder="0" vertical="top"/>
    </xf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right" vertical="bottom"/>
    </xf>
    <xf borderId="1" fillId="0" fontId="4" numFmtId="168" xfId="0" applyAlignment="1" applyBorder="1" applyFont="1" applyNumberFormat="1">
      <alignment horizontal="right" vertical="bottom"/>
    </xf>
    <xf borderId="2" fillId="0" fontId="4" numFmtId="0" xfId="0" applyAlignment="1" applyBorder="1" applyFont="1">
      <alignment horizontal="right" readingOrder="0" vertical="top"/>
    </xf>
    <xf borderId="0" fillId="3" fontId="12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8" fontId="3" numFmtId="0" xfId="0" applyAlignment="1" applyFill="1" applyFont="1">
      <alignment readingOrder="0"/>
    </xf>
    <xf borderId="2" fillId="8" fontId="3" numFmtId="0" xfId="0" applyAlignment="1" applyBorder="1" applyFont="1">
      <alignment readingOrder="0"/>
    </xf>
    <xf borderId="0" fillId="9" fontId="3" numFmtId="0" xfId="0" applyAlignment="1" applyFill="1" applyFont="1">
      <alignment readingOrder="0"/>
    </xf>
    <xf borderId="1" fillId="9" fontId="3" numFmtId="0" xfId="0" applyAlignment="1" applyBorder="1" applyFont="1">
      <alignment readingOrder="0"/>
    </xf>
    <xf borderId="0" fillId="10" fontId="8" numFmtId="0" xfId="0" applyAlignment="1" applyFill="1" applyFont="1">
      <alignment horizontal="left" readingOrder="0" vertical="top"/>
    </xf>
    <xf borderId="2" fillId="0" fontId="3" numFmtId="164" xfId="0" applyAlignment="1" applyBorder="1" applyFont="1" applyNumberFormat="1">
      <alignment readingOrder="0" textRotation="90"/>
    </xf>
    <xf borderId="0" fillId="0" fontId="3" numFmtId="0" xfId="0" applyAlignment="1" applyFont="1">
      <alignment horizontal="center" readingOrder="0" textRotation="90"/>
    </xf>
    <xf borderId="0" fillId="0" fontId="4" numFmtId="0" xfId="0" applyAlignment="1" applyFont="1">
      <alignment horizontal="center" readingOrder="0" vertical="bottom"/>
    </xf>
    <xf borderId="0" fillId="11" fontId="4" numFmtId="0" xfId="0" applyAlignment="1" applyFill="1" applyFont="1">
      <alignment horizontal="center" readingOrder="0" vertical="bottom"/>
    </xf>
    <xf borderId="0" fillId="12" fontId="4" numFmtId="0" xfId="0" applyAlignment="1" applyFill="1" applyFont="1">
      <alignment horizontal="center" readingOrder="0" vertical="bottom"/>
    </xf>
    <xf borderId="2" fillId="13" fontId="3" numFmtId="0" xfId="0" applyBorder="1" applyFill="1" applyFont="1"/>
    <xf borderId="0" fillId="13" fontId="3" numFmtId="0" xfId="0" applyFont="1"/>
    <xf borderId="1" fillId="13" fontId="3" numFmtId="0" xfId="0" applyBorder="1" applyFont="1"/>
    <xf borderId="1" fillId="0" fontId="3" numFmtId="164" xfId="0" applyAlignment="1" applyBorder="1" applyFont="1" applyNumberFormat="1">
      <alignment horizontal="center" readingOrder="0"/>
    </xf>
    <xf borderId="2" fillId="11" fontId="4" numFmtId="0" xfId="0" applyAlignment="1" applyBorder="1" applyFont="1">
      <alignment horizontal="center" readingOrder="0" vertical="bottom"/>
    </xf>
    <xf borderId="2" fillId="0" fontId="3" numFmtId="0" xfId="0" applyBorder="1" applyFont="1"/>
    <xf borderId="2" fillId="12" fontId="4" numFmtId="0" xfId="0" applyAlignment="1" applyBorder="1" applyFont="1">
      <alignment horizontal="center" readingOrder="0" vertical="bottom"/>
    </xf>
    <xf borderId="0" fillId="13" fontId="4" numFmtId="0" xfId="0" applyAlignment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0" fillId="0" fontId="3" numFmtId="165" xfId="0" applyAlignment="1" applyFont="1" applyNumberFormat="1">
      <alignment horizontal="center"/>
    </xf>
    <xf borderId="1" fillId="11" fontId="4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horizontal="center" vertical="bottom"/>
    </xf>
    <xf borderId="0" fillId="13" fontId="5" numFmtId="0" xfId="0" applyAlignment="1" applyFont="1">
      <alignment horizontal="right" readingOrder="0" vertical="top"/>
    </xf>
    <xf borderId="0" fillId="13" fontId="5" numFmtId="0" xfId="0" applyAlignment="1" applyFont="1">
      <alignment horizontal="left" readingOrder="0" vertical="top"/>
    </xf>
    <xf borderId="2" fillId="13" fontId="4" numFmtId="0" xfId="0" applyAlignment="1" applyBorder="1" applyFont="1">
      <alignment horizontal="center" readingOrder="0" vertical="bottom"/>
    </xf>
    <xf borderId="1" fillId="13" fontId="3" numFmtId="165" xfId="0" applyAlignment="1" applyBorder="1" applyFont="1" applyNumberFormat="1">
      <alignment horizontal="center"/>
    </xf>
    <xf borderId="1" fillId="13" fontId="3" numFmtId="165" xfId="0" applyBorder="1" applyFont="1" applyNumberFormat="1"/>
    <xf borderId="2" fillId="13" fontId="3" numFmtId="0" xfId="0" applyAlignment="1" applyBorder="1" applyFont="1">
      <alignment readingOrder="0"/>
    </xf>
    <xf borderId="0" fillId="13" fontId="3" numFmtId="0" xfId="0" applyAlignment="1" applyFont="1">
      <alignment readingOrder="0"/>
    </xf>
    <xf borderId="3" fillId="13" fontId="3" numFmtId="0" xfId="0" applyAlignment="1" applyBorder="1" applyFont="1">
      <alignment readingOrder="0"/>
    </xf>
    <xf borderId="3" fillId="13" fontId="2" numFmtId="0" xfId="0" applyBorder="1" applyFont="1"/>
    <xf borderId="0" fillId="13" fontId="2" numFmtId="0" xfId="0" applyAlignment="1" applyFont="1">
      <alignment readingOrder="0"/>
    </xf>
    <xf borderId="1" fillId="13" fontId="4" numFmtId="0" xfId="0" applyAlignment="1" applyBorder="1" applyFont="1">
      <alignment horizontal="center" readingOrder="0" vertical="bottom"/>
    </xf>
    <xf borderId="0" fillId="13" fontId="3" numFmtId="165" xfId="0" applyAlignment="1" applyFont="1" applyNumberFormat="1">
      <alignment horizontal="center"/>
    </xf>
    <xf borderId="0" fillId="13" fontId="3" numFmtId="165" xfId="0" applyFont="1" applyNumberFormat="1"/>
    <xf borderId="0" fillId="13" fontId="2" numFmtId="0" xfId="0" applyFont="1"/>
    <xf borderId="0" fillId="8" fontId="5" numFmtId="0" xfId="0" applyAlignment="1" applyFont="1">
      <alignment horizontal="left" readingOrder="0" vertical="top"/>
    </xf>
    <xf borderId="0" fillId="0" fontId="3" numFmtId="170" xfId="0" applyAlignment="1" applyFont="1" applyNumberFormat="1">
      <alignment readingOrder="0"/>
    </xf>
    <xf borderId="1" fillId="0" fontId="3" numFmtId="170" xfId="0" applyBorder="1" applyFont="1" applyNumberFormat="1"/>
    <xf borderId="0" fillId="0" fontId="13" numFmtId="0" xfId="0" applyFont="1"/>
    <xf borderId="0" fillId="0" fontId="13" numFmtId="0" xfId="0" applyAlignment="1" applyFont="1">
      <alignment readingOrder="0"/>
    </xf>
    <xf borderId="0" fillId="0" fontId="3" numFmtId="170" xfId="0" applyFont="1" applyNumberFormat="1"/>
    <xf borderId="0" fillId="0" fontId="8" numFmtId="0" xfId="0" applyAlignment="1" applyFont="1">
      <alignment horizontal="right" readingOrder="0" vertical="top"/>
    </xf>
    <xf borderId="1" fillId="0" fontId="14" numFmtId="0" xfId="0" applyAlignment="1" applyBorder="1" applyFont="1">
      <alignment readingOrder="0"/>
    </xf>
    <xf borderId="2" fillId="0" fontId="14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2" fillId="0" fontId="8" numFmtId="0" xfId="0" applyAlignment="1" applyBorder="1" applyFont="1">
      <alignment horizontal="right" readingOrder="0" vertical="top"/>
    </xf>
    <xf borderId="0" fillId="0" fontId="14" numFmtId="0" xfId="0" applyFont="1"/>
    <xf borderId="1" fillId="0" fontId="14" numFmtId="170" xfId="0" applyAlignment="1" applyBorder="1" applyFont="1" applyNumberFormat="1">
      <alignment readingOrder="0"/>
    </xf>
    <xf borderId="2" fillId="0" fontId="14" numFmtId="0" xfId="0" applyAlignment="1" applyBorder="1" applyFont="1">
      <alignment readingOrder="0"/>
    </xf>
    <xf borderId="0" fillId="0" fontId="14" numFmtId="0" xfId="0" applyAlignment="1" applyFont="1">
      <alignment horizontal="right" readingOrder="0"/>
    </xf>
    <xf borderId="3" fillId="0" fontId="14" numFmtId="0" xfId="0" applyAlignment="1" applyBorder="1" applyFont="1">
      <alignment readingOrder="0"/>
    </xf>
    <xf borderId="2" fillId="0" fontId="14" numFmtId="0" xfId="0" applyBorder="1" applyFont="1"/>
    <xf borderId="3" fillId="0" fontId="15" numFmtId="0" xfId="0" applyBorder="1" applyFont="1"/>
    <xf borderId="0" fillId="0" fontId="15" numFmtId="0" xfId="0" applyAlignment="1" applyFont="1">
      <alignment readingOrder="0"/>
    </xf>
    <xf borderId="0" fillId="14" fontId="8" numFmtId="0" xfId="0" applyAlignment="1" applyFill="1" applyFont="1">
      <alignment horizontal="left" readingOrder="0" vertical="top"/>
    </xf>
    <xf borderId="1" fillId="0" fontId="14" numFmtId="170" xfId="0" applyBorder="1" applyFont="1" applyNumberFormat="1"/>
    <xf borderId="0" fillId="0" fontId="16" numFmtId="0" xfId="0" applyFont="1"/>
    <xf borderId="1" fillId="0" fontId="14" numFmtId="0" xfId="0" applyBorder="1" applyFont="1"/>
    <xf borderId="0" fillId="0" fontId="7" numFmtId="0" xfId="0" applyAlignment="1" applyFont="1">
      <alignment horizontal="right" vertical="bottom"/>
    </xf>
    <xf borderId="1" fillId="0" fontId="7" numFmtId="170" xfId="0" applyAlignment="1" applyBorder="1" applyFont="1" applyNumberFormat="1">
      <alignment horizontal="right" vertical="bottom"/>
    </xf>
    <xf borderId="2" fillId="0" fontId="7" numFmtId="0" xfId="0" applyAlignment="1" applyBorder="1" applyFont="1">
      <alignment horizontal="right" vertical="bottom"/>
    </xf>
    <xf borderId="0" fillId="15" fontId="5" numFmtId="0" xfId="0" applyAlignment="1" applyFill="1" applyFont="1">
      <alignment horizontal="left" readingOrder="0" vertical="top"/>
    </xf>
    <xf borderId="0" fillId="16" fontId="5" numFmtId="0" xfId="0" applyAlignment="1" applyFill="1" applyFont="1">
      <alignment horizontal="left" readingOrder="0" vertical="top"/>
    </xf>
    <xf borderId="0" fillId="12" fontId="5" numFmtId="0" xfId="0" applyAlignment="1" applyFont="1">
      <alignment horizontal="left" readingOrder="0" vertical="top"/>
    </xf>
    <xf borderId="1" fillId="0" fontId="3" numFmtId="0" xfId="0" applyAlignment="1" applyBorder="1" applyFont="1">
      <alignment horizontal="center" readingOrder="0" vertical="center"/>
    </xf>
    <xf borderId="1" fillId="0" fontId="3" numFmtId="172" xfId="0" applyAlignment="1" applyBorder="1" applyFont="1" applyNumberFormat="1">
      <alignment readingOrder="0"/>
    </xf>
    <xf borderId="2" fillId="0" fontId="3" numFmtId="0" xfId="0" applyAlignment="1" applyBorder="1" applyFont="1">
      <alignment horizontal="center" readingOrder="0" vertical="center"/>
    </xf>
    <xf borderId="0" fillId="0" fontId="3" numFmtId="172" xfId="0" applyAlignment="1" applyFont="1" applyNumberFormat="1">
      <alignment readingOrder="0"/>
    </xf>
    <xf borderId="0" fillId="0" fontId="8" numFmtId="0" xfId="0" applyAlignment="1" applyFont="1">
      <alignment horizontal="right" readingOrder="0" vertical="top"/>
    </xf>
    <xf borderId="0" fillId="0" fontId="8" numFmtId="0" xfId="0" applyAlignment="1" applyFont="1">
      <alignment horizontal="left" readingOrder="0" vertical="top"/>
    </xf>
    <xf borderId="0" fillId="0" fontId="14" numFmtId="0" xfId="0" applyFont="1"/>
    <xf borderId="2" fillId="0" fontId="14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4" numFmtId="172" xfId="0" applyAlignment="1" applyFont="1" applyNumberFormat="1">
      <alignment readingOrder="0"/>
    </xf>
    <xf borderId="2" fillId="0" fontId="14" numFmtId="0" xfId="0" applyAlignment="1" applyBorder="1" applyFont="1">
      <alignment readingOrder="0"/>
    </xf>
    <xf borderId="0" fillId="0" fontId="14" numFmtId="172" xfId="0" applyFont="1" applyNumberFormat="1"/>
    <xf borderId="3" fillId="0" fontId="14" numFmtId="0" xfId="0" applyAlignment="1" applyBorder="1" applyFont="1">
      <alignment readingOrder="0"/>
    </xf>
    <xf borderId="2" fillId="0" fontId="14" numFmtId="0" xfId="0" applyBorder="1" applyFont="1"/>
    <xf borderId="3" fillId="0" fontId="15" numFmtId="0" xfId="0" applyBorder="1" applyFont="1"/>
    <xf borderId="0" fillId="0" fontId="15" numFmtId="0" xfId="0" applyAlignment="1" applyFont="1">
      <alignment readingOrder="0"/>
    </xf>
    <xf borderId="1" fillId="5" fontId="10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/>
    </xf>
    <xf borderId="1" fillId="5" fontId="10" numFmtId="0" xfId="0" applyAlignment="1" applyBorder="1" applyFont="1">
      <alignment horizontal="left" shrinkToFit="0" vertical="bottom" wrapText="0"/>
    </xf>
    <xf borderId="8" fillId="5" fontId="17" numFmtId="0" xfId="0" applyAlignment="1" applyBorder="1" applyFont="1">
      <alignment horizontal="right" readingOrder="0" shrinkToFit="0" vertical="bottom" wrapText="0"/>
    </xf>
    <xf borderId="2" fillId="0" fontId="18" numFmtId="0" xfId="0" applyAlignment="1" applyBorder="1" applyFont="1">
      <alignment readingOrder="0"/>
    </xf>
    <xf borderId="2" fillId="5" fontId="19" numFmtId="0" xfId="0" applyAlignment="1" applyBorder="1" applyFont="1">
      <alignment horizontal="center" vertical="top"/>
    </xf>
    <xf borderId="1" fillId="0" fontId="3" numFmtId="172" xfId="0" applyBorder="1" applyFont="1" applyNumberFormat="1"/>
    <xf borderId="1" fillId="0" fontId="4" numFmtId="172" xfId="0" applyAlignment="1" applyBorder="1" applyFont="1" applyNumberFormat="1">
      <alignment horizontal="right" readingOrder="0" vertical="bottom"/>
    </xf>
    <xf borderId="2" fillId="5" fontId="4" numFmtId="0" xfId="0" applyAlignment="1" applyBorder="1" applyFont="1">
      <alignment readingOrder="0" vertical="top"/>
    </xf>
    <xf borderId="0" fillId="0" fontId="3" numFmtId="172" xfId="0" applyFont="1" applyNumberFormat="1"/>
    <xf borderId="2" fillId="5" fontId="4" numFmtId="0" xfId="0" applyAlignment="1" applyBorder="1" applyFont="1">
      <alignment horizontal="center" readingOrder="0" vertical="top"/>
    </xf>
    <xf borderId="2" fillId="0" fontId="4" numFmtId="0" xfId="0" applyAlignment="1" applyBorder="1" applyFont="1">
      <alignment horizontal="center" vertical="bottom"/>
    </xf>
    <xf borderId="0" fillId="0" fontId="7" numFmtId="0" xfId="0" applyAlignment="1" applyFont="1">
      <alignment horizontal="left" readingOrder="0" vertical="top"/>
    </xf>
    <xf borderId="2" fillId="17" fontId="4" numFmtId="0" xfId="0" applyAlignment="1" applyBorder="1" applyFill="1" applyFont="1">
      <alignment horizontal="center" readingOrder="0" vertical="bottom"/>
    </xf>
    <xf borderId="0" fillId="17" fontId="4" numFmtId="0" xfId="0" applyAlignment="1" applyFont="1">
      <alignment horizontal="center" readingOrder="0" vertical="bottom"/>
    </xf>
    <xf borderId="1" fillId="17" fontId="4" numFmtId="0" xfId="0" applyAlignment="1" applyBorder="1" applyFont="1">
      <alignment horizontal="center" readingOrder="0" vertical="bottom"/>
    </xf>
    <xf borderId="0" fillId="0" fontId="3" numFmtId="164" xfId="0" applyAlignment="1" applyFont="1" applyNumberFormat="1">
      <alignment readingOrder="0"/>
    </xf>
    <xf borderId="1" fillId="13" fontId="3" numFmtId="0" xfId="0" applyAlignment="1" applyBorder="1" applyFont="1">
      <alignment readingOrder="0"/>
    </xf>
    <xf borderId="1" fillId="13" fontId="2" numFmtId="0" xfId="0" applyBorder="1" applyFont="1"/>
    <xf borderId="0" fillId="18" fontId="5" numFmtId="0" xfId="0" applyAlignment="1" applyFill="1" applyFont="1">
      <alignment horizontal="left" readingOrder="0" vertical="top"/>
    </xf>
    <xf borderId="0" fillId="0" fontId="20" numFmtId="0" xfId="0" applyAlignment="1" applyFont="1">
      <alignment readingOrder="0"/>
    </xf>
    <xf borderId="0" fillId="19" fontId="8" numFmtId="0" xfId="0" applyAlignment="1" applyFill="1" applyFont="1">
      <alignment horizontal="left" readingOrder="0" vertical="top"/>
    </xf>
    <xf borderId="1" fillId="0" fontId="3" numFmtId="0" xfId="0" applyAlignment="1" applyBorder="1" applyFont="1">
      <alignment readingOrder="0" shrinkToFit="0" wrapText="0"/>
    </xf>
    <xf borderId="0" fillId="19" fontId="5" numFmtId="0" xfId="0" applyAlignment="1" applyFont="1">
      <alignment horizontal="left" readingOrder="0" vertical="top"/>
    </xf>
    <xf borderId="1" fillId="0" fontId="3" numFmtId="165" xfId="0" applyAlignment="1" applyBorder="1" applyFont="1" applyNumberFormat="1">
      <alignment shrinkToFit="0" wrapText="0"/>
    </xf>
    <xf borderId="0" fillId="20" fontId="4" numFmtId="0" xfId="0" applyAlignment="1" applyFill="1" applyFont="1">
      <alignment horizontal="left" readingOrder="0" vertical="top"/>
    </xf>
    <xf quotePrefix="1" borderId="0" fillId="0" fontId="3" numFmtId="0" xfId="0" applyAlignment="1" applyFont="1">
      <alignment horizontal="center" readingOrder="0" vertical="center"/>
    </xf>
    <xf borderId="1" fillId="0" fontId="4" numFmtId="164" xfId="0" applyAlignment="1" applyBorder="1" applyFont="1" applyNumberFormat="1">
      <alignment horizontal="right" shrinkToFit="0" vertical="bottom" wrapText="0"/>
    </xf>
    <xf borderId="0" fillId="0" fontId="3" numFmtId="0" xfId="0" applyAlignment="1" applyFont="1">
      <alignment readingOrder="0" shrinkToFit="0" wrapText="0"/>
    </xf>
    <xf borderId="0" fillId="20" fontId="5" numFmtId="0" xfId="0" applyAlignment="1" applyFont="1">
      <alignment horizontal="left" readingOrder="0" vertical="top"/>
    </xf>
    <xf quotePrefix="1" borderId="2" fillId="0" fontId="3" numFmtId="0" xfId="0" applyAlignment="1" applyBorder="1" applyFont="1">
      <alignment horizontal="center" readingOrder="0" vertical="center"/>
    </xf>
    <xf quotePrefix="1" borderId="1" fillId="0" fontId="3" numFmtId="0" xfId="0" applyAlignment="1" applyBorder="1" applyFont="1">
      <alignment horizontal="center" readingOrder="0" vertical="center"/>
    </xf>
    <xf quotePrefix="1" borderId="0" fillId="0" fontId="21" numFmtId="0" xfId="0" applyAlignment="1" applyFont="1">
      <alignment horizontal="center" readingOrder="0" vertical="center"/>
    </xf>
    <xf borderId="1" fillId="0" fontId="3" numFmtId="169" xfId="0" applyAlignment="1" applyBorder="1" applyFont="1" applyNumberFormat="1">
      <alignment readingOrder="0" shrinkToFit="0" wrapText="0"/>
    </xf>
    <xf borderId="0" fillId="20" fontId="8" numFmtId="0" xfId="0" applyAlignment="1" applyFont="1">
      <alignment horizontal="left" readingOrder="0" vertical="top"/>
    </xf>
    <xf borderId="0" fillId="21" fontId="22" numFmtId="0" xfId="0" applyAlignment="1" applyFill="1" applyFont="1">
      <alignment horizontal="left" readingOrder="0" vertical="top"/>
    </xf>
    <xf borderId="0" fillId="10" fontId="22" numFmtId="0" xfId="0" applyAlignment="1" applyFont="1">
      <alignment horizontal="left" readingOrder="0" vertical="top"/>
    </xf>
    <xf borderId="0" fillId="10" fontId="23" numFmtId="0" xfId="0" applyAlignment="1" applyFont="1">
      <alignment readingOrder="0"/>
    </xf>
    <xf borderId="0" fillId="21" fontId="24" numFmtId="0" xfId="0" applyAlignment="1" applyFont="1">
      <alignment horizontal="left" readingOrder="0" vertical="top"/>
    </xf>
    <xf borderId="0" fillId="0" fontId="23" numFmtId="0" xfId="0" applyAlignment="1" applyFont="1">
      <alignment readingOrder="0"/>
    </xf>
    <xf borderId="0" fillId="21" fontId="25" numFmtId="0" xfId="0" applyAlignment="1" applyFont="1">
      <alignment horizontal="left" readingOrder="0" vertical="top"/>
    </xf>
    <xf borderId="0" fillId="22" fontId="5" numFmtId="0" xfId="0" applyAlignment="1" applyFill="1" applyFont="1">
      <alignment horizontal="left" readingOrder="0" vertical="top"/>
    </xf>
    <xf borderId="0" fillId="22" fontId="8" numFmtId="0" xfId="0" applyAlignment="1" applyFont="1">
      <alignment horizontal="left" readingOrder="0" vertical="top"/>
    </xf>
    <xf borderId="0" fillId="0" fontId="14" numFmtId="0" xfId="0" applyAlignment="1" applyFont="1">
      <alignment readingOrder="0"/>
    </xf>
    <xf borderId="0" fillId="0" fontId="14" numFmtId="168" xfId="0" applyAlignment="1" applyFont="1" applyNumberFormat="1">
      <alignment readingOrder="0"/>
    </xf>
    <xf borderId="1" fillId="0" fontId="15" numFmtId="0" xfId="0" applyBorder="1" applyFont="1"/>
    <xf borderId="0" fillId="0" fontId="3" numFmtId="167" xfId="0" applyAlignment="1" applyFont="1" applyNumberFormat="1">
      <alignment readingOrder="0" textRotation="90"/>
    </xf>
    <xf borderId="0" fillId="0" fontId="3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2" fillId="23" fontId="3" numFmtId="0" xfId="0" applyAlignment="1" applyBorder="1" applyFill="1" applyFont="1">
      <alignment readingOrder="0"/>
    </xf>
    <xf borderId="0" fillId="23" fontId="3" numFmtId="0" xfId="0" applyAlignment="1" applyFont="1">
      <alignment readingOrder="0"/>
    </xf>
    <xf borderId="1" fillId="23" fontId="3" numFmtId="0" xfId="0" applyAlignment="1" applyBorder="1" applyFont="1">
      <alignment readingOrder="0"/>
    </xf>
    <xf borderId="0" fillId="0" fontId="4" numFmtId="0" xfId="0" applyAlignment="1" applyFont="1">
      <alignment horizontal="center" vertical="bottom"/>
    </xf>
    <xf borderId="1" fillId="0" fontId="4" numFmtId="0" xfId="0" applyBorder="1" applyFont="1"/>
    <xf borderId="1" fillId="0" fontId="14" numFmtId="165" xfId="0" applyBorder="1" applyFont="1" applyNumberFormat="1"/>
    <xf borderId="0" fillId="0" fontId="4" numFmtId="0" xfId="0" applyAlignment="1" applyFont="1">
      <alignment horizontal="right" vertical="bottom"/>
    </xf>
    <xf borderId="1" fillId="0" fontId="4" numFmtId="165" xfId="0" applyAlignment="1" applyBorder="1" applyFont="1" applyNumberFormat="1">
      <alignment vertical="bottom"/>
    </xf>
    <xf borderId="0" fillId="0" fontId="3" numFmtId="0" xfId="0" applyAlignment="1" applyFont="1">
      <alignment horizontal="left" readingOrder="0"/>
    </xf>
    <xf borderId="1" fillId="0" fontId="3" numFmtId="173" xfId="0" applyAlignment="1" applyBorder="1" applyFont="1" applyNumberFormat="1">
      <alignment readingOrder="0"/>
    </xf>
    <xf borderId="1" fillId="0" fontId="3" numFmtId="174" xfId="0" applyAlignment="1" applyBorder="1" applyFont="1" applyNumberFormat="1">
      <alignment readingOrder="0"/>
    </xf>
    <xf borderId="0" fillId="0" fontId="14" numFmtId="0" xfId="0" applyFont="1"/>
    <xf borderId="11" fillId="0" fontId="2" numFmtId="0" xfId="0" applyBorder="1" applyFont="1"/>
  </cellXfs>
  <cellStyles count="1">
    <cellStyle xfId="0" name="Normal" builtinId="0"/>
  </cellStyles>
  <dxfs count="10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1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2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3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14" width="2.88"/>
    <col customWidth="1" min="15" max="15" width="8.13"/>
    <col customWidth="1" min="16" max="16" width="5.0"/>
    <col customWidth="1" min="17" max="17" width="3.88"/>
    <col customWidth="1" min="18" max="18" width="4.63"/>
    <col customWidth="1" min="19" max="19" width="6.5"/>
    <col customWidth="1" min="20" max="20" width="5.13"/>
    <col customWidth="1" min="21" max="21" width="4.0"/>
    <col customWidth="1" min="22" max="22" width="5.0"/>
    <col customWidth="1" min="23" max="23" width="6.38"/>
    <col customWidth="1" min="24" max="24" width="5.13"/>
    <col customWidth="1" min="25" max="25" width="4.0"/>
    <col customWidth="1" min="26" max="26" width="5.0"/>
    <col customWidth="1" min="27" max="27" width="7.63"/>
    <col customWidth="1" min="28" max="28" width="5.0"/>
    <col customWidth="1" min="29" max="29" width="4.5"/>
    <col customWidth="1" min="30" max="30" width="5.0"/>
    <col customWidth="1" min="31" max="31" width="5.63"/>
    <col customWidth="1" min="32" max="32" width="5.13"/>
    <col customWidth="1" min="33" max="33" width="5.38"/>
    <col customWidth="1" min="34" max="34" width="5.0"/>
    <col customWidth="1" min="35" max="36" width="5.38"/>
    <col customWidth="1" min="37" max="38" width="5.88"/>
    <col customWidth="1" min="39" max="39" width="5.63"/>
    <col customWidth="1" min="40" max="44" width="4.25"/>
    <col customWidth="1" min="45" max="45" width="4.63"/>
    <col customWidth="1" min="46" max="46" width="4.5"/>
    <col customWidth="1" min="47" max="48" width="4.63"/>
    <col customWidth="1" min="49" max="50" width="4.5"/>
    <col customWidth="1" min="51" max="53" width="4.38"/>
    <col customWidth="1" min="54" max="54" width="6.63"/>
    <col customWidth="1" min="55" max="55" width="3.25"/>
  </cols>
  <sheetData>
    <row r="1">
      <c r="A1" s="1" t="s">
        <v>0</v>
      </c>
      <c r="C1" s="2" t="s">
        <v>1</v>
      </c>
      <c r="D1" s="3" t="s">
        <v>2</v>
      </c>
      <c r="N1" s="4"/>
      <c r="O1" s="5" t="s">
        <v>3</v>
      </c>
      <c r="R1" s="4"/>
      <c r="S1" s="5" t="s">
        <v>4</v>
      </c>
      <c r="V1" s="4"/>
      <c r="W1" s="5" t="s">
        <v>5</v>
      </c>
      <c r="Z1" s="4"/>
      <c r="AA1" s="5" t="s">
        <v>6</v>
      </c>
      <c r="AD1" s="4"/>
      <c r="AE1" s="3" t="s">
        <v>7</v>
      </c>
      <c r="AF1" s="6" t="s">
        <v>8</v>
      </c>
      <c r="AG1" s="6" t="s">
        <v>9</v>
      </c>
      <c r="AH1" s="6" t="s">
        <v>10</v>
      </c>
      <c r="AI1" s="6" t="s">
        <v>11</v>
      </c>
      <c r="AJ1" s="6" t="s">
        <v>12</v>
      </c>
      <c r="AK1" s="6" t="s">
        <v>13</v>
      </c>
      <c r="AL1" s="7" t="s">
        <v>14</v>
      </c>
      <c r="AM1" s="8" t="s">
        <v>15</v>
      </c>
      <c r="AN1" s="3" t="s">
        <v>16</v>
      </c>
      <c r="BB1" s="9" t="s">
        <v>17</v>
      </c>
      <c r="BC1" s="10" t="s">
        <v>18</v>
      </c>
    </row>
    <row r="2">
      <c r="A2" s="11" t="s">
        <v>19</v>
      </c>
      <c r="B2" s="11" t="s">
        <v>20</v>
      </c>
      <c r="C2" s="4"/>
      <c r="D2" s="12">
        <v>45536.0</v>
      </c>
      <c r="E2" s="12">
        <f t="shared" ref="E2:K2" si="1">D2+14</f>
        <v>45550</v>
      </c>
      <c r="F2" s="12">
        <f t="shared" si="1"/>
        <v>45564</v>
      </c>
      <c r="G2" s="12">
        <f t="shared" si="1"/>
        <v>45578</v>
      </c>
      <c r="H2" s="12">
        <f t="shared" si="1"/>
        <v>45592</v>
      </c>
      <c r="I2" s="12">
        <f t="shared" si="1"/>
        <v>45606</v>
      </c>
      <c r="J2" s="12">
        <f t="shared" si="1"/>
        <v>45620</v>
      </c>
      <c r="K2" s="12">
        <f t="shared" si="1"/>
        <v>45634</v>
      </c>
      <c r="L2" s="13"/>
      <c r="M2" s="13"/>
      <c r="N2" s="13"/>
      <c r="O2" s="14" t="s">
        <v>21</v>
      </c>
      <c r="P2" s="15" t="s">
        <v>22</v>
      </c>
      <c r="Q2" s="15" t="s">
        <v>23</v>
      </c>
      <c r="R2" s="16" t="s">
        <v>24</v>
      </c>
      <c r="S2" s="14" t="s">
        <v>21</v>
      </c>
      <c r="T2" s="15" t="s">
        <v>22</v>
      </c>
      <c r="U2" s="15" t="s">
        <v>23</v>
      </c>
      <c r="V2" s="16" t="s">
        <v>24</v>
      </c>
      <c r="W2" s="14" t="s">
        <v>21</v>
      </c>
      <c r="X2" s="15" t="s">
        <v>22</v>
      </c>
      <c r="Y2" s="15" t="s">
        <v>23</v>
      </c>
      <c r="Z2" s="16" t="s">
        <v>24</v>
      </c>
      <c r="AA2" s="14" t="s">
        <v>21</v>
      </c>
      <c r="AB2" s="15" t="s">
        <v>22</v>
      </c>
      <c r="AC2" s="15" t="s">
        <v>23</v>
      </c>
      <c r="AD2" s="16" t="s">
        <v>24</v>
      </c>
      <c r="AE2" s="17" t="s">
        <v>25</v>
      </c>
      <c r="AF2" s="18" t="s">
        <v>25</v>
      </c>
      <c r="AG2" s="18" t="s">
        <v>25</v>
      </c>
      <c r="AH2" s="18" t="s">
        <v>25</v>
      </c>
      <c r="AI2" s="18" t="s">
        <v>25</v>
      </c>
      <c r="AJ2" s="18" t="s">
        <v>25</v>
      </c>
      <c r="AK2" s="15" t="s">
        <v>26</v>
      </c>
      <c r="AL2" s="19" t="s">
        <v>26</v>
      </c>
      <c r="AM2" s="20" t="s">
        <v>27</v>
      </c>
      <c r="AN2" s="21"/>
      <c r="BB2" s="22"/>
    </row>
    <row r="3">
      <c r="C3" s="4"/>
      <c r="O3" s="21"/>
      <c r="P3" s="15" t="s">
        <v>26</v>
      </c>
      <c r="Q3" s="15" t="s">
        <v>28</v>
      </c>
      <c r="R3" s="4"/>
      <c r="S3" s="21"/>
      <c r="T3" s="15" t="s">
        <v>26</v>
      </c>
      <c r="U3" s="15" t="s">
        <v>28</v>
      </c>
      <c r="V3" s="4"/>
      <c r="W3" s="21"/>
      <c r="X3" s="15" t="s">
        <v>26</v>
      </c>
      <c r="Y3" s="15" t="s">
        <v>28</v>
      </c>
      <c r="Z3" s="4"/>
      <c r="AA3" s="21"/>
      <c r="AB3" s="15" t="s">
        <v>26</v>
      </c>
      <c r="AC3" s="15" t="s">
        <v>28</v>
      </c>
      <c r="AD3" s="4"/>
      <c r="AE3" s="21"/>
      <c r="AL3" s="4"/>
      <c r="AM3" s="22"/>
      <c r="AN3" s="17" t="s">
        <v>3</v>
      </c>
      <c r="AO3" s="18" t="s">
        <v>4</v>
      </c>
      <c r="AP3" s="18" t="s">
        <v>5</v>
      </c>
      <c r="AQ3" s="18" t="s">
        <v>6</v>
      </c>
      <c r="AR3" s="18" t="s">
        <v>7</v>
      </c>
      <c r="AS3" s="18" t="s">
        <v>8</v>
      </c>
      <c r="AT3" s="18" t="s">
        <v>9</v>
      </c>
      <c r="AU3" s="18" t="s">
        <v>10</v>
      </c>
      <c r="AV3" s="18" t="s">
        <v>11</v>
      </c>
      <c r="AW3" s="18" t="s">
        <v>12</v>
      </c>
      <c r="AX3" s="18" t="s">
        <v>29</v>
      </c>
      <c r="AY3" s="18" t="s">
        <v>30</v>
      </c>
      <c r="AZ3" s="18" t="s">
        <v>31</v>
      </c>
      <c r="BA3" s="23" t="s">
        <v>23</v>
      </c>
      <c r="BB3" s="22"/>
    </row>
    <row r="4">
      <c r="C4" s="24"/>
      <c r="D4" s="25"/>
      <c r="E4" s="26"/>
      <c r="F4" s="27"/>
      <c r="G4" s="27"/>
      <c r="H4" s="27"/>
      <c r="I4" s="27"/>
      <c r="J4" s="27"/>
      <c r="K4" s="27"/>
      <c r="L4" s="27"/>
      <c r="M4" s="27"/>
      <c r="N4" s="27"/>
      <c r="O4" s="28"/>
      <c r="R4" s="24"/>
      <c r="S4" s="28"/>
      <c r="V4" s="24"/>
      <c r="W4" s="28"/>
      <c r="Z4" s="24"/>
      <c r="AA4" s="28"/>
      <c r="AB4" s="29"/>
      <c r="AD4" s="24"/>
      <c r="AE4" s="28"/>
      <c r="AL4" s="24"/>
      <c r="AM4" s="30"/>
      <c r="AN4" s="21">
        <f t="shared" ref="AN4:AN25" si="3">SUM(P4,Q4)</f>
        <v>0</v>
      </c>
      <c r="AO4">
        <f t="shared" ref="AO4:AO25" si="4">SUM(T4,U4)</f>
        <v>0</v>
      </c>
      <c r="AP4">
        <f t="shared" ref="AP4:AP25" si="5">SUM(X4,Y4)</f>
        <v>0</v>
      </c>
      <c r="AQ4">
        <f t="shared" ref="AQ4:AQ25" si="6">SUM(AB4,AC4)</f>
        <v>0</v>
      </c>
      <c r="AR4">
        <f t="shared" ref="AR4:AZ4" si="2">SUM(AE4)</f>
        <v>0</v>
      </c>
      <c r="AS4">
        <f t="shared" si="2"/>
        <v>0</v>
      </c>
      <c r="AT4">
        <f t="shared" si="2"/>
        <v>0</v>
      </c>
      <c r="AU4">
        <f t="shared" si="2"/>
        <v>0</v>
      </c>
      <c r="AV4">
        <f t="shared" si="2"/>
        <v>0</v>
      </c>
      <c r="AW4">
        <f t="shared" si="2"/>
        <v>0</v>
      </c>
      <c r="AX4">
        <f t="shared" si="2"/>
        <v>0</v>
      </c>
      <c r="AY4">
        <f t="shared" si="2"/>
        <v>0</v>
      </c>
      <c r="AZ4">
        <f t="shared" si="2"/>
        <v>0</v>
      </c>
      <c r="BB4" s="31">
        <f t="shared" ref="BB4:BB25" si="8">SUM(AN4:BA4)</f>
        <v>0</v>
      </c>
      <c r="BC4" s="32"/>
    </row>
    <row r="5">
      <c r="C5" s="24"/>
      <c r="D5" s="25"/>
      <c r="E5" s="27"/>
      <c r="F5" s="27"/>
      <c r="G5" s="27"/>
      <c r="H5" s="27"/>
      <c r="I5" s="27"/>
      <c r="J5" s="27"/>
      <c r="K5" s="27"/>
      <c r="L5" s="27"/>
      <c r="M5" s="27"/>
      <c r="N5" s="27"/>
      <c r="O5" s="28"/>
      <c r="R5" s="24"/>
      <c r="S5" s="28"/>
      <c r="V5" s="24"/>
      <c r="W5" s="28"/>
      <c r="Z5" s="24"/>
      <c r="AA5" s="28"/>
      <c r="AB5" s="29"/>
      <c r="AD5" s="24"/>
      <c r="AE5" s="28"/>
      <c r="AL5" s="24"/>
      <c r="AM5" s="30"/>
      <c r="AN5" s="21">
        <f t="shared" si="3"/>
        <v>0</v>
      </c>
      <c r="AO5">
        <f t="shared" si="4"/>
        <v>0</v>
      </c>
      <c r="AP5">
        <f t="shared" si="5"/>
        <v>0</v>
      </c>
      <c r="AQ5">
        <f t="shared" si="6"/>
        <v>0</v>
      </c>
      <c r="AR5">
        <f t="shared" ref="AR5:AZ5" si="7">SUM(AE5)</f>
        <v>0</v>
      </c>
      <c r="AS5">
        <f t="shared" si="7"/>
        <v>0</v>
      </c>
      <c r="AT5">
        <f t="shared" si="7"/>
        <v>0</v>
      </c>
      <c r="AU5">
        <f t="shared" si="7"/>
        <v>0</v>
      </c>
      <c r="AV5">
        <f t="shared" si="7"/>
        <v>0</v>
      </c>
      <c r="AW5">
        <f t="shared" si="7"/>
        <v>0</v>
      </c>
      <c r="AX5">
        <f t="shared" si="7"/>
        <v>0</v>
      </c>
      <c r="AY5">
        <f t="shared" si="7"/>
        <v>0</v>
      </c>
      <c r="AZ5">
        <f t="shared" si="7"/>
        <v>0</v>
      </c>
      <c r="BB5" s="31">
        <f t="shared" si="8"/>
        <v>0</v>
      </c>
      <c r="BC5" s="32"/>
    </row>
    <row r="6">
      <c r="C6" s="4"/>
      <c r="D6" s="25"/>
      <c r="E6" s="27"/>
      <c r="F6" s="27"/>
      <c r="G6" s="27"/>
      <c r="H6" s="27"/>
      <c r="I6" s="27"/>
      <c r="J6" s="27"/>
      <c r="K6" s="27"/>
      <c r="L6" s="27"/>
      <c r="M6" s="27"/>
      <c r="N6" s="27"/>
      <c r="O6" s="28"/>
      <c r="R6" s="24"/>
      <c r="S6" s="28"/>
      <c r="V6" s="24"/>
      <c r="W6" s="28"/>
      <c r="Z6" s="24"/>
      <c r="AA6" s="28"/>
      <c r="AD6" s="24"/>
      <c r="AE6" s="28"/>
      <c r="AL6" s="24"/>
      <c r="AM6" s="30"/>
      <c r="AN6" s="21">
        <f t="shared" si="3"/>
        <v>0</v>
      </c>
      <c r="AO6">
        <f t="shared" si="4"/>
        <v>0</v>
      </c>
      <c r="AP6">
        <f t="shared" si="5"/>
        <v>0</v>
      </c>
      <c r="AQ6">
        <f t="shared" si="6"/>
        <v>0</v>
      </c>
      <c r="AR6">
        <f t="shared" ref="AR6:AZ6" si="9">SUM(AE6)</f>
        <v>0</v>
      </c>
      <c r="AS6">
        <f t="shared" si="9"/>
        <v>0</v>
      </c>
      <c r="AT6">
        <f t="shared" si="9"/>
        <v>0</v>
      </c>
      <c r="AU6">
        <f t="shared" si="9"/>
        <v>0</v>
      </c>
      <c r="AV6">
        <f t="shared" si="9"/>
        <v>0</v>
      </c>
      <c r="AW6">
        <f t="shared" si="9"/>
        <v>0</v>
      </c>
      <c r="AX6">
        <f t="shared" si="9"/>
        <v>0</v>
      </c>
      <c r="AY6">
        <f t="shared" si="9"/>
        <v>0</v>
      </c>
      <c r="AZ6">
        <f t="shared" si="9"/>
        <v>0</v>
      </c>
      <c r="BB6" s="31">
        <f t="shared" si="8"/>
        <v>0</v>
      </c>
      <c r="BC6" s="32"/>
    </row>
    <row r="7">
      <c r="C7" s="24"/>
      <c r="D7" s="25"/>
      <c r="E7" s="27"/>
      <c r="F7" s="27"/>
      <c r="G7" s="27"/>
      <c r="H7" s="27"/>
      <c r="I7" s="27"/>
      <c r="J7" s="27"/>
      <c r="K7" s="27"/>
      <c r="L7" s="27"/>
      <c r="M7" s="27"/>
      <c r="N7" s="27"/>
      <c r="O7" s="28"/>
      <c r="R7" s="33"/>
      <c r="S7" s="28"/>
      <c r="V7" s="24"/>
      <c r="W7" s="28"/>
      <c r="Z7" s="24"/>
      <c r="AA7" s="28"/>
      <c r="AD7" s="24"/>
      <c r="AE7" s="28"/>
      <c r="AL7" s="24"/>
      <c r="AM7" s="30"/>
      <c r="AN7" s="21">
        <f t="shared" si="3"/>
        <v>0</v>
      </c>
      <c r="AO7">
        <f t="shared" si="4"/>
        <v>0</v>
      </c>
      <c r="AP7">
        <f t="shared" si="5"/>
        <v>0</v>
      </c>
      <c r="AQ7">
        <f t="shared" si="6"/>
        <v>0</v>
      </c>
      <c r="AR7">
        <f t="shared" ref="AR7:AZ7" si="10">SUM(AE7)</f>
        <v>0</v>
      </c>
      <c r="AS7">
        <f t="shared" si="10"/>
        <v>0</v>
      </c>
      <c r="AT7">
        <f t="shared" si="10"/>
        <v>0</v>
      </c>
      <c r="AU7">
        <f t="shared" si="10"/>
        <v>0</v>
      </c>
      <c r="AV7">
        <f t="shared" si="10"/>
        <v>0</v>
      </c>
      <c r="AW7">
        <f t="shared" si="10"/>
        <v>0</v>
      </c>
      <c r="AX7">
        <f t="shared" si="10"/>
        <v>0</v>
      </c>
      <c r="AY7">
        <f t="shared" si="10"/>
        <v>0</v>
      </c>
      <c r="AZ7">
        <f t="shared" si="10"/>
        <v>0</v>
      </c>
      <c r="BB7" s="31">
        <f t="shared" si="8"/>
        <v>0</v>
      </c>
      <c r="BC7" s="32"/>
    </row>
    <row r="8">
      <c r="C8" s="24"/>
      <c r="D8" s="25"/>
      <c r="E8" s="27"/>
      <c r="F8" s="27"/>
      <c r="G8" s="27"/>
      <c r="H8" s="27"/>
      <c r="I8" s="27"/>
      <c r="J8" s="27"/>
      <c r="K8" s="27"/>
      <c r="L8" s="27"/>
      <c r="M8" s="27"/>
      <c r="N8" s="27"/>
      <c r="O8" s="28"/>
      <c r="R8" s="24"/>
      <c r="S8" s="28"/>
      <c r="V8" s="24"/>
      <c r="W8" s="28"/>
      <c r="Z8" s="24"/>
      <c r="AA8" s="28"/>
      <c r="AD8" s="24"/>
      <c r="AE8" s="28"/>
      <c r="AL8" s="24"/>
      <c r="AM8" s="30"/>
      <c r="AN8" s="21">
        <f t="shared" si="3"/>
        <v>0</v>
      </c>
      <c r="AO8">
        <f t="shared" si="4"/>
        <v>0</v>
      </c>
      <c r="AP8">
        <f t="shared" si="5"/>
        <v>0</v>
      </c>
      <c r="AQ8">
        <f t="shared" si="6"/>
        <v>0</v>
      </c>
      <c r="AR8">
        <f t="shared" ref="AR8:AZ8" si="11">SUM(AE8)</f>
        <v>0</v>
      </c>
      <c r="AS8">
        <f t="shared" si="11"/>
        <v>0</v>
      </c>
      <c r="AT8">
        <f t="shared" si="11"/>
        <v>0</v>
      </c>
      <c r="AU8">
        <f t="shared" si="11"/>
        <v>0</v>
      </c>
      <c r="AV8">
        <f t="shared" si="11"/>
        <v>0</v>
      </c>
      <c r="AW8">
        <f t="shared" si="11"/>
        <v>0</v>
      </c>
      <c r="AX8">
        <f t="shared" si="11"/>
        <v>0</v>
      </c>
      <c r="AY8">
        <f t="shared" si="11"/>
        <v>0</v>
      </c>
      <c r="AZ8">
        <f t="shared" si="11"/>
        <v>0</v>
      </c>
      <c r="BB8" s="31">
        <f t="shared" si="8"/>
        <v>0</v>
      </c>
      <c r="BC8" s="32"/>
    </row>
    <row r="9">
      <c r="C9" s="24"/>
      <c r="D9" s="34"/>
      <c r="E9" s="26"/>
      <c r="F9" s="27"/>
      <c r="G9" s="27"/>
      <c r="H9" s="27"/>
      <c r="I9" s="27"/>
      <c r="J9" s="27"/>
      <c r="K9" s="27"/>
      <c r="L9" s="27"/>
      <c r="M9" s="27"/>
      <c r="N9" s="27"/>
      <c r="O9" s="28"/>
      <c r="R9" s="24"/>
      <c r="S9" s="28"/>
      <c r="V9" s="24"/>
      <c r="W9" s="28"/>
      <c r="Z9" s="24"/>
      <c r="AA9" s="28"/>
      <c r="AD9" s="24"/>
      <c r="AE9" s="28"/>
      <c r="AL9" s="24"/>
      <c r="AM9" s="30"/>
      <c r="AN9" s="21">
        <f t="shared" si="3"/>
        <v>0</v>
      </c>
      <c r="AO9">
        <f t="shared" si="4"/>
        <v>0</v>
      </c>
      <c r="AP9">
        <f t="shared" si="5"/>
        <v>0</v>
      </c>
      <c r="AQ9">
        <f t="shared" si="6"/>
        <v>0</v>
      </c>
      <c r="AR9">
        <f t="shared" ref="AR9:AZ9" si="12">SUM(AE9)</f>
        <v>0</v>
      </c>
      <c r="AS9">
        <f t="shared" si="12"/>
        <v>0</v>
      </c>
      <c r="AT9">
        <f t="shared" si="12"/>
        <v>0</v>
      </c>
      <c r="AU9">
        <f t="shared" si="12"/>
        <v>0</v>
      </c>
      <c r="AV9">
        <f t="shared" si="12"/>
        <v>0</v>
      </c>
      <c r="AW9">
        <f t="shared" si="12"/>
        <v>0</v>
      </c>
      <c r="AX9">
        <f t="shared" si="12"/>
        <v>0</v>
      </c>
      <c r="AY9">
        <f t="shared" si="12"/>
        <v>0</v>
      </c>
      <c r="AZ9">
        <f t="shared" si="12"/>
        <v>0</v>
      </c>
      <c r="BB9" s="31">
        <f t="shared" si="8"/>
        <v>0</v>
      </c>
      <c r="BC9" s="32"/>
    </row>
    <row r="10">
      <c r="C10" s="24"/>
      <c r="D10" s="34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8"/>
      <c r="R10" s="24"/>
      <c r="S10" s="28"/>
      <c r="V10" s="24"/>
      <c r="W10" s="28"/>
      <c r="Z10" s="24"/>
      <c r="AA10" s="28"/>
      <c r="AD10" s="24"/>
      <c r="AE10" s="28"/>
      <c r="AL10" s="24"/>
      <c r="AM10" s="30"/>
      <c r="AN10" s="21">
        <f t="shared" si="3"/>
        <v>0</v>
      </c>
      <c r="AO10">
        <f t="shared" si="4"/>
        <v>0</v>
      </c>
      <c r="AP10">
        <f t="shared" si="5"/>
        <v>0</v>
      </c>
      <c r="AQ10">
        <f t="shared" si="6"/>
        <v>0</v>
      </c>
      <c r="AR10">
        <f t="shared" ref="AR10:AZ10" si="13">SUM(AE10)</f>
        <v>0</v>
      </c>
      <c r="AS10">
        <f t="shared" si="13"/>
        <v>0</v>
      </c>
      <c r="AT10">
        <f t="shared" si="13"/>
        <v>0</v>
      </c>
      <c r="AU10">
        <f t="shared" si="13"/>
        <v>0</v>
      </c>
      <c r="AV10">
        <f t="shared" si="13"/>
        <v>0</v>
      </c>
      <c r="AW10">
        <f t="shared" si="13"/>
        <v>0</v>
      </c>
      <c r="AX10">
        <f t="shared" si="13"/>
        <v>0</v>
      </c>
      <c r="AY10">
        <f t="shared" si="13"/>
        <v>0</v>
      </c>
      <c r="AZ10">
        <f t="shared" si="13"/>
        <v>0</v>
      </c>
      <c r="BB10" s="31">
        <f t="shared" si="8"/>
        <v>0</v>
      </c>
      <c r="BC10" s="32"/>
    </row>
    <row r="11">
      <c r="C11" s="24"/>
      <c r="D11" s="25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8"/>
      <c r="R11" s="24"/>
      <c r="S11" s="28"/>
      <c r="V11" s="24"/>
      <c r="W11" s="28"/>
      <c r="Z11" s="24"/>
      <c r="AA11" s="28"/>
      <c r="AD11" s="33"/>
      <c r="AE11" s="28"/>
      <c r="AL11" s="24"/>
      <c r="AM11" s="30"/>
      <c r="AN11" s="21">
        <f t="shared" si="3"/>
        <v>0</v>
      </c>
      <c r="AO11">
        <f t="shared" si="4"/>
        <v>0</v>
      </c>
      <c r="AP11">
        <f t="shared" si="5"/>
        <v>0</v>
      </c>
      <c r="AQ11">
        <f t="shared" si="6"/>
        <v>0</v>
      </c>
      <c r="AR11">
        <f t="shared" ref="AR11:AZ11" si="14">SUM(AE11)</f>
        <v>0</v>
      </c>
      <c r="AS11">
        <f t="shared" si="14"/>
        <v>0</v>
      </c>
      <c r="AT11">
        <f t="shared" si="14"/>
        <v>0</v>
      </c>
      <c r="AU11">
        <f t="shared" si="14"/>
        <v>0</v>
      </c>
      <c r="AV11">
        <f t="shared" si="14"/>
        <v>0</v>
      </c>
      <c r="AW11">
        <f t="shared" si="14"/>
        <v>0</v>
      </c>
      <c r="AX11">
        <f t="shared" si="14"/>
        <v>0</v>
      </c>
      <c r="AY11">
        <f t="shared" si="14"/>
        <v>0</v>
      </c>
      <c r="AZ11">
        <f t="shared" si="14"/>
        <v>0</v>
      </c>
      <c r="BB11" s="31">
        <f t="shared" si="8"/>
        <v>0</v>
      </c>
      <c r="BC11" s="32"/>
    </row>
    <row r="12">
      <c r="C12" s="24"/>
      <c r="D12" s="25"/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8"/>
      <c r="R12" s="24"/>
      <c r="S12" s="28"/>
      <c r="V12" s="24"/>
      <c r="W12" s="28"/>
      <c r="Z12" s="24"/>
      <c r="AA12" s="28"/>
      <c r="AD12" s="24"/>
      <c r="AE12" s="28"/>
      <c r="AL12" s="24"/>
      <c r="AM12" s="30"/>
      <c r="AN12" s="21">
        <f t="shared" si="3"/>
        <v>0</v>
      </c>
      <c r="AO12">
        <f t="shared" si="4"/>
        <v>0</v>
      </c>
      <c r="AP12">
        <f t="shared" si="5"/>
        <v>0</v>
      </c>
      <c r="AQ12">
        <f t="shared" si="6"/>
        <v>0</v>
      </c>
      <c r="AR12">
        <f t="shared" ref="AR12:AZ12" si="15">SUM(AE12)</f>
        <v>0</v>
      </c>
      <c r="AS12">
        <f t="shared" si="15"/>
        <v>0</v>
      </c>
      <c r="AT12">
        <f t="shared" si="15"/>
        <v>0</v>
      </c>
      <c r="AU12">
        <f t="shared" si="15"/>
        <v>0</v>
      </c>
      <c r="AV12">
        <f t="shared" si="15"/>
        <v>0</v>
      </c>
      <c r="AW12">
        <f t="shared" si="15"/>
        <v>0</v>
      </c>
      <c r="AX12">
        <f t="shared" si="15"/>
        <v>0</v>
      </c>
      <c r="AY12">
        <f t="shared" si="15"/>
        <v>0</v>
      </c>
      <c r="AZ12">
        <f t="shared" si="15"/>
        <v>0</v>
      </c>
      <c r="BB12" s="31">
        <f t="shared" si="8"/>
        <v>0</v>
      </c>
      <c r="BC12" s="32"/>
    </row>
    <row r="13">
      <c r="C13" s="24"/>
      <c r="D13" s="34"/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8"/>
      <c r="R13" s="24"/>
      <c r="S13" s="28"/>
      <c r="V13" s="24"/>
      <c r="W13" s="28"/>
      <c r="Z13" s="24"/>
      <c r="AA13" s="28"/>
      <c r="AD13" s="24"/>
      <c r="AE13" s="21"/>
      <c r="AL13" s="24"/>
      <c r="AM13" s="30"/>
      <c r="AN13" s="21">
        <f t="shared" si="3"/>
        <v>0</v>
      </c>
      <c r="AO13">
        <f t="shared" si="4"/>
        <v>0</v>
      </c>
      <c r="AP13">
        <f t="shared" si="5"/>
        <v>0</v>
      </c>
      <c r="AQ13">
        <f t="shared" si="6"/>
        <v>0</v>
      </c>
      <c r="AR13">
        <f t="shared" ref="AR13:AZ13" si="16">SUM(AE13)</f>
        <v>0</v>
      </c>
      <c r="AS13">
        <f t="shared" si="16"/>
        <v>0</v>
      </c>
      <c r="AT13">
        <f t="shared" si="16"/>
        <v>0</v>
      </c>
      <c r="AU13">
        <f t="shared" si="16"/>
        <v>0</v>
      </c>
      <c r="AV13">
        <f t="shared" si="16"/>
        <v>0</v>
      </c>
      <c r="AW13">
        <f t="shared" si="16"/>
        <v>0</v>
      </c>
      <c r="AX13">
        <f t="shared" si="16"/>
        <v>0</v>
      </c>
      <c r="AY13">
        <f t="shared" si="16"/>
        <v>0</v>
      </c>
      <c r="AZ13">
        <f t="shared" si="16"/>
        <v>0</v>
      </c>
      <c r="BB13" s="31">
        <f t="shared" si="8"/>
        <v>0</v>
      </c>
      <c r="BC13" s="32"/>
    </row>
    <row r="14">
      <c r="C14" s="24"/>
      <c r="D14" s="34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8"/>
      <c r="R14" s="24"/>
      <c r="S14" s="28"/>
      <c r="V14" s="24"/>
      <c r="W14" s="28"/>
      <c r="Z14" s="24"/>
      <c r="AA14" s="28"/>
      <c r="AD14" s="24"/>
      <c r="AE14" s="28"/>
      <c r="AL14" s="24"/>
      <c r="AM14" s="30"/>
      <c r="AN14" s="21">
        <f t="shared" si="3"/>
        <v>0</v>
      </c>
      <c r="AO14">
        <f t="shared" si="4"/>
        <v>0</v>
      </c>
      <c r="AP14">
        <f t="shared" si="5"/>
        <v>0</v>
      </c>
      <c r="AQ14">
        <f t="shared" si="6"/>
        <v>0</v>
      </c>
      <c r="AR14">
        <f t="shared" ref="AR14:AZ14" si="17">SUM(AE14)</f>
        <v>0</v>
      </c>
      <c r="AS14">
        <f t="shared" si="17"/>
        <v>0</v>
      </c>
      <c r="AT14">
        <f t="shared" si="17"/>
        <v>0</v>
      </c>
      <c r="AU14">
        <f t="shared" si="17"/>
        <v>0</v>
      </c>
      <c r="AV14">
        <f t="shared" si="17"/>
        <v>0</v>
      </c>
      <c r="AW14">
        <f t="shared" si="17"/>
        <v>0</v>
      </c>
      <c r="AX14">
        <f t="shared" si="17"/>
        <v>0</v>
      </c>
      <c r="AY14">
        <f t="shared" si="17"/>
        <v>0</v>
      </c>
      <c r="AZ14">
        <f t="shared" si="17"/>
        <v>0</v>
      </c>
      <c r="BB14" s="31">
        <f t="shared" si="8"/>
        <v>0</v>
      </c>
      <c r="BC14" s="32"/>
    </row>
    <row r="15">
      <c r="C15" s="24"/>
      <c r="D15" s="34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8"/>
      <c r="R15" s="24"/>
      <c r="S15" s="28"/>
      <c r="V15" s="24"/>
      <c r="W15" s="28"/>
      <c r="Z15" s="24"/>
      <c r="AA15" s="28"/>
      <c r="AD15" s="24"/>
      <c r="AE15" s="28"/>
      <c r="AL15" s="24"/>
      <c r="AM15" s="30"/>
      <c r="AN15" s="21">
        <f t="shared" si="3"/>
        <v>0</v>
      </c>
      <c r="AO15">
        <f t="shared" si="4"/>
        <v>0</v>
      </c>
      <c r="AP15">
        <f t="shared" si="5"/>
        <v>0</v>
      </c>
      <c r="AQ15">
        <f t="shared" si="6"/>
        <v>0</v>
      </c>
      <c r="AR15">
        <f t="shared" ref="AR15:AZ15" si="18">SUM(AE15)</f>
        <v>0</v>
      </c>
      <c r="AS15">
        <f t="shared" si="18"/>
        <v>0</v>
      </c>
      <c r="AT15">
        <f t="shared" si="18"/>
        <v>0</v>
      </c>
      <c r="AU15">
        <f t="shared" si="18"/>
        <v>0</v>
      </c>
      <c r="AV15">
        <f t="shared" si="18"/>
        <v>0</v>
      </c>
      <c r="AW15">
        <f t="shared" si="18"/>
        <v>0</v>
      </c>
      <c r="AX15">
        <f t="shared" si="18"/>
        <v>0</v>
      </c>
      <c r="AY15">
        <f t="shared" si="18"/>
        <v>0</v>
      </c>
      <c r="AZ15">
        <f t="shared" si="18"/>
        <v>0</v>
      </c>
      <c r="BB15" s="31">
        <f t="shared" si="8"/>
        <v>0</v>
      </c>
      <c r="BC15" s="32"/>
    </row>
    <row r="16">
      <c r="C16" s="24"/>
      <c r="D16" s="34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8"/>
      <c r="R16" s="24"/>
      <c r="S16" s="28"/>
      <c r="V16" s="24"/>
      <c r="W16" s="28"/>
      <c r="Z16" s="24"/>
      <c r="AA16" s="28"/>
      <c r="AD16" s="24"/>
      <c r="AE16" s="28"/>
      <c r="AL16" s="24"/>
      <c r="AM16" s="30"/>
      <c r="AN16" s="21">
        <f t="shared" si="3"/>
        <v>0</v>
      </c>
      <c r="AO16">
        <f t="shared" si="4"/>
        <v>0</v>
      </c>
      <c r="AP16">
        <f t="shared" si="5"/>
        <v>0</v>
      </c>
      <c r="AQ16">
        <f t="shared" si="6"/>
        <v>0</v>
      </c>
      <c r="AR16">
        <f t="shared" ref="AR16:AZ16" si="19">SUM(AE16)</f>
        <v>0</v>
      </c>
      <c r="AS16">
        <f t="shared" si="19"/>
        <v>0</v>
      </c>
      <c r="AT16">
        <f t="shared" si="19"/>
        <v>0</v>
      </c>
      <c r="AU16">
        <f t="shared" si="19"/>
        <v>0</v>
      </c>
      <c r="AV16">
        <f t="shared" si="19"/>
        <v>0</v>
      </c>
      <c r="AW16">
        <f t="shared" si="19"/>
        <v>0</v>
      </c>
      <c r="AX16">
        <f t="shared" si="19"/>
        <v>0</v>
      </c>
      <c r="AY16">
        <f t="shared" si="19"/>
        <v>0</v>
      </c>
      <c r="AZ16">
        <f t="shared" si="19"/>
        <v>0</v>
      </c>
      <c r="BB16" s="31">
        <f t="shared" si="8"/>
        <v>0</v>
      </c>
      <c r="BC16" s="32"/>
    </row>
    <row r="17">
      <c r="C17" s="24"/>
      <c r="D17" s="34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8"/>
      <c r="R17" s="24"/>
      <c r="S17" s="28"/>
      <c r="V17" s="24"/>
      <c r="W17" s="28"/>
      <c r="Z17" s="24"/>
      <c r="AA17" s="28"/>
      <c r="AD17" s="24"/>
      <c r="AE17" s="28"/>
      <c r="AL17" s="24"/>
      <c r="AM17" s="30"/>
      <c r="AN17" s="21">
        <f t="shared" si="3"/>
        <v>0</v>
      </c>
      <c r="AO17">
        <f t="shared" si="4"/>
        <v>0</v>
      </c>
      <c r="AP17">
        <f t="shared" si="5"/>
        <v>0</v>
      </c>
      <c r="AQ17">
        <f t="shared" si="6"/>
        <v>0</v>
      </c>
      <c r="AR17">
        <f t="shared" ref="AR17:AZ17" si="20">SUM(AE17)</f>
        <v>0</v>
      </c>
      <c r="AS17">
        <f t="shared" si="20"/>
        <v>0</v>
      </c>
      <c r="AT17">
        <f t="shared" si="20"/>
        <v>0</v>
      </c>
      <c r="AU17">
        <f t="shared" si="20"/>
        <v>0</v>
      </c>
      <c r="AV17">
        <f t="shared" si="20"/>
        <v>0</v>
      </c>
      <c r="AW17">
        <f t="shared" si="20"/>
        <v>0</v>
      </c>
      <c r="AX17">
        <f t="shared" si="20"/>
        <v>0</v>
      </c>
      <c r="AY17">
        <f t="shared" si="20"/>
        <v>0</v>
      </c>
      <c r="AZ17">
        <f t="shared" si="20"/>
        <v>0</v>
      </c>
      <c r="BB17" s="31">
        <f t="shared" si="8"/>
        <v>0</v>
      </c>
      <c r="BC17" s="32"/>
    </row>
    <row r="18">
      <c r="C18" s="24"/>
      <c r="D18" s="2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R18" s="24"/>
      <c r="S18" s="28"/>
      <c r="V18" s="24"/>
      <c r="W18" s="28"/>
      <c r="Z18" s="24"/>
      <c r="AA18" s="28"/>
      <c r="AD18" s="24"/>
      <c r="AE18" s="28"/>
      <c r="AL18" s="24"/>
      <c r="AM18" s="30"/>
      <c r="AN18" s="21">
        <f t="shared" si="3"/>
        <v>0</v>
      </c>
      <c r="AO18">
        <f t="shared" si="4"/>
        <v>0</v>
      </c>
      <c r="AP18">
        <f t="shared" si="5"/>
        <v>0</v>
      </c>
      <c r="AQ18">
        <f t="shared" si="6"/>
        <v>0</v>
      </c>
      <c r="AR18">
        <f t="shared" ref="AR18:AZ18" si="21">SUM(AE18)</f>
        <v>0</v>
      </c>
      <c r="AS18">
        <f t="shared" si="21"/>
        <v>0</v>
      </c>
      <c r="AT18">
        <f t="shared" si="21"/>
        <v>0</v>
      </c>
      <c r="AU18">
        <f t="shared" si="21"/>
        <v>0</v>
      </c>
      <c r="AV18">
        <f t="shared" si="21"/>
        <v>0</v>
      </c>
      <c r="AW18">
        <f t="shared" si="21"/>
        <v>0</v>
      </c>
      <c r="AX18">
        <f t="shared" si="21"/>
        <v>0</v>
      </c>
      <c r="AY18">
        <f t="shared" si="21"/>
        <v>0</v>
      </c>
      <c r="AZ18">
        <f t="shared" si="21"/>
        <v>0</v>
      </c>
      <c r="BB18" s="31">
        <f t="shared" si="8"/>
        <v>0</v>
      </c>
      <c r="BC18" s="32"/>
    </row>
    <row r="19">
      <c r="A19" s="35"/>
      <c r="C19" s="36"/>
      <c r="D19" s="2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1"/>
      <c r="P19" s="36"/>
      <c r="Q19" s="36"/>
      <c r="R19" s="36"/>
      <c r="S19" s="28"/>
      <c r="T19" s="36"/>
      <c r="U19" s="36"/>
      <c r="V19" s="36"/>
      <c r="W19" s="21"/>
      <c r="X19" s="36"/>
      <c r="Y19" s="36"/>
      <c r="Z19" s="36"/>
      <c r="AA19" s="21"/>
      <c r="AE19" s="21"/>
      <c r="AM19" s="21"/>
      <c r="AN19" s="21">
        <f t="shared" si="3"/>
        <v>0</v>
      </c>
      <c r="AO19">
        <f t="shared" si="4"/>
        <v>0</v>
      </c>
      <c r="AP19">
        <f t="shared" si="5"/>
        <v>0</v>
      </c>
      <c r="AQ19">
        <f t="shared" si="6"/>
        <v>0</v>
      </c>
      <c r="AR19">
        <f t="shared" ref="AR19:AZ19" si="22">SUM(AE19)</f>
        <v>0</v>
      </c>
      <c r="AS19">
        <f t="shared" si="22"/>
        <v>0</v>
      </c>
      <c r="AT19">
        <f t="shared" si="22"/>
        <v>0</v>
      </c>
      <c r="AU19">
        <f t="shared" si="22"/>
        <v>0</v>
      </c>
      <c r="AV19">
        <f t="shared" si="22"/>
        <v>0</v>
      </c>
      <c r="AW19">
        <f t="shared" si="22"/>
        <v>0</v>
      </c>
      <c r="AX19">
        <f t="shared" si="22"/>
        <v>0</v>
      </c>
      <c r="AY19">
        <f t="shared" si="22"/>
        <v>0</v>
      </c>
      <c r="AZ19">
        <f t="shared" si="22"/>
        <v>0</v>
      </c>
      <c r="BB19" s="31">
        <f t="shared" si="8"/>
        <v>0</v>
      </c>
      <c r="BC19" s="32"/>
    </row>
    <row r="20">
      <c r="A20" s="35"/>
      <c r="C20" s="36"/>
      <c r="D20" s="2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1"/>
      <c r="P20" s="36"/>
      <c r="Q20" s="36"/>
      <c r="R20" s="36"/>
      <c r="S20" s="28"/>
      <c r="T20" s="36"/>
      <c r="U20" s="36"/>
      <c r="V20" s="36"/>
      <c r="W20" s="21"/>
      <c r="X20" s="36"/>
      <c r="Y20" s="36"/>
      <c r="Z20" s="36"/>
      <c r="AA20" s="21"/>
      <c r="AE20" s="21"/>
      <c r="AM20" s="21"/>
      <c r="AN20" s="21">
        <f t="shared" si="3"/>
        <v>0</v>
      </c>
      <c r="AO20">
        <f t="shared" si="4"/>
        <v>0</v>
      </c>
      <c r="AP20">
        <f t="shared" si="5"/>
        <v>0</v>
      </c>
      <c r="AQ20">
        <f t="shared" si="6"/>
        <v>0</v>
      </c>
      <c r="AR20">
        <f t="shared" ref="AR20:AZ20" si="23">SUM(AE20)</f>
        <v>0</v>
      </c>
      <c r="AS20">
        <f t="shared" si="23"/>
        <v>0</v>
      </c>
      <c r="AT20">
        <f t="shared" si="23"/>
        <v>0</v>
      </c>
      <c r="AU20">
        <f t="shared" si="23"/>
        <v>0</v>
      </c>
      <c r="AV20">
        <f t="shared" si="23"/>
        <v>0</v>
      </c>
      <c r="AW20">
        <f t="shared" si="23"/>
        <v>0</v>
      </c>
      <c r="AX20">
        <f t="shared" si="23"/>
        <v>0</v>
      </c>
      <c r="AY20">
        <f t="shared" si="23"/>
        <v>0</v>
      </c>
      <c r="AZ20">
        <f t="shared" si="23"/>
        <v>0</v>
      </c>
      <c r="BB20" s="31">
        <f t="shared" si="8"/>
        <v>0</v>
      </c>
      <c r="BC20" s="32"/>
    </row>
    <row r="21">
      <c r="A21" s="36"/>
      <c r="D21" s="21"/>
      <c r="O21" s="21"/>
      <c r="P21" s="36"/>
      <c r="Q21" s="36"/>
      <c r="R21" s="37"/>
      <c r="S21" s="21"/>
      <c r="T21" s="36"/>
      <c r="U21" s="36"/>
      <c r="V21" s="37"/>
      <c r="W21" s="21"/>
      <c r="X21" s="36"/>
      <c r="Y21" s="36"/>
      <c r="Z21" s="37"/>
      <c r="AA21" s="21"/>
      <c r="AE21" s="21"/>
      <c r="AM21" s="21"/>
      <c r="AN21" s="21">
        <f t="shared" si="3"/>
        <v>0</v>
      </c>
      <c r="AO21">
        <f t="shared" si="4"/>
        <v>0</v>
      </c>
      <c r="AP21">
        <f t="shared" si="5"/>
        <v>0</v>
      </c>
      <c r="AQ21">
        <f t="shared" si="6"/>
        <v>0</v>
      </c>
      <c r="AR21">
        <f t="shared" ref="AR21:AZ21" si="24">SUM(AE21)</f>
        <v>0</v>
      </c>
      <c r="AS21">
        <f t="shared" si="24"/>
        <v>0</v>
      </c>
      <c r="AT21">
        <f t="shared" si="24"/>
        <v>0</v>
      </c>
      <c r="AU21">
        <f t="shared" si="24"/>
        <v>0</v>
      </c>
      <c r="AV21">
        <f t="shared" si="24"/>
        <v>0</v>
      </c>
      <c r="AW21">
        <f t="shared" si="24"/>
        <v>0</v>
      </c>
      <c r="AX21">
        <f t="shared" si="24"/>
        <v>0</v>
      </c>
      <c r="AY21">
        <f t="shared" si="24"/>
        <v>0</v>
      </c>
      <c r="AZ21">
        <f t="shared" si="24"/>
        <v>0</v>
      </c>
      <c r="BB21" s="31">
        <f t="shared" si="8"/>
        <v>0</v>
      </c>
      <c r="BC21" s="32"/>
    </row>
    <row r="22">
      <c r="A22" s="36"/>
      <c r="C22" s="4"/>
      <c r="D22" s="25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8"/>
      <c r="R22" s="38"/>
      <c r="S22" s="21"/>
      <c r="V22" s="38"/>
      <c r="W22" s="21"/>
      <c r="Z22" s="38"/>
      <c r="AA22" s="21"/>
      <c r="AD22" s="38"/>
      <c r="AE22" s="21"/>
      <c r="AL22" s="4"/>
      <c r="AN22" s="21">
        <f t="shared" si="3"/>
        <v>0</v>
      </c>
      <c r="AO22">
        <f t="shared" si="4"/>
        <v>0</v>
      </c>
      <c r="AP22">
        <f t="shared" si="5"/>
        <v>0</v>
      </c>
      <c r="AQ22">
        <f t="shared" si="6"/>
        <v>0</v>
      </c>
      <c r="AR22">
        <f t="shared" ref="AR22:AZ22" si="25">SUM(AE22)</f>
        <v>0</v>
      </c>
      <c r="AS22">
        <f t="shared" si="25"/>
        <v>0</v>
      </c>
      <c r="AT22">
        <f t="shared" si="25"/>
        <v>0</v>
      </c>
      <c r="AU22">
        <f t="shared" si="25"/>
        <v>0</v>
      </c>
      <c r="AV22">
        <f t="shared" si="25"/>
        <v>0</v>
      </c>
      <c r="AW22">
        <f t="shared" si="25"/>
        <v>0</v>
      </c>
      <c r="AX22">
        <f t="shared" si="25"/>
        <v>0</v>
      </c>
      <c r="AY22">
        <f t="shared" si="25"/>
        <v>0</v>
      </c>
      <c r="AZ22">
        <f t="shared" si="25"/>
        <v>0</v>
      </c>
      <c r="BB22" s="31">
        <f t="shared" si="8"/>
        <v>0</v>
      </c>
      <c r="BC22" s="32"/>
    </row>
    <row r="23">
      <c r="A23" s="36"/>
      <c r="C23" s="4"/>
      <c r="D23" s="25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8"/>
      <c r="R23" s="38"/>
      <c r="S23" s="21"/>
      <c r="V23" s="38"/>
      <c r="W23" s="21"/>
      <c r="Z23" s="38"/>
      <c r="AA23" s="21"/>
      <c r="AD23" s="38"/>
      <c r="AE23" s="28"/>
      <c r="AL23" s="4"/>
      <c r="AM23" s="30"/>
      <c r="AN23" s="21">
        <f t="shared" si="3"/>
        <v>0</v>
      </c>
      <c r="AO23">
        <f t="shared" si="4"/>
        <v>0</v>
      </c>
      <c r="AP23">
        <f t="shared" si="5"/>
        <v>0</v>
      </c>
      <c r="AQ23">
        <f t="shared" si="6"/>
        <v>0</v>
      </c>
      <c r="AR23">
        <f t="shared" ref="AR23:AZ23" si="26">SUM(AE23)</f>
        <v>0</v>
      </c>
      <c r="AS23">
        <f t="shared" si="26"/>
        <v>0</v>
      </c>
      <c r="AT23">
        <f t="shared" si="26"/>
        <v>0</v>
      </c>
      <c r="AU23">
        <f t="shared" si="26"/>
        <v>0</v>
      </c>
      <c r="AV23">
        <f t="shared" si="26"/>
        <v>0</v>
      </c>
      <c r="AW23">
        <f t="shared" si="26"/>
        <v>0</v>
      </c>
      <c r="AX23">
        <f t="shared" si="26"/>
        <v>0</v>
      </c>
      <c r="AY23">
        <f t="shared" si="26"/>
        <v>0</v>
      </c>
      <c r="AZ23">
        <f t="shared" si="26"/>
        <v>0</v>
      </c>
      <c r="BB23" s="31">
        <f t="shared" si="8"/>
        <v>0</v>
      </c>
      <c r="BC23" s="32"/>
    </row>
    <row r="24">
      <c r="A24" s="35"/>
      <c r="C24" s="4"/>
      <c r="D24" s="25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8"/>
      <c r="R24" s="38"/>
      <c r="S24" s="21"/>
      <c r="V24" s="38"/>
      <c r="W24" s="21"/>
      <c r="Z24" s="38"/>
      <c r="AA24" s="21"/>
      <c r="AD24" s="38"/>
      <c r="AE24" s="21"/>
      <c r="AL24" s="4"/>
      <c r="AM24" s="30"/>
      <c r="AN24" s="21">
        <f t="shared" si="3"/>
        <v>0</v>
      </c>
      <c r="AO24">
        <f t="shared" si="4"/>
        <v>0</v>
      </c>
      <c r="AP24">
        <f t="shared" si="5"/>
        <v>0</v>
      </c>
      <c r="AQ24">
        <f t="shared" si="6"/>
        <v>0</v>
      </c>
      <c r="AR24">
        <f t="shared" ref="AR24:AZ24" si="27">SUM(AE24)</f>
        <v>0</v>
      </c>
      <c r="AS24">
        <f t="shared" si="27"/>
        <v>0</v>
      </c>
      <c r="AT24">
        <f t="shared" si="27"/>
        <v>0</v>
      </c>
      <c r="AU24">
        <f t="shared" si="27"/>
        <v>0</v>
      </c>
      <c r="AV24">
        <f t="shared" si="27"/>
        <v>0</v>
      </c>
      <c r="AW24">
        <f t="shared" si="27"/>
        <v>0</v>
      </c>
      <c r="AX24">
        <f t="shared" si="27"/>
        <v>0</v>
      </c>
      <c r="AY24">
        <f t="shared" si="27"/>
        <v>0</v>
      </c>
      <c r="AZ24">
        <f t="shared" si="27"/>
        <v>0</v>
      </c>
      <c r="BB24" s="31">
        <f t="shared" si="8"/>
        <v>0</v>
      </c>
      <c r="BC24" s="32"/>
    </row>
    <row r="25">
      <c r="A25" s="36"/>
      <c r="C25" s="4"/>
      <c r="D25" s="2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8"/>
      <c r="R25" s="38"/>
      <c r="S25" s="21"/>
      <c r="V25" s="38"/>
      <c r="W25" s="21"/>
      <c r="Z25" s="38"/>
      <c r="AA25" s="21"/>
      <c r="AD25" s="38"/>
      <c r="AE25" s="21"/>
      <c r="AL25" s="4"/>
      <c r="AM25" s="30"/>
      <c r="AN25" s="21">
        <f t="shared" si="3"/>
        <v>0</v>
      </c>
      <c r="AO25">
        <f t="shared" si="4"/>
        <v>0</v>
      </c>
      <c r="AP25">
        <f t="shared" si="5"/>
        <v>0</v>
      </c>
      <c r="AQ25">
        <f t="shared" si="6"/>
        <v>0</v>
      </c>
      <c r="AR25">
        <f t="shared" ref="AR25:AZ25" si="28">SUM(AE25)</f>
        <v>0</v>
      </c>
      <c r="AS25">
        <f t="shared" si="28"/>
        <v>0</v>
      </c>
      <c r="AT25">
        <f t="shared" si="28"/>
        <v>0</v>
      </c>
      <c r="AU25">
        <f t="shared" si="28"/>
        <v>0</v>
      </c>
      <c r="AV25">
        <f t="shared" si="28"/>
        <v>0</v>
      </c>
      <c r="AW25">
        <f t="shared" si="28"/>
        <v>0</v>
      </c>
      <c r="AX25">
        <f t="shared" si="28"/>
        <v>0</v>
      </c>
      <c r="AY25">
        <f t="shared" si="28"/>
        <v>0</v>
      </c>
      <c r="AZ25">
        <f t="shared" si="28"/>
        <v>0</v>
      </c>
      <c r="BB25" s="31">
        <f t="shared" si="8"/>
        <v>0</v>
      </c>
      <c r="BC25" s="32"/>
    </row>
    <row r="26">
      <c r="A26" s="36"/>
      <c r="O26" s="36"/>
      <c r="P26" s="36"/>
      <c r="Q26" s="36"/>
      <c r="R26" s="37"/>
      <c r="T26" s="36"/>
      <c r="U26" s="36"/>
      <c r="V26" s="37"/>
      <c r="X26" s="36"/>
      <c r="Y26" s="36"/>
      <c r="Z26" s="37"/>
      <c r="AB26" s="36"/>
      <c r="AC26" s="36"/>
      <c r="AD26" s="36"/>
      <c r="AE26" s="36"/>
      <c r="BB26" s="39"/>
      <c r="BC26" s="32"/>
    </row>
  </sheetData>
  <mergeCells count="40">
    <mergeCell ref="N2:N3"/>
    <mergeCell ref="O2:O3"/>
    <mergeCell ref="R2:R3"/>
    <mergeCell ref="S2:S3"/>
    <mergeCell ref="V2:V3"/>
    <mergeCell ref="W2:W3"/>
    <mergeCell ref="Z2:Z3"/>
    <mergeCell ref="AA2:AA3"/>
    <mergeCell ref="A1:B1"/>
    <mergeCell ref="C1:C3"/>
    <mergeCell ref="D1:N1"/>
    <mergeCell ref="O1:R1"/>
    <mergeCell ref="S1:V1"/>
    <mergeCell ref="W1:Z1"/>
    <mergeCell ref="AA1:AD1"/>
    <mergeCell ref="AD2:AD3"/>
    <mergeCell ref="AK2:AK3"/>
    <mergeCell ref="AL2:AL3"/>
    <mergeCell ref="AN1:BA2"/>
    <mergeCell ref="BB1:BB3"/>
    <mergeCell ref="BC1:BC3"/>
    <mergeCell ref="AE2:AE3"/>
    <mergeCell ref="AF2:AF3"/>
    <mergeCell ref="AG2:AG3"/>
    <mergeCell ref="AH2:AH3"/>
    <mergeCell ref="AM2:AM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I2:AI3"/>
    <mergeCell ref="AJ2:AJ3"/>
  </mergeCells>
  <conditionalFormatting sqref="V4">
    <cfRule type="timePeriod" dxfId="0" priority="1" timePeriod="last7Days"/>
  </conditionalFormatting>
  <conditionalFormatting sqref="Z4">
    <cfRule type="timePeriod" dxfId="0" priority="2" timePeriod="last7Days"/>
  </conditionalFormatting>
  <conditionalFormatting sqref="Z4">
    <cfRule type="timePeriod" dxfId="0" priority="3" timePeriod="last7Days"/>
  </conditionalFormatting>
  <conditionalFormatting sqref="R4 V4 Z4">
    <cfRule type="timePeriod" dxfId="0" priority="4" timePeriod="last7Days"/>
  </conditionalFormatting>
  <conditionalFormatting sqref="R4">
    <cfRule type="timePeriod" dxfId="0" priority="5" timePeriod="last7Days"/>
  </conditionalFormatting>
  <conditionalFormatting sqref="R4">
    <cfRule type="timePeriod" dxfId="0" priority="6" timePeriod="last7Days"/>
  </conditionalFormatting>
  <conditionalFormatting sqref="Z4">
    <cfRule type="timePeriod" dxfId="0" priority="7" timePeriod="last7Days"/>
  </conditionalFormatting>
  <conditionalFormatting sqref="AN4:BA26">
    <cfRule type="cellIs" dxfId="1" priority="8" operator="lessThan">
      <formula>0.1</formula>
    </cfRule>
  </conditionalFormatting>
  <conditionalFormatting sqref="AN4:BA26">
    <cfRule type="cellIs" dxfId="2" priority="9" operator="greaterThan">
      <formula>0.1</formula>
    </cfRule>
  </conditionalFormatting>
  <conditionalFormatting sqref="BB4:BC26">
    <cfRule type="cellIs" dxfId="3" priority="10" operator="between">
      <formula>60</formula>
      <formula>68</formula>
    </cfRule>
  </conditionalFormatting>
  <conditionalFormatting sqref="BB4:BC26">
    <cfRule type="cellIs" dxfId="4" priority="11" operator="between">
      <formula>68</formula>
      <formula>74</formula>
    </cfRule>
  </conditionalFormatting>
  <conditionalFormatting sqref="BB4:BC26">
    <cfRule type="cellIs" dxfId="2" priority="12" operator="between">
      <formula>74</formula>
      <formula>81</formula>
    </cfRule>
  </conditionalFormatting>
  <conditionalFormatting sqref="BB4:BC26">
    <cfRule type="cellIs" dxfId="5" priority="13" operator="between">
      <formula>81</formula>
      <formula>90</formula>
    </cfRule>
  </conditionalFormatting>
  <conditionalFormatting sqref="BB4:BC26">
    <cfRule type="cellIs" dxfId="6" priority="14" operator="greaterThan">
      <formula>90</formula>
    </cfRule>
  </conditionalFormatting>
  <conditionalFormatting sqref="V4">
    <cfRule type="timePeriod" dxfId="0" priority="15" timePeriod="last7Days"/>
  </conditionalFormatting>
  <conditionalFormatting sqref="G4:G20 G22:G25">
    <cfRule type="containsText" dxfId="7" priority="16" operator="containsText" text="н">
      <formula>NOT(ISERROR(SEARCH(("н"),(G4))))</formula>
    </cfRule>
  </conditionalFormatting>
  <conditionalFormatting sqref="G4:G20 G22:G25">
    <cfRule type="containsText" dxfId="7" priority="17" operator="containsText" text="n">
      <formula>NOT(ISERROR(SEARCH(("n"),(G4))))</formula>
    </cfRule>
  </conditionalFormatting>
  <conditionalFormatting sqref="F4:F20 F22:F25">
    <cfRule type="containsText" dxfId="7" priority="18" operator="containsText" text="н">
      <formula>NOT(ISERROR(SEARCH(("н"),(F4))))</formula>
    </cfRule>
  </conditionalFormatting>
  <conditionalFormatting sqref="F4:F20 F22:F25">
    <cfRule type="containsText" dxfId="7" priority="19" operator="containsText" text="n">
      <formula>NOT(ISERROR(SEARCH(("n"),(F4))))</formula>
    </cfRule>
  </conditionalFormatting>
  <conditionalFormatting sqref="P4:Q5">
    <cfRule type="cellIs" dxfId="8" priority="20" operator="equal">
      <formula>0</formula>
    </cfRule>
  </conditionalFormatting>
  <conditionalFormatting sqref="T4:U5">
    <cfRule type="cellIs" dxfId="8" priority="21" operator="equal">
      <formula>0</formula>
    </cfRule>
  </conditionalFormatting>
  <conditionalFormatting sqref="X4:Y5">
    <cfRule type="cellIs" dxfId="8" priority="22" operator="equal">
      <formula>0</formula>
    </cfRule>
  </conditionalFormatting>
  <conditionalFormatting sqref="AB4:AC5">
    <cfRule type="cellIs" dxfId="8" priority="23" operator="equal">
      <formula>0</formula>
    </cfRule>
  </conditionalFormatting>
  <conditionalFormatting sqref="AE4:AL5">
    <cfRule type="cellIs" dxfId="8" priority="24" operator="equal">
      <formula>0</formula>
    </cfRule>
  </conditionalFormatting>
  <conditionalFormatting sqref="D1:N26">
    <cfRule type="containsText" dxfId="7" priority="25" operator="containsText" text="н">
      <formula>NOT(ISERROR(SEARCH(("н"),(D1))))</formula>
    </cfRule>
  </conditionalFormatting>
  <conditionalFormatting sqref="D1:N26">
    <cfRule type="containsText" dxfId="7" priority="26" operator="containsText" text="n">
      <formula>NOT(ISERROR(SEARCH(("n"),(D1))))</formula>
    </cfRule>
  </conditionalFormatting>
  <conditionalFormatting sqref="R4:R5">
    <cfRule type="timePeriod" dxfId="0" priority="27" timePeriod="last7Days"/>
  </conditionalFormatting>
  <conditionalFormatting sqref="V4:V5">
    <cfRule type="timePeriod" dxfId="0" priority="28" timePeriod="last7Days"/>
  </conditionalFormatting>
  <conditionalFormatting sqref="Z4:Z5">
    <cfRule type="timePeriod" dxfId="0" priority="29" timePeriod="last7Days"/>
  </conditionalFormatting>
  <conditionalFormatting sqref="AD4:AD5">
    <cfRule type="timePeriod" dxfId="0" priority="30" timePeriod="last7Days"/>
  </conditionalFormatting>
  <conditionalFormatting sqref="BB1:BC26">
    <cfRule type="cellIs" dxfId="3" priority="31" operator="between">
      <formula>60</formula>
      <formula>68</formula>
    </cfRule>
  </conditionalFormatting>
  <conditionalFormatting sqref="AM4:AM26">
    <cfRule type="cellIs" dxfId="6" priority="32" operator="between">
      <formula>12</formula>
      <formula>1000</formula>
    </cfRule>
  </conditionalFormatting>
  <conditionalFormatting sqref="BB1:BC26">
    <cfRule type="cellIs" dxfId="4" priority="33" operator="between">
      <formula>68</formula>
      <formula>74</formula>
    </cfRule>
  </conditionalFormatting>
  <conditionalFormatting sqref="BB1:BC26">
    <cfRule type="cellIs" dxfId="2" priority="34" operator="between">
      <formula>74</formula>
      <formula>81</formula>
    </cfRule>
  </conditionalFormatting>
  <conditionalFormatting sqref="BB1:BC26">
    <cfRule type="cellIs" dxfId="5" priority="35" operator="between">
      <formula>81</formula>
      <formula>90</formula>
    </cfRule>
  </conditionalFormatting>
  <conditionalFormatting sqref="BB1:BC26">
    <cfRule type="cellIs" dxfId="6" priority="36" operator="greaterThan">
      <formula>90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19" width="2.88"/>
    <col customWidth="1" min="20" max="20" width="5.5"/>
    <col customWidth="1" min="21" max="21" width="5.0"/>
    <col customWidth="1" min="22" max="22" width="3.88"/>
    <col customWidth="1" min="23" max="23" width="4.63"/>
    <col customWidth="1" min="24" max="24" width="6.5"/>
    <col customWidth="1" min="25" max="25" width="5.13"/>
    <col customWidth="1" min="26" max="26" width="4.0"/>
    <col customWidth="1" min="27" max="27" width="5.0"/>
    <col customWidth="1" min="28" max="28" width="6.38"/>
    <col customWidth="1" min="29" max="29" width="5.13"/>
    <col customWidth="1" min="30" max="30" width="4.0"/>
    <col customWidth="1" min="31" max="31" width="5.0"/>
    <col customWidth="1" min="32" max="32" width="7.63"/>
    <col customWidth="1" min="33" max="33" width="5.0"/>
    <col customWidth="1" min="34" max="34" width="4.5"/>
    <col customWidth="1" min="35" max="35" width="5.0"/>
    <col customWidth="1" min="36" max="36" width="5.63"/>
    <col customWidth="1" min="37" max="37" width="5.13"/>
    <col customWidth="1" min="38" max="38" width="5.38"/>
    <col customWidth="1" min="39" max="39" width="5.0"/>
    <col customWidth="1" min="40" max="41" width="5.38"/>
    <col customWidth="1" min="42" max="43" width="5.88"/>
    <col customWidth="1" min="44" max="44" width="5.63"/>
    <col customWidth="1" min="45" max="45" width="4.5"/>
    <col customWidth="1" min="46" max="46" width="4.38"/>
    <col customWidth="1" min="47" max="51" width="4.25"/>
    <col customWidth="1" min="52" max="52" width="4.63"/>
    <col customWidth="1" min="53" max="53" width="4.5"/>
    <col customWidth="1" min="54" max="55" width="4.63"/>
    <col customWidth="1" min="56" max="56" width="4.5"/>
    <col customWidth="1" min="57" max="58" width="4.38"/>
    <col customWidth="1" min="59" max="59" width="6.63"/>
    <col customWidth="1" min="60" max="60" width="3.25"/>
  </cols>
  <sheetData>
    <row r="1">
      <c r="A1" s="40" t="s">
        <v>32</v>
      </c>
      <c r="C1" s="2" t="s">
        <v>1</v>
      </c>
      <c r="D1" s="3" t="s">
        <v>2</v>
      </c>
      <c r="S1" s="4"/>
      <c r="T1" s="5" t="s">
        <v>3</v>
      </c>
      <c r="W1" s="4"/>
      <c r="X1" s="5" t="s">
        <v>4</v>
      </c>
      <c r="AA1" s="4"/>
      <c r="AB1" s="5" t="s">
        <v>5</v>
      </c>
      <c r="AE1" s="4"/>
      <c r="AF1" s="5" t="s">
        <v>6</v>
      </c>
      <c r="AI1" s="4"/>
      <c r="AJ1" s="3" t="s">
        <v>7</v>
      </c>
      <c r="AK1" s="6" t="s">
        <v>8</v>
      </c>
      <c r="AL1" s="6" t="s">
        <v>9</v>
      </c>
      <c r="AM1" s="6" t="s">
        <v>10</v>
      </c>
      <c r="AN1" s="6" t="s">
        <v>11</v>
      </c>
      <c r="AO1" s="6" t="s">
        <v>12</v>
      </c>
      <c r="AP1" s="6" t="s">
        <v>13</v>
      </c>
      <c r="AQ1" s="7" t="s">
        <v>14</v>
      </c>
      <c r="AR1" s="3" t="s">
        <v>15</v>
      </c>
      <c r="AS1" s="3" t="s">
        <v>16</v>
      </c>
      <c r="BF1" s="7"/>
      <c r="BG1" s="41" t="s">
        <v>17</v>
      </c>
      <c r="BH1" s="10" t="s">
        <v>18</v>
      </c>
    </row>
    <row r="2">
      <c r="A2" s="11" t="s">
        <v>19</v>
      </c>
      <c r="B2" s="11" t="s">
        <v>20</v>
      </c>
      <c r="C2" s="4"/>
      <c r="D2" s="12">
        <v>45905.0</v>
      </c>
      <c r="E2" s="12">
        <f t="shared" ref="E2:S2" si="1">D2+7</f>
        <v>45912</v>
      </c>
      <c r="F2" s="12">
        <f t="shared" si="1"/>
        <v>45919</v>
      </c>
      <c r="G2" s="12">
        <f t="shared" si="1"/>
        <v>45926</v>
      </c>
      <c r="H2" s="12">
        <f t="shared" si="1"/>
        <v>45933</v>
      </c>
      <c r="I2" s="12">
        <f t="shared" si="1"/>
        <v>45940</v>
      </c>
      <c r="J2" s="12">
        <f t="shared" si="1"/>
        <v>45947</v>
      </c>
      <c r="K2" s="12">
        <f t="shared" si="1"/>
        <v>45954</v>
      </c>
      <c r="L2" s="12">
        <f t="shared" si="1"/>
        <v>45961</v>
      </c>
      <c r="M2" s="12">
        <f t="shared" si="1"/>
        <v>45968</v>
      </c>
      <c r="N2" s="12">
        <f t="shared" si="1"/>
        <v>45975</v>
      </c>
      <c r="O2" s="12">
        <f t="shared" si="1"/>
        <v>45982</v>
      </c>
      <c r="P2" s="12">
        <f t="shared" si="1"/>
        <v>45989</v>
      </c>
      <c r="Q2" s="42">
        <f t="shared" si="1"/>
        <v>45996</v>
      </c>
      <c r="R2" s="12">
        <f t="shared" si="1"/>
        <v>46003</v>
      </c>
      <c r="S2" s="12">
        <f t="shared" si="1"/>
        <v>46010</v>
      </c>
      <c r="T2" s="14" t="s">
        <v>21</v>
      </c>
      <c r="U2" s="15" t="s">
        <v>22</v>
      </c>
      <c r="V2" s="15" t="s">
        <v>23</v>
      </c>
      <c r="W2" s="16" t="s">
        <v>24</v>
      </c>
      <c r="X2" s="14" t="s">
        <v>21</v>
      </c>
      <c r="Y2" s="15" t="s">
        <v>22</v>
      </c>
      <c r="Z2" s="15" t="s">
        <v>23</v>
      </c>
      <c r="AA2" s="16" t="s">
        <v>24</v>
      </c>
      <c r="AB2" s="14" t="s">
        <v>21</v>
      </c>
      <c r="AC2" s="15" t="s">
        <v>22</v>
      </c>
      <c r="AD2" s="15" t="s">
        <v>23</v>
      </c>
      <c r="AE2" s="16" t="s">
        <v>24</v>
      </c>
      <c r="AF2" s="14" t="s">
        <v>21</v>
      </c>
      <c r="AG2" s="15" t="s">
        <v>22</v>
      </c>
      <c r="AH2" s="15" t="s">
        <v>23</v>
      </c>
      <c r="AI2" s="16" t="s">
        <v>24</v>
      </c>
      <c r="AJ2" s="17" t="s">
        <v>25</v>
      </c>
      <c r="AK2" s="18" t="s">
        <v>25</v>
      </c>
      <c r="AL2" s="18" t="s">
        <v>25</v>
      </c>
      <c r="AM2" s="18" t="s">
        <v>25</v>
      </c>
      <c r="AN2" s="18" t="s">
        <v>25</v>
      </c>
      <c r="AO2" s="18" t="s">
        <v>25</v>
      </c>
      <c r="AP2" s="15" t="s">
        <v>26</v>
      </c>
      <c r="AQ2" s="19" t="s">
        <v>26</v>
      </c>
      <c r="AR2" s="14" t="s">
        <v>27</v>
      </c>
      <c r="AS2" s="21"/>
      <c r="BF2" s="7"/>
      <c r="BG2" s="4"/>
    </row>
    <row r="3">
      <c r="C3" s="4"/>
      <c r="T3" s="21"/>
      <c r="U3" s="15" t="s">
        <v>26</v>
      </c>
      <c r="V3" s="15" t="s">
        <v>28</v>
      </c>
      <c r="W3" s="4"/>
      <c r="X3" s="21"/>
      <c r="Y3" s="15" t="s">
        <v>26</v>
      </c>
      <c r="Z3" s="15" t="s">
        <v>28</v>
      </c>
      <c r="AA3" s="4"/>
      <c r="AB3" s="21"/>
      <c r="AC3" s="15" t="s">
        <v>26</v>
      </c>
      <c r="AD3" s="15" t="s">
        <v>28</v>
      </c>
      <c r="AE3" s="4"/>
      <c r="AF3" s="21"/>
      <c r="AG3" s="15" t="s">
        <v>26</v>
      </c>
      <c r="AH3" s="15" t="s">
        <v>28</v>
      </c>
      <c r="AI3" s="4"/>
      <c r="AJ3" s="21"/>
      <c r="AQ3" s="4"/>
      <c r="AR3" s="21"/>
      <c r="AS3" s="17" t="s">
        <v>29</v>
      </c>
      <c r="AT3" s="18" t="s">
        <v>30</v>
      </c>
      <c r="AU3" s="18" t="s">
        <v>3</v>
      </c>
      <c r="AV3" s="18" t="s">
        <v>4</v>
      </c>
      <c r="AW3" s="18" t="s">
        <v>5</v>
      </c>
      <c r="AX3" s="18" t="s">
        <v>6</v>
      </c>
      <c r="AY3" s="18" t="s">
        <v>7</v>
      </c>
      <c r="AZ3" s="18" t="s">
        <v>8</v>
      </c>
      <c r="BA3" s="18" t="s">
        <v>9</v>
      </c>
      <c r="BB3" s="18" t="s">
        <v>10</v>
      </c>
      <c r="BC3" s="18" t="s">
        <v>11</v>
      </c>
      <c r="BD3" s="18" t="s">
        <v>12</v>
      </c>
      <c r="BE3" s="18" t="s">
        <v>31</v>
      </c>
      <c r="BF3" s="23" t="s">
        <v>23</v>
      </c>
      <c r="BG3" s="4"/>
    </row>
    <row r="4">
      <c r="A4" s="43">
        <v>465105.0</v>
      </c>
      <c r="B4" s="44" t="s">
        <v>33</v>
      </c>
      <c r="C4" s="45"/>
      <c r="D4" s="25">
        <v>1.0</v>
      </c>
      <c r="E4" s="46">
        <v>1.0</v>
      </c>
      <c r="F4" s="46">
        <v>1.0</v>
      </c>
      <c r="G4" s="46">
        <v>1.0</v>
      </c>
      <c r="H4" s="46">
        <v>1.0</v>
      </c>
      <c r="I4" s="46">
        <v>1.0</v>
      </c>
      <c r="J4" s="46">
        <v>1.0</v>
      </c>
      <c r="K4" s="46">
        <v>1.0</v>
      </c>
      <c r="L4" s="46">
        <v>1.0</v>
      </c>
      <c r="M4" s="47">
        <v>0.0</v>
      </c>
      <c r="N4" s="46">
        <v>1.0</v>
      </c>
      <c r="O4" s="46">
        <v>1.0</v>
      </c>
      <c r="P4" s="47">
        <v>0.0</v>
      </c>
      <c r="Q4" s="46">
        <v>1.0</v>
      </c>
      <c r="R4" s="46">
        <v>1.0</v>
      </c>
      <c r="S4" s="48">
        <v>1.0</v>
      </c>
      <c r="T4" s="49">
        <v>465105.0</v>
      </c>
      <c r="U4" s="36">
        <v>9.0</v>
      </c>
      <c r="V4" s="36">
        <v>0.0</v>
      </c>
      <c r="W4" s="38">
        <f>DATE(2025,9,26)</f>
        <v>45926</v>
      </c>
      <c r="X4" s="28">
        <v>235102.0</v>
      </c>
      <c r="Y4" s="36">
        <v>8.0</v>
      </c>
      <c r="AA4" s="38">
        <f>DATE(2025,10,24)</f>
        <v>45954</v>
      </c>
      <c r="AB4" s="28">
        <v>316824.0</v>
      </c>
      <c r="AC4" s="36">
        <v>9.0</v>
      </c>
      <c r="AD4" s="36">
        <v>0.0</v>
      </c>
      <c r="AE4" s="38">
        <f>DATE(2025,11,21)</f>
        <v>45982</v>
      </c>
      <c r="AF4" s="28">
        <v>99871.0</v>
      </c>
      <c r="AG4" s="36">
        <v>9.0</v>
      </c>
      <c r="AH4" s="36">
        <v>2.0</v>
      </c>
      <c r="AI4" s="38">
        <f>DATE(2025,12,19)</f>
        <v>46010</v>
      </c>
      <c r="AJ4" s="28">
        <v>1.7</v>
      </c>
      <c r="AK4" s="36">
        <v>1.1</v>
      </c>
      <c r="AM4" s="36">
        <v>1.7</v>
      </c>
      <c r="AN4" s="36">
        <v>1.2</v>
      </c>
      <c r="AO4" s="36">
        <v>0.8</v>
      </c>
      <c r="AP4" s="36">
        <v>6.0</v>
      </c>
      <c r="AQ4" s="24">
        <v>8.0</v>
      </c>
      <c r="AR4" s="28">
        <f>SUM(AP4:AQ4)</f>
        <v>14</v>
      </c>
      <c r="AS4" s="21">
        <f t="shared" ref="AS4:AT4" si="2">SUM(AP4)</f>
        <v>6</v>
      </c>
      <c r="AT4">
        <f t="shared" si="2"/>
        <v>8</v>
      </c>
      <c r="AU4">
        <f t="shared" ref="AU4:AU19" si="5">SUM(U4,V4)</f>
        <v>9</v>
      </c>
      <c r="AV4">
        <f t="shared" ref="AV4:AV19" si="6">SUM(Y4,Z4)</f>
        <v>8</v>
      </c>
      <c r="AW4">
        <f t="shared" ref="AW4:AW19" si="7">SUM(AC4,AD4)</f>
        <v>9</v>
      </c>
      <c r="AX4">
        <f t="shared" ref="AX4:AX19" si="8">SUM(AG4,AH4)</f>
        <v>11</v>
      </c>
      <c r="AY4">
        <f t="shared" ref="AY4:BD4" si="3">SUM(AJ4)</f>
        <v>1.7</v>
      </c>
      <c r="AZ4">
        <f t="shared" si="3"/>
        <v>1.1</v>
      </c>
      <c r="BA4">
        <f t="shared" si="3"/>
        <v>0</v>
      </c>
      <c r="BB4">
        <f t="shared" si="3"/>
        <v>1.7</v>
      </c>
      <c r="BC4">
        <f t="shared" si="3"/>
        <v>1.2</v>
      </c>
      <c r="BD4">
        <f t="shared" si="3"/>
        <v>0.8</v>
      </c>
      <c r="BE4">
        <f t="shared" ref="BE4:BE19" si="10">SUM(AR4)</f>
        <v>14</v>
      </c>
      <c r="BF4" s="24">
        <v>3.0</v>
      </c>
      <c r="BG4" s="50">
        <f t="shared" ref="BG4:BG19" si="11">SUM(AS4:BF4)</f>
        <v>74.5</v>
      </c>
      <c r="BH4" s="32">
        <v>1.0</v>
      </c>
    </row>
    <row r="5">
      <c r="A5" s="51">
        <v>408580.0</v>
      </c>
      <c r="B5" s="51" t="s">
        <v>34</v>
      </c>
      <c r="C5" s="52"/>
      <c r="D5" s="25">
        <v>0.0</v>
      </c>
      <c r="E5" s="27">
        <v>0.0</v>
      </c>
      <c r="F5" s="46">
        <v>1.0</v>
      </c>
      <c r="G5" s="47">
        <v>0.0</v>
      </c>
      <c r="H5" s="47">
        <v>0.0</v>
      </c>
      <c r="I5" s="47">
        <v>1.0</v>
      </c>
      <c r="J5" s="46">
        <v>1.0</v>
      </c>
      <c r="K5" s="46">
        <v>1.0</v>
      </c>
      <c r="L5" s="47">
        <v>0.0</v>
      </c>
      <c r="M5" s="47">
        <v>0.0</v>
      </c>
      <c r="N5" s="47">
        <v>0.0</v>
      </c>
      <c r="O5" s="47">
        <v>0.0</v>
      </c>
      <c r="P5" s="47">
        <v>0.0</v>
      </c>
      <c r="Q5" s="53"/>
      <c r="R5" s="27"/>
      <c r="S5" s="54"/>
      <c r="T5" s="51">
        <v>408580.0</v>
      </c>
      <c r="W5" s="38"/>
      <c r="X5" s="21"/>
      <c r="AA5" s="38"/>
      <c r="AB5" s="21"/>
      <c r="AE5" s="38"/>
      <c r="AF5" s="21"/>
      <c r="AI5" s="38"/>
      <c r="AJ5" s="21"/>
      <c r="AQ5" s="24">
        <v>0.01</v>
      </c>
      <c r="AR5" s="28"/>
      <c r="AS5" s="21">
        <f t="shared" ref="AS5:AT5" si="4">SUM(AP5)</f>
        <v>0</v>
      </c>
      <c r="AT5">
        <f t="shared" si="4"/>
        <v>0.01</v>
      </c>
      <c r="AU5">
        <f t="shared" si="5"/>
        <v>0</v>
      </c>
      <c r="AV5">
        <f t="shared" si="6"/>
        <v>0</v>
      </c>
      <c r="AW5">
        <f t="shared" si="7"/>
        <v>0</v>
      </c>
      <c r="AX5">
        <f t="shared" si="8"/>
        <v>0</v>
      </c>
      <c r="AY5">
        <f t="shared" ref="AY5:BD5" si="9">SUM(AJ5)</f>
        <v>0</v>
      </c>
      <c r="AZ5">
        <f t="shared" si="9"/>
        <v>0</v>
      </c>
      <c r="BA5">
        <f t="shared" si="9"/>
        <v>0</v>
      </c>
      <c r="BB5">
        <f t="shared" si="9"/>
        <v>0</v>
      </c>
      <c r="BC5">
        <f t="shared" si="9"/>
        <v>0</v>
      </c>
      <c r="BD5">
        <f t="shared" si="9"/>
        <v>0</v>
      </c>
      <c r="BE5">
        <f t="shared" si="10"/>
        <v>0</v>
      </c>
      <c r="BF5" s="4"/>
      <c r="BG5" s="50">
        <f t="shared" si="11"/>
        <v>0.01</v>
      </c>
      <c r="BH5" s="32"/>
    </row>
    <row r="6">
      <c r="A6" s="43">
        <v>465993.0</v>
      </c>
      <c r="B6" s="55" t="s">
        <v>35</v>
      </c>
      <c r="C6" s="45"/>
      <c r="D6" s="25">
        <v>1.0</v>
      </c>
      <c r="E6" s="46">
        <v>1.0</v>
      </c>
      <c r="F6" s="46">
        <v>1.0</v>
      </c>
      <c r="G6" s="46">
        <v>1.0</v>
      </c>
      <c r="H6" s="46">
        <v>1.0</v>
      </c>
      <c r="I6" s="46">
        <v>1.0</v>
      </c>
      <c r="J6" s="46">
        <v>1.0</v>
      </c>
      <c r="K6" s="46">
        <v>1.0</v>
      </c>
      <c r="L6" s="46">
        <v>1.0</v>
      </c>
      <c r="M6" s="46">
        <v>1.0</v>
      </c>
      <c r="N6" s="46">
        <v>1.0</v>
      </c>
      <c r="O6" s="46">
        <v>1.0</v>
      </c>
      <c r="P6" s="46">
        <v>1.0</v>
      </c>
      <c r="Q6" s="46">
        <v>1.0</v>
      </c>
      <c r="R6" s="27"/>
      <c r="S6" s="48">
        <v>1.0</v>
      </c>
      <c r="T6" s="49">
        <v>465993.0</v>
      </c>
      <c r="U6" s="36">
        <v>10.0</v>
      </c>
      <c r="V6" s="36">
        <v>0.0</v>
      </c>
      <c r="W6" s="38">
        <f>DATE(2025,9,26)</f>
        <v>45926</v>
      </c>
      <c r="X6" s="28">
        <v>547291.0</v>
      </c>
      <c r="Y6" s="36">
        <v>9.5</v>
      </c>
      <c r="Z6" s="36">
        <v>2.0</v>
      </c>
      <c r="AA6" s="38">
        <f>DATE(2025,10,10)</f>
        <v>45940</v>
      </c>
      <c r="AB6" s="28">
        <v>273935.0</v>
      </c>
      <c r="AC6" s="36">
        <v>10.0</v>
      </c>
      <c r="AD6" s="36">
        <v>2.0</v>
      </c>
      <c r="AE6" s="38">
        <f>DATE(2025,11,7)</f>
        <v>45968</v>
      </c>
      <c r="AF6" s="28">
        <v>856441.0</v>
      </c>
      <c r="AG6" s="36">
        <v>8.5</v>
      </c>
      <c r="AI6" s="38"/>
      <c r="AJ6" s="28">
        <v>2.0</v>
      </c>
      <c r="AK6" s="36">
        <v>1.2</v>
      </c>
      <c r="AL6" s="36">
        <v>1.8</v>
      </c>
      <c r="AM6" s="36">
        <v>0.8</v>
      </c>
      <c r="AN6" s="36">
        <v>1.2</v>
      </c>
      <c r="AO6" s="36">
        <v>0.01</v>
      </c>
      <c r="AP6" s="36">
        <v>8.0</v>
      </c>
      <c r="AQ6" s="24">
        <v>6.0</v>
      </c>
      <c r="AR6" s="28">
        <f>SUM(AP6:AQ6)</f>
        <v>14</v>
      </c>
      <c r="AS6" s="21">
        <f t="shared" ref="AS6:AT6" si="12">SUM(AP6)</f>
        <v>8</v>
      </c>
      <c r="AT6">
        <f t="shared" si="12"/>
        <v>6</v>
      </c>
      <c r="AU6">
        <f t="shared" si="5"/>
        <v>10</v>
      </c>
      <c r="AV6">
        <f t="shared" si="6"/>
        <v>11.5</v>
      </c>
      <c r="AW6">
        <f t="shared" si="7"/>
        <v>12</v>
      </c>
      <c r="AX6">
        <f t="shared" si="8"/>
        <v>8.5</v>
      </c>
      <c r="AY6">
        <f t="shared" ref="AY6:BD6" si="13">SUM(AJ6)</f>
        <v>2</v>
      </c>
      <c r="AZ6">
        <f t="shared" si="13"/>
        <v>1.2</v>
      </c>
      <c r="BA6">
        <f t="shared" si="13"/>
        <v>1.8</v>
      </c>
      <c r="BB6">
        <f t="shared" si="13"/>
        <v>0.8</v>
      </c>
      <c r="BC6">
        <f t="shared" si="13"/>
        <v>1.2</v>
      </c>
      <c r="BD6">
        <f t="shared" si="13"/>
        <v>0.01</v>
      </c>
      <c r="BE6">
        <f t="shared" si="10"/>
        <v>14</v>
      </c>
      <c r="BF6" s="4"/>
      <c r="BG6" s="50">
        <f t="shared" si="11"/>
        <v>77.01</v>
      </c>
      <c r="BH6" s="32">
        <v>1.0</v>
      </c>
    </row>
    <row r="7">
      <c r="A7" s="28">
        <v>500429.0</v>
      </c>
      <c r="B7" s="36" t="s">
        <v>36</v>
      </c>
      <c r="C7" s="56"/>
      <c r="D7" s="57">
        <v>0.0</v>
      </c>
      <c r="E7" s="47">
        <v>0.0</v>
      </c>
      <c r="F7" s="47">
        <v>0.0</v>
      </c>
      <c r="G7" s="47">
        <v>1.0</v>
      </c>
      <c r="H7" s="47">
        <v>0.0</v>
      </c>
      <c r="I7" s="47">
        <v>1.0</v>
      </c>
      <c r="J7" s="47">
        <v>0.0</v>
      </c>
      <c r="K7" s="47">
        <v>0.0</v>
      </c>
      <c r="L7" s="46">
        <v>1.0</v>
      </c>
      <c r="M7" s="46">
        <v>1.0</v>
      </c>
      <c r="N7" s="47">
        <v>0.0</v>
      </c>
      <c r="O7" s="47">
        <v>0.0</v>
      </c>
      <c r="P7" s="46">
        <v>1.0</v>
      </c>
      <c r="Q7" s="46">
        <v>1.0</v>
      </c>
      <c r="R7" s="56"/>
      <c r="S7" s="48">
        <v>1.0</v>
      </c>
      <c r="T7" s="28">
        <v>500429.0</v>
      </c>
      <c r="U7" s="36">
        <v>6.0</v>
      </c>
      <c r="V7" s="36">
        <v>0.0</v>
      </c>
      <c r="W7" s="38">
        <f>DATE(2025,12,28)</f>
        <v>46019</v>
      </c>
      <c r="X7" s="36">
        <v>508149.0</v>
      </c>
      <c r="Y7" s="36">
        <v>7.0</v>
      </c>
      <c r="Z7" s="36">
        <v>0.0</v>
      </c>
      <c r="AA7" s="38">
        <f>DATE(2025,12,28)</f>
        <v>46019</v>
      </c>
      <c r="AB7" s="36">
        <v>871232.0</v>
      </c>
      <c r="AC7" s="36">
        <v>7.0</v>
      </c>
      <c r="AD7" s="36">
        <v>0.0</v>
      </c>
      <c r="AE7" s="38">
        <f>DATE(2025,12,28)</f>
        <v>46019</v>
      </c>
      <c r="AF7" s="36">
        <v>12443.0</v>
      </c>
      <c r="AG7" s="36">
        <v>6.0</v>
      </c>
      <c r="AH7" s="36"/>
      <c r="AI7" s="36"/>
      <c r="AJ7" s="28"/>
      <c r="AK7" s="36">
        <v>0.7</v>
      </c>
      <c r="AN7" s="36">
        <v>0.01</v>
      </c>
      <c r="AO7" s="36">
        <v>0.01</v>
      </c>
      <c r="AP7" s="36">
        <v>6.0</v>
      </c>
      <c r="AQ7" s="36">
        <v>6.0</v>
      </c>
      <c r="AR7" s="28">
        <f>SUM(AP7:AQ7)+7</f>
        <v>19</v>
      </c>
      <c r="AS7" s="21">
        <f t="shared" ref="AS7:AT7" si="14">SUM(AP7)</f>
        <v>6</v>
      </c>
      <c r="AT7">
        <f t="shared" si="14"/>
        <v>6</v>
      </c>
      <c r="AU7">
        <f t="shared" si="5"/>
        <v>6</v>
      </c>
      <c r="AV7">
        <f t="shared" si="6"/>
        <v>7</v>
      </c>
      <c r="AW7">
        <f t="shared" si="7"/>
        <v>7</v>
      </c>
      <c r="AX7">
        <f t="shared" si="8"/>
        <v>6</v>
      </c>
      <c r="AY7">
        <f t="shared" ref="AY7:BD7" si="15">SUM(AJ7)</f>
        <v>0</v>
      </c>
      <c r="AZ7">
        <f t="shared" si="15"/>
        <v>0.7</v>
      </c>
      <c r="BA7">
        <f t="shared" si="15"/>
        <v>0</v>
      </c>
      <c r="BB7">
        <f t="shared" si="15"/>
        <v>0</v>
      </c>
      <c r="BC7">
        <f t="shared" si="15"/>
        <v>0.01</v>
      </c>
      <c r="BD7">
        <f t="shared" si="15"/>
        <v>0.01</v>
      </c>
      <c r="BE7">
        <f t="shared" si="10"/>
        <v>19</v>
      </c>
      <c r="BF7" s="24">
        <v>3.0</v>
      </c>
      <c r="BG7" s="50">
        <f t="shared" si="11"/>
        <v>60.72</v>
      </c>
      <c r="BH7" s="32">
        <v>2.0</v>
      </c>
    </row>
    <row r="8">
      <c r="A8" s="43">
        <v>466310.0</v>
      </c>
      <c r="B8" s="44" t="s">
        <v>37</v>
      </c>
      <c r="C8" s="45"/>
      <c r="D8" s="25">
        <v>1.0</v>
      </c>
      <c r="E8" s="46">
        <v>1.0</v>
      </c>
      <c r="F8" s="46">
        <v>1.0</v>
      </c>
      <c r="G8" s="46">
        <v>1.0</v>
      </c>
      <c r="H8" s="46">
        <v>1.0</v>
      </c>
      <c r="I8" s="46">
        <v>1.0</v>
      </c>
      <c r="J8" s="46">
        <v>1.0</v>
      </c>
      <c r="K8" s="46">
        <v>1.0</v>
      </c>
      <c r="L8" s="46">
        <v>1.0</v>
      </c>
      <c r="M8" s="46">
        <v>1.0</v>
      </c>
      <c r="N8" s="46">
        <v>1.0</v>
      </c>
      <c r="O8" s="46">
        <v>1.0</v>
      </c>
      <c r="P8" s="27">
        <v>1.0</v>
      </c>
      <c r="Q8" s="46">
        <v>1.0</v>
      </c>
      <c r="R8" s="46">
        <v>1.0</v>
      </c>
      <c r="S8" s="48">
        <v>1.0</v>
      </c>
      <c r="T8" s="49">
        <v>466310.0</v>
      </c>
      <c r="U8" s="36">
        <v>10.0</v>
      </c>
      <c r="V8" s="36">
        <v>0.0</v>
      </c>
      <c r="W8" s="38">
        <f>DATE(2025,9,26)</f>
        <v>45926</v>
      </c>
      <c r="X8" s="28">
        <v>438931.0</v>
      </c>
      <c r="Y8" s="36">
        <v>8.0</v>
      </c>
      <c r="Z8" s="36">
        <v>1.5</v>
      </c>
      <c r="AA8" s="38">
        <f>DATE(2025,10,10)</f>
        <v>45940</v>
      </c>
      <c r="AB8" s="28">
        <v>789143.0</v>
      </c>
      <c r="AC8" s="36">
        <v>9.0</v>
      </c>
      <c r="AD8" s="36">
        <v>0.0</v>
      </c>
      <c r="AE8" s="38">
        <f>DATE(2025,11,21)</f>
        <v>45982</v>
      </c>
      <c r="AF8" s="28">
        <v>1126.0</v>
      </c>
      <c r="AG8" s="36">
        <v>8.5</v>
      </c>
      <c r="AI8" s="24"/>
      <c r="AJ8" s="28">
        <v>1.6</v>
      </c>
      <c r="AK8" s="36">
        <v>1.1</v>
      </c>
      <c r="AL8" s="36">
        <v>0.3</v>
      </c>
      <c r="AN8" s="36">
        <v>0.01</v>
      </c>
      <c r="AO8" s="36">
        <v>0.01</v>
      </c>
      <c r="AP8" s="36">
        <v>7.0</v>
      </c>
      <c r="AQ8" s="24">
        <v>6.0</v>
      </c>
      <c r="AR8" s="28">
        <f>SUM(AP8:AQ8)</f>
        <v>13</v>
      </c>
      <c r="AS8" s="21">
        <f t="shared" ref="AS8:AT8" si="16">SUM(AP8)</f>
        <v>7</v>
      </c>
      <c r="AT8">
        <f t="shared" si="16"/>
        <v>6</v>
      </c>
      <c r="AU8">
        <f t="shared" si="5"/>
        <v>10</v>
      </c>
      <c r="AV8">
        <f t="shared" si="6"/>
        <v>9.5</v>
      </c>
      <c r="AW8">
        <f t="shared" si="7"/>
        <v>9</v>
      </c>
      <c r="AX8">
        <f t="shared" si="8"/>
        <v>8.5</v>
      </c>
      <c r="AY8">
        <f t="shared" ref="AY8:BD8" si="17">SUM(AJ8)</f>
        <v>1.6</v>
      </c>
      <c r="AZ8">
        <f t="shared" si="17"/>
        <v>1.1</v>
      </c>
      <c r="BA8">
        <f t="shared" si="17"/>
        <v>0.3</v>
      </c>
      <c r="BB8">
        <f t="shared" si="17"/>
        <v>0</v>
      </c>
      <c r="BC8">
        <f t="shared" si="17"/>
        <v>0.01</v>
      </c>
      <c r="BD8">
        <f t="shared" si="17"/>
        <v>0.01</v>
      </c>
      <c r="BE8">
        <f t="shared" si="10"/>
        <v>13</v>
      </c>
      <c r="BF8" s="4"/>
      <c r="BG8" s="50">
        <f t="shared" si="11"/>
        <v>66.02</v>
      </c>
      <c r="BH8" s="32">
        <v>1.0</v>
      </c>
    </row>
    <row r="9">
      <c r="A9" s="43">
        <v>466316.0</v>
      </c>
      <c r="B9" s="44" t="s">
        <v>38</v>
      </c>
      <c r="C9" s="45"/>
      <c r="D9" s="25">
        <v>1.0</v>
      </c>
      <c r="E9" s="27">
        <v>1.0</v>
      </c>
      <c r="F9" s="27">
        <v>0.0</v>
      </c>
      <c r="G9" s="47">
        <v>0.0</v>
      </c>
      <c r="H9" s="47">
        <v>0.0</v>
      </c>
      <c r="I9" s="47">
        <v>0.0</v>
      </c>
      <c r="J9" s="47">
        <v>0.0</v>
      </c>
      <c r="K9" s="46">
        <v>1.0</v>
      </c>
      <c r="L9" s="46">
        <v>1.0</v>
      </c>
      <c r="M9" s="46">
        <v>1.0</v>
      </c>
      <c r="N9" s="46">
        <v>1.0</v>
      </c>
      <c r="O9" s="46">
        <v>1.0</v>
      </c>
      <c r="P9" s="47">
        <v>0.0</v>
      </c>
      <c r="Q9" s="53"/>
      <c r="R9" s="27"/>
      <c r="S9" s="54"/>
      <c r="T9" s="49">
        <v>466316.0</v>
      </c>
      <c r="U9" s="36">
        <v>6.0</v>
      </c>
      <c r="V9" s="36">
        <v>0.0</v>
      </c>
      <c r="W9" s="38">
        <f>DATE(2025,11,21)</f>
        <v>45982</v>
      </c>
      <c r="X9" s="28">
        <v>942153.0</v>
      </c>
      <c r="Y9" s="36">
        <v>6.0</v>
      </c>
      <c r="Z9" s="36">
        <v>0.0</v>
      </c>
      <c r="AA9" s="38">
        <f>DATE(2025,12,28)</f>
        <v>46019</v>
      </c>
      <c r="AB9" s="28">
        <v>249518.0</v>
      </c>
      <c r="AC9" s="36">
        <v>0.2</v>
      </c>
      <c r="AE9" s="24"/>
      <c r="AF9" s="28">
        <v>32242.0</v>
      </c>
      <c r="AI9" s="24"/>
      <c r="AJ9" s="28"/>
      <c r="AK9" s="36">
        <v>0.5</v>
      </c>
      <c r="AP9" s="36">
        <v>6.0</v>
      </c>
      <c r="AQ9" s="24">
        <v>0.01</v>
      </c>
      <c r="AR9" s="28"/>
      <c r="AS9" s="21">
        <f t="shared" ref="AS9:AT9" si="18">SUM(AP9)</f>
        <v>6</v>
      </c>
      <c r="AT9">
        <f t="shared" si="18"/>
        <v>0.01</v>
      </c>
      <c r="AU9">
        <f t="shared" si="5"/>
        <v>6</v>
      </c>
      <c r="AV9">
        <f t="shared" si="6"/>
        <v>6</v>
      </c>
      <c r="AW9">
        <f t="shared" si="7"/>
        <v>0.2</v>
      </c>
      <c r="AX9">
        <f t="shared" si="8"/>
        <v>0</v>
      </c>
      <c r="AY9">
        <f t="shared" ref="AY9:BD9" si="19">SUM(AJ9)</f>
        <v>0</v>
      </c>
      <c r="AZ9">
        <f t="shared" si="19"/>
        <v>0.5</v>
      </c>
      <c r="BA9">
        <f t="shared" si="19"/>
        <v>0</v>
      </c>
      <c r="BB9">
        <f t="shared" si="19"/>
        <v>0</v>
      </c>
      <c r="BC9">
        <f t="shared" si="19"/>
        <v>0</v>
      </c>
      <c r="BD9">
        <f t="shared" si="19"/>
        <v>0</v>
      </c>
      <c r="BE9">
        <f t="shared" si="10"/>
        <v>0</v>
      </c>
      <c r="BF9" s="4"/>
      <c r="BG9" s="50">
        <f t="shared" si="11"/>
        <v>18.71</v>
      </c>
      <c r="BH9" s="32"/>
    </row>
    <row r="10">
      <c r="A10" s="43">
        <v>466690.0</v>
      </c>
      <c r="B10" s="55" t="s">
        <v>39</v>
      </c>
      <c r="C10" s="52"/>
      <c r="D10" s="25">
        <v>1.0</v>
      </c>
      <c r="E10" s="46">
        <v>1.0</v>
      </c>
      <c r="F10" s="46">
        <v>1.0</v>
      </c>
      <c r="G10" s="47">
        <v>0.0</v>
      </c>
      <c r="H10" s="46">
        <v>1.0</v>
      </c>
      <c r="I10" s="47">
        <v>0.0</v>
      </c>
      <c r="J10" s="46">
        <v>1.0</v>
      </c>
      <c r="K10" s="46">
        <v>1.0</v>
      </c>
      <c r="L10" s="46">
        <v>1.0</v>
      </c>
      <c r="M10" s="46">
        <v>1.0</v>
      </c>
      <c r="N10" s="46">
        <v>1.0</v>
      </c>
      <c r="O10" s="47">
        <v>0.0</v>
      </c>
      <c r="P10" s="47">
        <v>0.0</v>
      </c>
      <c r="Q10" s="46">
        <v>1.0</v>
      </c>
      <c r="R10" s="27"/>
      <c r="S10" s="48">
        <v>1.0</v>
      </c>
      <c r="T10" s="49">
        <v>466690.0</v>
      </c>
      <c r="U10" s="58">
        <v>10.0</v>
      </c>
      <c r="V10" s="58">
        <v>2.0</v>
      </c>
      <c r="W10" s="59">
        <f>DATE(2025,9,19)</f>
        <v>45919</v>
      </c>
      <c r="X10" s="60">
        <v>152932.0</v>
      </c>
      <c r="Y10" s="61">
        <v>10.0</v>
      </c>
      <c r="Z10" s="61">
        <v>1.5</v>
      </c>
      <c r="AA10" s="59">
        <f>DATE(2025,10,3)</f>
        <v>45933</v>
      </c>
      <c r="AB10" s="62">
        <v>853924.0</v>
      </c>
      <c r="AC10" s="36">
        <v>9.73</v>
      </c>
      <c r="AD10" s="36">
        <v>0.0</v>
      </c>
      <c r="AE10" s="38">
        <f>DATE(2025,11,7)</f>
        <v>45968</v>
      </c>
      <c r="AF10" s="28">
        <v>34323.0</v>
      </c>
      <c r="AG10" s="36">
        <v>9.0</v>
      </c>
      <c r="AI10" s="38">
        <f>DATE(2025,12,19)</f>
        <v>46010</v>
      </c>
      <c r="AJ10" s="28">
        <v>0.4</v>
      </c>
      <c r="AK10" s="36">
        <v>0.6</v>
      </c>
      <c r="AN10" s="36">
        <v>0.01</v>
      </c>
      <c r="AP10" s="36">
        <v>7.0</v>
      </c>
      <c r="AQ10" s="24">
        <v>6.0</v>
      </c>
      <c r="AR10" s="28">
        <f t="shared" ref="AR10:AR12" si="22">SUM(AP10:AQ10)</f>
        <v>13</v>
      </c>
      <c r="AS10" s="21">
        <f t="shared" ref="AS10:AT10" si="20">SUM(AP10)</f>
        <v>7</v>
      </c>
      <c r="AT10">
        <f t="shared" si="20"/>
        <v>6</v>
      </c>
      <c r="AU10">
        <f t="shared" si="5"/>
        <v>12</v>
      </c>
      <c r="AV10">
        <f t="shared" si="6"/>
        <v>11.5</v>
      </c>
      <c r="AW10">
        <f t="shared" si="7"/>
        <v>9.73</v>
      </c>
      <c r="AX10">
        <f t="shared" si="8"/>
        <v>9</v>
      </c>
      <c r="AY10">
        <f t="shared" ref="AY10:BD10" si="21">SUM(AJ10)</f>
        <v>0.4</v>
      </c>
      <c r="AZ10">
        <f t="shared" si="21"/>
        <v>0.6</v>
      </c>
      <c r="BA10">
        <f t="shared" si="21"/>
        <v>0</v>
      </c>
      <c r="BB10">
        <f t="shared" si="21"/>
        <v>0</v>
      </c>
      <c r="BC10">
        <f t="shared" si="21"/>
        <v>0.01</v>
      </c>
      <c r="BD10">
        <f t="shared" si="21"/>
        <v>0</v>
      </c>
      <c r="BE10">
        <f t="shared" si="10"/>
        <v>13</v>
      </c>
      <c r="BF10" s="4"/>
      <c r="BG10" s="50">
        <f t="shared" si="11"/>
        <v>69.24</v>
      </c>
      <c r="BH10" s="32">
        <v>1.0</v>
      </c>
    </row>
    <row r="11">
      <c r="A11" s="43">
        <v>466853.0</v>
      </c>
      <c r="B11" s="55" t="s">
        <v>40</v>
      </c>
      <c r="C11" s="45"/>
      <c r="D11" s="25">
        <v>1.0</v>
      </c>
      <c r="E11" s="47">
        <v>1.0</v>
      </c>
      <c r="F11" s="46">
        <v>1.0</v>
      </c>
      <c r="G11" s="46">
        <v>1.0</v>
      </c>
      <c r="H11" s="46">
        <v>1.0</v>
      </c>
      <c r="I11" s="46">
        <v>1.0</v>
      </c>
      <c r="J11" s="46">
        <v>1.0</v>
      </c>
      <c r="K11" s="46">
        <v>1.0</v>
      </c>
      <c r="L11" s="46">
        <v>1.0</v>
      </c>
      <c r="M11" s="46">
        <v>1.0</v>
      </c>
      <c r="N11" s="47">
        <v>0.0</v>
      </c>
      <c r="O11" s="46">
        <v>1.0</v>
      </c>
      <c r="P11" s="46">
        <v>1.0</v>
      </c>
      <c r="Q11" s="46">
        <v>1.0</v>
      </c>
      <c r="R11" s="27"/>
      <c r="S11" s="48">
        <v>1.0</v>
      </c>
      <c r="T11" s="49">
        <v>466853.0</v>
      </c>
      <c r="U11" s="36">
        <v>9.5</v>
      </c>
      <c r="V11" s="36">
        <v>0.0</v>
      </c>
      <c r="W11" s="59">
        <f t="shared" ref="W11:W12" si="25">DATE(2025,9,26)</f>
        <v>45926</v>
      </c>
      <c r="X11" s="28">
        <v>134581.0</v>
      </c>
      <c r="Y11" s="36">
        <v>7.5</v>
      </c>
      <c r="Z11" s="36">
        <v>0.0</v>
      </c>
      <c r="AA11" s="38">
        <f>DATE(2025,11,7)</f>
        <v>45968</v>
      </c>
      <c r="AB11" s="28">
        <v>584343.0</v>
      </c>
      <c r="AC11" s="36">
        <v>6.0</v>
      </c>
      <c r="AD11" s="36">
        <v>0.0</v>
      </c>
      <c r="AE11" s="38">
        <f>DATE(2025,12,5)</f>
        <v>45996</v>
      </c>
      <c r="AF11" s="28">
        <v>1361613.0</v>
      </c>
      <c r="AG11" s="36">
        <v>6.0</v>
      </c>
      <c r="AH11" s="36">
        <v>0.0</v>
      </c>
      <c r="AI11" s="63"/>
      <c r="AJ11" s="36">
        <v>0.3</v>
      </c>
      <c r="AN11" s="36">
        <v>1.6</v>
      </c>
      <c r="AO11" s="36">
        <v>0.01</v>
      </c>
      <c r="AP11" s="36">
        <v>6.0</v>
      </c>
      <c r="AQ11" s="24">
        <v>8.5</v>
      </c>
      <c r="AR11" s="28">
        <f t="shared" si="22"/>
        <v>14.5</v>
      </c>
      <c r="AS11" s="21">
        <f t="shared" ref="AS11:AT11" si="23">SUM(AP11)</f>
        <v>6</v>
      </c>
      <c r="AT11">
        <f t="shared" si="23"/>
        <v>8.5</v>
      </c>
      <c r="AU11">
        <f t="shared" si="5"/>
        <v>9.5</v>
      </c>
      <c r="AV11">
        <f t="shared" si="6"/>
        <v>7.5</v>
      </c>
      <c r="AW11">
        <f t="shared" si="7"/>
        <v>6</v>
      </c>
      <c r="AX11">
        <f t="shared" si="8"/>
        <v>6</v>
      </c>
      <c r="AY11">
        <f>SUM(AJ12)</f>
        <v>0</v>
      </c>
      <c r="AZ11">
        <f t="shared" ref="AZ11:BD11" si="24">SUM(AK11)</f>
        <v>0</v>
      </c>
      <c r="BA11">
        <f t="shared" si="24"/>
        <v>0</v>
      </c>
      <c r="BB11">
        <f t="shared" si="24"/>
        <v>0</v>
      </c>
      <c r="BC11">
        <f t="shared" si="24"/>
        <v>1.6</v>
      </c>
      <c r="BD11">
        <f t="shared" si="24"/>
        <v>0.01</v>
      </c>
      <c r="BE11">
        <f t="shared" si="10"/>
        <v>14.5</v>
      </c>
      <c r="BF11" s="24">
        <v>1.0</v>
      </c>
      <c r="BG11" s="50">
        <f t="shared" si="11"/>
        <v>60.61</v>
      </c>
      <c r="BH11" s="32">
        <v>2.0</v>
      </c>
    </row>
    <row r="12">
      <c r="A12" s="43">
        <v>467204.0</v>
      </c>
      <c r="B12" s="55" t="s">
        <v>41</v>
      </c>
      <c r="C12" s="45"/>
      <c r="D12" s="25">
        <v>1.0</v>
      </c>
      <c r="E12" s="46">
        <v>1.0</v>
      </c>
      <c r="F12" s="46">
        <v>1.0</v>
      </c>
      <c r="G12" s="46">
        <v>1.0</v>
      </c>
      <c r="H12" s="47">
        <v>0.0</v>
      </c>
      <c r="I12" s="46">
        <v>1.0</v>
      </c>
      <c r="J12" s="46">
        <v>1.0</v>
      </c>
      <c r="K12" s="47">
        <v>0.0</v>
      </c>
      <c r="L12" s="46">
        <v>1.0</v>
      </c>
      <c r="M12" s="47">
        <v>0.0</v>
      </c>
      <c r="N12" s="46">
        <v>1.0</v>
      </c>
      <c r="O12" s="47">
        <v>0.0</v>
      </c>
      <c r="P12" s="47">
        <v>0.0</v>
      </c>
      <c r="Q12" s="46">
        <v>1.0</v>
      </c>
      <c r="R12" s="46">
        <v>1.0</v>
      </c>
      <c r="S12" s="48">
        <v>1.0</v>
      </c>
      <c r="T12" s="49">
        <v>467204.0</v>
      </c>
      <c r="U12" s="36">
        <v>8.0</v>
      </c>
      <c r="V12" s="36">
        <v>2.0</v>
      </c>
      <c r="W12" s="59">
        <f t="shared" si="25"/>
        <v>45926</v>
      </c>
      <c r="X12" s="28">
        <v>592319.0</v>
      </c>
      <c r="Y12" s="36">
        <v>8.0</v>
      </c>
      <c r="Z12" s="36">
        <v>2.0</v>
      </c>
      <c r="AA12" s="59">
        <f>DATE(2025,10,31)</f>
        <v>45961</v>
      </c>
      <c r="AB12" s="28">
        <v>999312.0</v>
      </c>
      <c r="AC12" s="36">
        <v>7.5</v>
      </c>
      <c r="AD12" s="36">
        <v>0.0</v>
      </c>
      <c r="AE12" s="38">
        <f>DATE(2025,12,19)</f>
        <v>46010</v>
      </c>
      <c r="AF12" s="28">
        <v>3.7513531E7</v>
      </c>
      <c r="AG12" s="36">
        <v>6.0</v>
      </c>
      <c r="AH12" s="36">
        <v>0.0</v>
      </c>
      <c r="AI12" s="24"/>
      <c r="AJ12" s="28"/>
      <c r="AP12" s="36">
        <v>7.0</v>
      </c>
      <c r="AQ12" s="24">
        <v>6.0</v>
      </c>
      <c r="AR12" s="28">
        <f t="shared" si="22"/>
        <v>13</v>
      </c>
      <c r="AS12" s="21">
        <f t="shared" ref="AS12:AT12" si="26">SUM(AP12)</f>
        <v>7</v>
      </c>
      <c r="AT12">
        <f t="shared" si="26"/>
        <v>6</v>
      </c>
      <c r="AU12">
        <f t="shared" si="5"/>
        <v>10</v>
      </c>
      <c r="AV12">
        <f t="shared" si="6"/>
        <v>10</v>
      </c>
      <c r="AW12">
        <f t="shared" si="7"/>
        <v>7.5</v>
      </c>
      <c r="AX12">
        <f t="shared" si="8"/>
        <v>6</v>
      </c>
      <c r="AY12">
        <f t="shared" ref="AY12:BD12" si="27">SUM(AJ12)</f>
        <v>0</v>
      </c>
      <c r="AZ12">
        <f t="shared" si="27"/>
        <v>0</v>
      </c>
      <c r="BA12">
        <f t="shared" si="27"/>
        <v>0</v>
      </c>
      <c r="BB12">
        <f t="shared" si="27"/>
        <v>0</v>
      </c>
      <c r="BC12">
        <f t="shared" si="27"/>
        <v>0</v>
      </c>
      <c r="BD12">
        <f t="shared" si="27"/>
        <v>0</v>
      </c>
      <c r="BE12">
        <f t="shared" si="10"/>
        <v>13</v>
      </c>
      <c r="BF12" s="24">
        <v>0.5</v>
      </c>
      <c r="BG12" s="50">
        <f t="shared" si="11"/>
        <v>60</v>
      </c>
      <c r="BH12" s="32">
        <v>1.0</v>
      </c>
    </row>
    <row r="13">
      <c r="A13" s="43">
        <v>467393.0</v>
      </c>
      <c r="B13" s="55" t="s">
        <v>42</v>
      </c>
      <c r="C13" s="45"/>
      <c r="D13" s="25">
        <v>1.0</v>
      </c>
      <c r="E13" s="46">
        <v>1.0</v>
      </c>
      <c r="F13" s="27">
        <v>1.0</v>
      </c>
      <c r="G13" s="27">
        <v>1.0</v>
      </c>
      <c r="H13" s="46">
        <v>1.0</v>
      </c>
      <c r="I13" s="46">
        <v>1.0</v>
      </c>
      <c r="J13" s="47">
        <v>0.0</v>
      </c>
      <c r="K13" s="47">
        <v>0.0</v>
      </c>
      <c r="L13" s="46">
        <v>1.0</v>
      </c>
      <c r="M13" s="46">
        <v>1.0</v>
      </c>
      <c r="N13" s="47">
        <v>0.0</v>
      </c>
      <c r="O13" s="47">
        <v>0.0</v>
      </c>
      <c r="P13" s="46">
        <v>1.0</v>
      </c>
      <c r="Q13" s="46">
        <v>1.0</v>
      </c>
      <c r="R13" s="46">
        <v>1.0</v>
      </c>
      <c r="S13" s="48">
        <v>1.0</v>
      </c>
      <c r="T13" s="49">
        <v>467393.0</v>
      </c>
      <c r="U13" s="36">
        <v>6.0</v>
      </c>
      <c r="V13" s="36">
        <v>2.0</v>
      </c>
      <c r="W13" s="59">
        <f>DATE(2025,10,20)</f>
        <v>45950</v>
      </c>
      <c r="X13" s="28">
        <v>809368.0</v>
      </c>
      <c r="Y13" s="36">
        <v>7.0</v>
      </c>
      <c r="AA13" s="38">
        <f>DATE(2025,12,27)</f>
        <v>46018</v>
      </c>
      <c r="AB13" s="28">
        <v>348185.0</v>
      </c>
      <c r="AC13" s="36">
        <v>0.2</v>
      </c>
      <c r="AE13" s="63"/>
      <c r="AF13" s="28">
        <v>215532.0</v>
      </c>
      <c r="AI13" s="24"/>
      <c r="AJ13" s="28"/>
      <c r="AK13" s="36">
        <v>0.4</v>
      </c>
      <c r="AO13" s="36">
        <v>1.0</v>
      </c>
      <c r="AP13" s="36">
        <v>0.01</v>
      </c>
      <c r="AQ13" s="24">
        <v>0.01</v>
      </c>
      <c r="AR13" s="28"/>
      <c r="AS13" s="21">
        <f t="shared" ref="AS13:AT13" si="28">SUM(AP13)</f>
        <v>0.01</v>
      </c>
      <c r="AT13">
        <f t="shared" si="28"/>
        <v>0.01</v>
      </c>
      <c r="AU13">
        <f t="shared" si="5"/>
        <v>8</v>
      </c>
      <c r="AV13">
        <f t="shared" si="6"/>
        <v>7</v>
      </c>
      <c r="AW13">
        <f t="shared" si="7"/>
        <v>0.2</v>
      </c>
      <c r="AX13">
        <f t="shared" si="8"/>
        <v>0</v>
      </c>
      <c r="AY13">
        <f t="shared" ref="AY13:BD13" si="29">SUM(AJ13)</f>
        <v>0</v>
      </c>
      <c r="AZ13">
        <f t="shared" si="29"/>
        <v>0.4</v>
      </c>
      <c r="BA13">
        <f t="shared" si="29"/>
        <v>0</v>
      </c>
      <c r="BB13">
        <f t="shared" si="29"/>
        <v>0</v>
      </c>
      <c r="BC13">
        <f t="shared" si="29"/>
        <v>0</v>
      </c>
      <c r="BD13">
        <f t="shared" si="29"/>
        <v>1</v>
      </c>
      <c r="BE13">
        <f t="shared" si="10"/>
        <v>0</v>
      </c>
      <c r="BF13" s="4"/>
      <c r="BG13" s="50">
        <f t="shared" si="11"/>
        <v>16.62</v>
      </c>
      <c r="BH13" s="32"/>
    </row>
    <row r="14">
      <c r="A14" s="43">
        <v>472474.0</v>
      </c>
      <c r="B14" s="55" t="s">
        <v>43</v>
      </c>
      <c r="C14" s="56"/>
      <c r="D14" s="25">
        <v>1.0</v>
      </c>
      <c r="E14" s="27">
        <v>0.0</v>
      </c>
      <c r="F14" s="27">
        <v>1.0</v>
      </c>
      <c r="G14" s="47">
        <v>0.0</v>
      </c>
      <c r="H14" s="47">
        <v>0.0</v>
      </c>
      <c r="I14" s="47">
        <v>0.0</v>
      </c>
      <c r="J14" s="47">
        <v>1.0</v>
      </c>
      <c r="K14" s="47">
        <v>0.0</v>
      </c>
      <c r="L14" s="46">
        <v>1.0</v>
      </c>
      <c r="M14" s="47">
        <v>0.0</v>
      </c>
      <c r="N14" s="46">
        <v>1.0</v>
      </c>
      <c r="O14" s="46">
        <v>1.0</v>
      </c>
      <c r="P14" s="47">
        <v>0.0</v>
      </c>
      <c r="Q14" s="46">
        <v>1.0</v>
      </c>
      <c r="R14" s="46">
        <v>1.0</v>
      </c>
      <c r="S14" s="48">
        <v>1.0</v>
      </c>
      <c r="T14" s="43">
        <v>472474.0</v>
      </c>
      <c r="U14" s="36">
        <v>6.0</v>
      </c>
      <c r="V14" s="36">
        <v>0.0</v>
      </c>
      <c r="W14" s="38">
        <f>DATE(2025,11,21)</f>
        <v>45982</v>
      </c>
      <c r="X14" s="28">
        <v>362978.0</v>
      </c>
      <c r="Y14" s="36">
        <v>6.5</v>
      </c>
      <c r="AA14" s="38">
        <f>DATE(2025,12,19)</f>
        <v>46010</v>
      </c>
      <c r="AB14" s="28">
        <v>125125.0</v>
      </c>
      <c r="AC14" s="36">
        <v>6.3</v>
      </c>
      <c r="AD14" s="36">
        <v>0.0</v>
      </c>
      <c r="AE14" s="38">
        <f>DATE(2025,12,28)</f>
        <v>46019</v>
      </c>
      <c r="AF14" s="28">
        <v>981246.0</v>
      </c>
      <c r="AG14" s="36">
        <v>6.0</v>
      </c>
      <c r="AJ14" s="28"/>
      <c r="AP14" s="36">
        <v>6.0</v>
      </c>
      <c r="AQ14" s="36">
        <v>6.0</v>
      </c>
      <c r="AR14" s="28">
        <f t="shared" ref="AR14:AR17" si="32">SUM(AP14:AQ14)</f>
        <v>12</v>
      </c>
      <c r="AS14" s="21">
        <f t="shared" ref="AS14:AT14" si="30">SUM(AP14)</f>
        <v>6</v>
      </c>
      <c r="AT14">
        <f t="shared" si="30"/>
        <v>6</v>
      </c>
      <c r="AU14">
        <f t="shared" si="5"/>
        <v>6</v>
      </c>
      <c r="AV14">
        <f t="shared" si="6"/>
        <v>6.5</v>
      </c>
      <c r="AW14">
        <f t="shared" si="7"/>
        <v>6.3</v>
      </c>
      <c r="AX14">
        <f t="shared" si="8"/>
        <v>6</v>
      </c>
      <c r="AY14">
        <f t="shared" ref="AY14:BD14" si="31">SUM(AJ14)</f>
        <v>0</v>
      </c>
      <c r="AZ14">
        <f t="shared" si="31"/>
        <v>0</v>
      </c>
      <c r="BA14">
        <f t="shared" si="31"/>
        <v>0</v>
      </c>
      <c r="BB14">
        <f t="shared" si="31"/>
        <v>0</v>
      </c>
      <c r="BC14">
        <f t="shared" si="31"/>
        <v>0</v>
      </c>
      <c r="BD14">
        <f t="shared" si="31"/>
        <v>0</v>
      </c>
      <c r="BE14">
        <f t="shared" si="10"/>
        <v>12</v>
      </c>
      <c r="BF14" s="4"/>
      <c r="BG14" s="50">
        <f t="shared" si="11"/>
        <v>48.8</v>
      </c>
      <c r="BH14" s="32">
        <v>2.0</v>
      </c>
    </row>
    <row r="15">
      <c r="A15" s="43">
        <v>467669.0</v>
      </c>
      <c r="B15" s="55" t="s">
        <v>44</v>
      </c>
      <c r="C15" s="56"/>
      <c r="D15" s="25">
        <v>1.0</v>
      </c>
      <c r="E15" s="46">
        <v>1.0</v>
      </c>
      <c r="F15" s="46">
        <v>1.0</v>
      </c>
      <c r="G15" s="46">
        <v>1.0</v>
      </c>
      <c r="H15" s="47">
        <v>0.0</v>
      </c>
      <c r="I15" s="46">
        <v>1.0</v>
      </c>
      <c r="J15" s="46">
        <v>1.0</v>
      </c>
      <c r="K15" s="47">
        <v>0.0</v>
      </c>
      <c r="L15" s="46">
        <v>1.0</v>
      </c>
      <c r="M15" s="46">
        <v>1.0</v>
      </c>
      <c r="N15" s="46">
        <v>1.0</v>
      </c>
      <c r="O15" s="46">
        <v>1.0</v>
      </c>
      <c r="P15" s="47">
        <v>0.0</v>
      </c>
      <c r="Q15" s="53"/>
      <c r="R15" s="27"/>
      <c r="S15" s="48">
        <v>1.0</v>
      </c>
      <c r="T15" s="43">
        <v>467669.0</v>
      </c>
      <c r="U15" s="36">
        <v>10.0</v>
      </c>
      <c r="V15" s="36">
        <v>0.0</v>
      </c>
      <c r="W15" s="59">
        <f t="shared" ref="W15:W17" si="35">DATE(2025,9,26)</f>
        <v>45926</v>
      </c>
      <c r="X15" s="28">
        <v>753823.0</v>
      </c>
      <c r="Y15" s="36">
        <v>10.0</v>
      </c>
      <c r="Z15" s="36">
        <v>2.0</v>
      </c>
      <c r="AA15" s="59">
        <f t="shared" ref="AA15:AA17" si="36">DATE(2025,10,20)</f>
        <v>45950</v>
      </c>
      <c r="AB15" s="28">
        <v>513789.0</v>
      </c>
      <c r="AC15" s="36">
        <v>10.0</v>
      </c>
      <c r="AD15" s="36">
        <v>0.0</v>
      </c>
      <c r="AE15" s="38">
        <f t="shared" ref="AE15:AE17" si="37">DATE(2025,11,21)</f>
        <v>45982</v>
      </c>
      <c r="AF15" s="28">
        <v>4245.0</v>
      </c>
      <c r="AG15" s="36">
        <v>10.0</v>
      </c>
      <c r="AI15" s="38">
        <f>DATE(2025,12,19)</f>
        <v>46010</v>
      </c>
      <c r="AJ15" s="28">
        <v>0.5</v>
      </c>
      <c r="AL15" s="36">
        <v>0.5</v>
      </c>
      <c r="AM15" s="36">
        <v>1.0</v>
      </c>
      <c r="AN15" s="36">
        <v>1.2</v>
      </c>
      <c r="AO15" s="36">
        <v>0.01</v>
      </c>
      <c r="AP15" s="36">
        <v>8.0</v>
      </c>
      <c r="AQ15" s="36">
        <v>7.38</v>
      </c>
      <c r="AR15" s="28">
        <f t="shared" si="32"/>
        <v>15.38</v>
      </c>
      <c r="AS15" s="21">
        <f t="shared" ref="AS15:AT15" si="33">SUM(AP15)</f>
        <v>8</v>
      </c>
      <c r="AT15">
        <f t="shared" si="33"/>
        <v>7.38</v>
      </c>
      <c r="AU15">
        <f t="shared" si="5"/>
        <v>10</v>
      </c>
      <c r="AV15">
        <f t="shared" si="6"/>
        <v>12</v>
      </c>
      <c r="AW15">
        <f t="shared" si="7"/>
        <v>10</v>
      </c>
      <c r="AX15">
        <f t="shared" si="8"/>
        <v>10</v>
      </c>
      <c r="AY15">
        <f t="shared" ref="AY15:BD15" si="34">SUM(AJ15)</f>
        <v>0.5</v>
      </c>
      <c r="AZ15">
        <f t="shared" si="34"/>
        <v>0</v>
      </c>
      <c r="BA15">
        <f t="shared" si="34"/>
        <v>0.5</v>
      </c>
      <c r="BB15">
        <f t="shared" si="34"/>
        <v>1</v>
      </c>
      <c r="BC15">
        <f t="shared" si="34"/>
        <v>1.2</v>
      </c>
      <c r="BD15">
        <f t="shared" si="34"/>
        <v>0.01</v>
      </c>
      <c r="BE15">
        <f t="shared" si="10"/>
        <v>15.38</v>
      </c>
      <c r="BF15" s="4"/>
      <c r="BG15" s="50">
        <f t="shared" si="11"/>
        <v>75.97</v>
      </c>
      <c r="BH15" s="32">
        <v>1.0</v>
      </c>
    </row>
    <row r="16">
      <c r="A16" s="43">
        <v>467846.0</v>
      </c>
      <c r="B16" s="55" t="s">
        <v>45</v>
      </c>
      <c r="C16" s="45"/>
      <c r="D16" s="25">
        <v>1.0</v>
      </c>
      <c r="E16" s="46">
        <v>1.0</v>
      </c>
      <c r="F16" s="46">
        <v>1.0</v>
      </c>
      <c r="G16" s="46">
        <v>1.0</v>
      </c>
      <c r="H16" s="46">
        <v>1.0</v>
      </c>
      <c r="I16" s="46">
        <v>1.0</v>
      </c>
      <c r="J16" s="46">
        <v>1.0</v>
      </c>
      <c r="K16" s="47">
        <v>0.0</v>
      </c>
      <c r="L16" s="46">
        <v>1.0</v>
      </c>
      <c r="M16" s="46">
        <v>1.0</v>
      </c>
      <c r="N16" s="47">
        <v>0.0</v>
      </c>
      <c r="O16" s="46">
        <v>1.0</v>
      </c>
      <c r="P16" s="47">
        <v>0.0</v>
      </c>
      <c r="Q16" s="46">
        <v>1.0</v>
      </c>
      <c r="R16" s="27"/>
      <c r="S16" s="48">
        <v>1.0</v>
      </c>
      <c r="T16" s="49">
        <v>467846.0</v>
      </c>
      <c r="U16" s="36">
        <v>10.0</v>
      </c>
      <c r="V16" s="36">
        <v>1.0</v>
      </c>
      <c r="W16" s="59">
        <f t="shared" si="35"/>
        <v>45926</v>
      </c>
      <c r="X16" s="28">
        <v>316835.0</v>
      </c>
      <c r="Y16" s="36">
        <v>10.0</v>
      </c>
      <c r="Z16" s="36">
        <v>2.0</v>
      </c>
      <c r="AA16" s="59">
        <f t="shared" si="36"/>
        <v>45950</v>
      </c>
      <c r="AB16" s="28">
        <v>491779.0</v>
      </c>
      <c r="AC16" s="36">
        <v>9.5</v>
      </c>
      <c r="AD16" s="36">
        <v>0.0</v>
      </c>
      <c r="AE16" s="38">
        <f t="shared" si="37"/>
        <v>45982</v>
      </c>
      <c r="AF16" s="28">
        <v>91781.0</v>
      </c>
      <c r="AG16" s="36">
        <v>9.7</v>
      </c>
      <c r="AI16" s="38">
        <f t="shared" ref="AI16:AI17" si="40">DATE(2025,12,27)</f>
        <v>46018</v>
      </c>
      <c r="AJ16" s="28"/>
      <c r="AM16" s="36">
        <v>0.7</v>
      </c>
      <c r="AO16" s="36">
        <v>0.01</v>
      </c>
      <c r="AP16" s="36">
        <v>8.5</v>
      </c>
      <c r="AQ16" s="24">
        <v>8.38</v>
      </c>
      <c r="AR16" s="28">
        <f t="shared" si="32"/>
        <v>16.88</v>
      </c>
      <c r="AS16" s="21">
        <f t="shared" ref="AS16:AT16" si="38">SUM(AP16)</f>
        <v>8.5</v>
      </c>
      <c r="AT16">
        <f t="shared" si="38"/>
        <v>8.38</v>
      </c>
      <c r="AU16">
        <f t="shared" si="5"/>
        <v>11</v>
      </c>
      <c r="AV16">
        <f t="shared" si="6"/>
        <v>12</v>
      </c>
      <c r="AW16">
        <f t="shared" si="7"/>
        <v>9.5</v>
      </c>
      <c r="AX16">
        <f t="shared" si="8"/>
        <v>9.7</v>
      </c>
      <c r="AY16">
        <f t="shared" ref="AY16:BD16" si="39">SUM(AJ16)</f>
        <v>0</v>
      </c>
      <c r="AZ16">
        <f t="shared" si="39"/>
        <v>0</v>
      </c>
      <c r="BA16">
        <f t="shared" si="39"/>
        <v>0</v>
      </c>
      <c r="BB16">
        <f t="shared" si="39"/>
        <v>0.7</v>
      </c>
      <c r="BC16">
        <f t="shared" si="39"/>
        <v>0</v>
      </c>
      <c r="BD16">
        <f t="shared" si="39"/>
        <v>0.01</v>
      </c>
      <c r="BE16">
        <f t="shared" si="10"/>
        <v>16.88</v>
      </c>
      <c r="BF16" s="4"/>
      <c r="BG16" s="50">
        <f t="shared" si="11"/>
        <v>76.67</v>
      </c>
      <c r="BH16" s="32">
        <v>1.0</v>
      </c>
    </row>
    <row r="17">
      <c r="A17" s="43">
        <v>467922.0</v>
      </c>
      <c r="B17" s="55" t="s">
        <v>46</v>
      </c>
      <c r="C17" s="45"/>
      <c r="D17" s="25">
        <v>1.0</v>
      </c>
      <c r="E17" s="46">
        <v>1.0</v>
      </c>
      <c r="F17" s="46">
        <v>1.0</v>
      </c>
      <c r="G17" s="46">
        <v>1.0</v>
      </c>
      <c r="H17" s="46">
        <v>1.0</v>
      </c>
      <c r="I17" s="46">
        <v>1.0</v>
      </c>
      <c r="J17" s="46">
        <v>1.0</v>
      </c>
      <c r="K17" s="46">
        <v>1.0</v>
      </c>
      <c r="L17" s="46">
        <v>1.0</v>
      </c>
      <c r="M17" s="46">
        <v>1.0</v>
      </c>
      <c r="N17" s="46">
        <v>1.0</v>
      </c>
      <c r="O17" s="46">
        <v>1.0</v>
      </c>
      <c r="P17" s="46">
        <v>1.0</v>
      </c>
      <c r="Q17" s="46">
        <v>1.0</v>
      </c>
      <c r="R17" s="46">
        <v>1.0</v>
      </c>
      <c r="S17" s="48">
        <v>1.0</v>
      </c>
      <c r="T17" s="49">
        <v>467922.0</v>
      </c>
      <c r="U17" s="36">
        <v>10.0</v>
      </c>
      <c r="V17" s="36">
        <v>0.0</v>
      </c>
      <c r="W17" s="59">
        <f t="shared" si="35"/>
        <v>45926</v>
      </c>
      <c r="X17" s="28">
        <v>636363.0</v>
      </c>
      <c r="Y17" s="36">
        <v>8.0</v>
      </c>
      <c r="Z17" s="36">
        <v>2.0</v>
      </c>
      <c r="AA17" s="59">
        <f t="shared" si="36"/>
        <v>45950</v>
      </c>
      <c r="AB17" s="28">
        <v>129442.0</v>
      </c>
      <c r="AC17" s="36">
        <v>8.5</v>
      </c>
      <c r="AD17" s="36">
        <v>0.0</v>
      </c>
      <c r="AE17" s="38">
        <f t="shared" si="37"/>
        <v>45982</v>
      </c>
      <c r="AF17" s="28">
        <v>6913.0</v>
      </c>
      <c r="AG17" s="36">
        <v>7.6</v>
      </c>
      <c r="AI17" s="38">
        <f t="shared" si="40"/>
        <v>46018</v>
      </c>
      <c r="AJ17" s="28">
        <v>1.8</v>
      </c>
      <c r="AK17" s="36">
        <v>0.4</v>
      </c>
      <c r="AL17" s="36">
        <v>0.3</v>
      </c>
      <c r="AM17" s="36">
        <v>1.2</v>
      </c>
      <c r="AN17" s="36">
        <v>0.4</v>
      </c>
      <c r="AO17" s="36">
        <v>0.01</v>
      </c>
      <c r="AP17" s="36">
        <v>7.5</v>
      </c>
      <c r="AQ17" s="24">
        <v>8.25</v>
      </c>
      <c r="AR17" s="28">
        <f t="shared" si="32"/>
        <v>15.75</v>
      </c>
      <c r="AS17" s="21">
        <f t="shared" ref="AS17:AT17" si="41">SUM(AP17)</f>
        <v>7.5</v>
      </c>
      <c r="AT17">
        <f t="shared" si="41"/>
        <v>8.25</v>
      </c>
      <c r="AU17">
        <f t="shared" si="5"/>
        <v>10</v>
      </c>
      <c r="AV17">
        <f t="shared" si="6"/>
        <v>10</v>
      </c>
      <c r="AW17">
        <f t="shared" si="7"/>
        <v>8.5</v>
      </c>
      <c r="AX17">
        <f t="shared" si="8"/>
        <v>7.6</v>
      </c>
      <c r="AY17">
        <f t="shared" ref="AY17:BD17" si="42">SUM(AJ17)</f>
        <v>1.8</v>
      </c>
      <c r="AZ17">
        <f t="shared" si="42"/>
        <v>0.4</v>
      </c>
      <c r="BA17">
        <f t="shared" si="42"/>
        <v>0.3</v>
      </c>
      <c r="BB17">
        <f t="shared" si="42"/>
        <v>1.2</v>
      </c>
      <c r="BC17">
        <f t="shared" si="42"/>
        <v>0.4</v>
      </c>
      <c r="BD17">
        <f t="shared" si="42"/>
        <v>0.01</v>
      </c>
      <c r="BE17">
        <f t="shared" si="10"/>
        <v>15.75</v>
      </c>
      <c r="BF17" s="24">
        <v>3.0</v>
      </c>
      <c r="BG17" s="50">
        <f t="shared" si="11"/>
        <v>74.71</v>
      </c>
      <c r="BH17" s="32">
        <v>1.0</v>
      </c>
    </row>
    <row r="18">
      <c r="A18" s="28">
        <v>409835.0</v>
      </c>
      <c r="B18" s="36" t="s">
        <v>47</v>
      </c>
      <c r="C18" s="56"/>
      <c r="D18" s="57">
        <v>0.0</v>
      </c>
      <c r="E18" s="47">
        <v>0.0</v>
      </c>
      <c r="F18" s="47">
        <v>0.0</v>
      </c>
      <c r="G18" s="47">
        <v>0.0</v>
      </c>
      <c r="H18" s="47">
        <v>0.0</v>
      </c>
      <c r="I18" s="47">
        <v>0.0</v>
      </c>
      <c r="J18" s="47">
        <v>0.0</v>
      </c>
      <c r="K18" s="47">
        <v>0.0</v>
      </c>
      <c r="L18" s="47">
        <v>0.0</v>
      </c>
      <c r="M18" s="47">
        <v>0.0</v>
      </c>
      <c r="N18" s="47">
        <v>0.0</v>
      </c>
      <c r="O18" s="47">
        <v>0.0</v>
      </c>
      <c r="P18" s="47">
        <v>0.0</v>
      </c>
      <c r="Q18" s="64"/>
      <c r="R18" s="56"/>
      <c r="S18" s="52"/>
      <c r="T18" s="28">
        <v>409835.0</v>
      </c>
      <c r="U18" s="36"/>
      <c r="V18" s="36"/>
      <c r="W18" s="37"/>
      <c r="Y18" s="36"/>
      <c r="Z18" s="36"/>
      <c r="AA18" s="37"/>
      <c r="AC18" s="36"/>
      <c r="AD18" s="36"/>
      <c r="AE18" s="37"/>
      <c r="AG18" s="36"/>
      <c r="AH18" s="36"/>
      <c r="AI18" s="36"/>
      <c r="AJ18" s="36"/>
      <c r="AR18" s="21"/>
      <c r="AS18" s="21">
        <f t="shared" ref="AS18:AT18" si="43">SUM(AP18)</f>
        <v>0</v>
      </c>
      <c r="AT18">
        <f t="shared" si="43"/>
        <v>0</v>
      </c>
      <c r="AU18">
        <f t="shared" si="5"/>
        <v>0</v>
      </c>
      <c r="AV18">
        <f t="shared" si="6"/>
        <v>0</v>
      </c>
      <c r="AW18">
        <f t="shared" si="7"/>
        <v>0</v>
      </c>
      <c r="AX18">
        <f t="shared" si="8"/>
        <v>0</v>
      </c>
      <c r="AY18">
        <f t="shared" ref="AY18:BD18" si="44">SUM(AJ18)</f>
        <v>0</v>
      </c>
      <c r="AZ18">
        <f t="shared" si="44"/>
        <v>0</v>
      </c>
      <c r="BA18">
        <f t="shared" si="44"/>
        <v>0</v>
      </c>
      <c r="BB18">
        <f t="shared" si="44"/>
        <v>0</v>
      </c>
      <c r="BC18">
        <f t="shared" si="44"/>
        <v>0</v>
      </c>
      <c r="BD18">
        <f t="shared" si="44"/>
        <v>0</v>
      </c>
      <c r="BE18">
        <f t="shared" si="10"/>
        <v>0</v>
      </c>
      <c r="BF18" s="4"/>
      <c r="BG18" s="50">
        <f t="shared" si="11"/>
        <v>0</v>
      </c>
      <c r="BH18" s="32"/>
    </row>
    <row r="19">
      <c r="A19" s="43">
        <v>468074.0</v>
      </c>
      <c r="B19" s="55" t="s">
        <v>48</v>
      </c>
      <c r="C19" s="52"/>
      <c r="D19" s="25">
        <v>1.0</v>
      </c>
      <c r="E19" s="46">
        <v>1.0</v>
      </c>
      <c r="F19" s="46">
        <v>1.0</v>
      </c>
      <c r="G19" s="46">
        <v>1.0</v>
      </c>
      <c r="H19" s="46">
        <v>1.0</v>
      </c>
      <c r="I19" s="46">
        <v>1.0</v>
      </c>
      <c r="J19" s="47">
        <v>0.0</v>
      </c>
      <c r="K19" s="47">
        <v>0.0</v>
      </c>
      <c r="L19" s="46">
        <v>1.0</v>
      </c>
      <c r="M19" s="47">
        <v>0.0</v>
      </c>
      <c r="N19" s="47">
        <v>0.0</v>
      </c>
      <c r="O19" s="47">
        <v>0.0</v>
      </c>
      <c r="P19" s="46">
        <v>1.0</v>
      </c>
      <c r="Q19" s="53"/>
      <c r="R19" s="27"/>
      <c r="S19" s="48">
        <v>1.0</v>
      </c>
      <c r="T19" s="49">
        <v>468074.0</v>
      </c>
      <c r="U19" s="36">
        <v>10.0</v>
      </c>
      <c r="V19" s="36">
        <v>2.0</v>
      </c>
      <c r="W19" s="38">
        <f>DATE(2025,9,19)</f>
        <v>45919</v>
      </c>
      <c r="X19" s="28">
        <v>293110.0</v>
      </c>
      <c r="Y19" s="36">
        <v>10.0</v>
      </c>
      <c r="Z19" s="36">
        <v>2.0</v>
      </c>
      <c r="AA19" s="59">
        <f>DATE(2025,10,3)</f>
        <v>45933</v>
      </c>
      <c r="AB19" s="28">
        <v>312401.0</v>
      </c>
      <c r="AC19" s="36">
        <v>7.5</v>
      </c>
      <c r="AD19" s="36">
        <v>0.0</v>
      </c>
      <c r="AE19" s="38">
        <f>DATE(2025,11,28)</f>
        <v>45989</v>
      </c>
      <c r="AF19" s="28">
        <v>3358.0</v>
      </c>
      <c r="AG19" s="36">
        <v>10.0</v>
      </c>
      <c r="AI19" s="38">
        <f>DATE(2025,12,27)</f>
        <v>46018</v>
      </c>
      <c r="AJ19" s="21"/>
      <c r="AM19" s="36">
        <v>1.0</v>
      </c>
      <c r="AN19" s="36">
        <v>0.01</v>
      </c>
      <c r="AP19" s="36">
        <v>7.0</v>
      </c>
      <c r="AQ19" s="24">
        <v>7.5</v>
      </c>
      <c r="AR19" s="28">
        <f>SUM(AP19:AQ19)</f>
        <v>14.5</v>
      </c>
      <c r="AS19" s="21">
        <f t="shared" ref="AS19:AT19" si="45">SUM(AP19)</f>
        <v>7</v>
      </c>
      <c r="AT19">
        <f t="shared" si="45"/>
        <v>7.5</v>
      </c>
      <c r="AU19">
        <f t="shared" si="5"/>
        <v>12</v>
      </c>
      <c r="AV19">
        <f t="shared" si="6"/>
        <v>12</v>
      </c>
      <c r="AW19">
        <f t="shared" si="7"/>
        <v>7.5</v>
      </c>
      <c r="AX19">
        <f t="shared" si="8"/>
        <v>10</v>
      </c>
      <c r="AY19">
        <f t="shared" ref="AY19:BD19" si="46">SUM(AJ19)</f>
        <v>0</v>
      </c>
      <c r="AZ19">
        <f t="shared" si="46"/>
        <v>0</v>
      </c>
      <c r="BA19">
        <f t="shared" si="46"/>
        <v>0</v>
      </c>
      <c r="BB19">
        <f t="shared" si="46"/>
        <v>1</v>
      </c>
      <c r="BC19">
        <f t="shared" si="46"/>
        <v>0.01</v>
      </c>
      <c r="BD19">
        <f t="shared" si="46"/>
        <v>0</v>
      </c>
      <c r="BE19">
        <f t="shared" si="10"/>
        <v>14.5</v>
      </c>
      <c r="BF19" s="24">
        <v>3.0</v>
      </c>
      <c r="BG19" s="50">
        <f t="shared" si="11"/>
        <v>74.51</v>
      </c>
      <c r="BH19" s="32">
        <v>1.0</v>
      </c>
    </row>
    <row r="20">
      <c r="A20" s="36"/>
      <c r="B20" s="36"/>
      <c r="C20" s="56"/>
      <c r="D20" s="47"/>
      <c r="E20" s="47"/>
      <c r="F20" s="47"/>
      <c r="G20" s="47"/>
      <c r="H20" s="47"/>
      <c r="I20" s="47"/>
      <c r="J20" s="47"/>
      <c r="K20" s="47"/>
      <c r="L20" s="46"/>
      <c r="M20" s="46"/>
      <c r="N20" s="47"/>
      <c r="O20" s="47"/>
      <c r="P20" s="46"/>
      <c r="Q20" s="46"/>
      <c r="R20" s="56"/>
      <c r="S20" s="46"/>
      <c r="T20" s="36"/>
      <c r="U20" s="36"/>
      <c r="V20" s="36"/>
      <c r="W20" s="37"/>
      <c r="X20" s="36"/>
      <c r="Y20" s="36"/>
      <c r="Z20" s="36"/>
      <c r="AA20" s="37"/>
      <c r="AB20" s="36"/>
      <c r="AC20" s="36"/>
      <c r="AD20" s="36"/>
      <c r="AE20" s="37"/>
      <c r="AG20" s="36"/>
      <c r="AH20" s="36"/>
      <c r="AI20" s="36"/>
      <c r="AJ20" s="36"/>
      <c r="AK20" s="36"/>
      <c r="AN20" s="36"/>
      <c r="AO20" s="36"/>
      <c r="AP20" s="36"/>
      <c r="AQ20" s="36"/>
      <c r="BG20" s="39"/>
      <c r="BH20" s="32"/>
    </row>
    <row r="21">
      <c r="A21" s="36"/>
      <c r="B21" s="36"/>
      <c r="C21" s="56"/>
      <c r="D21" s="47"/>
      <c r="E21" s="47"/>
      <c r="F21" s="47"/>
      <c r="G21" s="47"/>
      <c r="H21" s="47"/>
      <c r="I21" s="47"/>
      <c r="J21" s="47"/>
      <c r="K21" s="47"/>
      <c r="L21" s="46"/>
      <c r="M21" s="46"/>
      <c r="N21" s="47"/>
      <c r="O21" s="47"/>
      <c r="P21" s="46"/>
      <c r="Q21" s="46"/>
      <c r="R21" s="56"/>
      <c r="S21" s="46"/>
      <c r="T21" s="36"/>
      <c r="U21" s="36"/>
      <c r="V21" s="36"/>
      <c r="W21" s="37"/>
      <c r="X21" s="36"/>
      <c r="Y21" s="36"/>
      <c r="Z21" s="36"/>
      <c r="AA21" s="37"/>
      <c r="AB21" s="36"/>
      <c r="AC21" s="36"/>
      <c r="AD21" s="36"/>
      <c r="AE21" s="37"/>
      <c r="AG21" s="36"/>
      <c r="AH21" s="36"/>
      <c r="AI21" s="36"/>
      <c r="AJ21" s="36"/>
      <c r="AK21" s="36"/>
      <c r="AN21" s="36"/>
      <c r="AO21" s="36"/>
      <c r="AP21" s="36">
        <f t="shared" ref="AP21:AQ21" si="47">COUNTA($B$4:$B$19)-COUNTIF(AP4:AP19,"&gt;=6")</f>
        <v>3</v>
      </c>
      <c r="AQ21" s="36">
        <f t="shared" si="47"/>
        <v>4</v>
      </c>
      <c r="BG21" s="39"/>
      <c r="BH21" s="32"/>
    </row>
    <row r="22">
      <c r="A22" s="43">
        <v>408076.0</v>
      </c>
      <c r="B22" s="65" t="s">
        <v>49</v>
      </c>
      <c r="C22" s="45"/>
      <c r="D22" s="25">
        <v>1.0</v>
      </c>
      <c r="E22" s="27">
        <v>0.0</v>
      </c>
      <c r="F22" s="27">
        <v>0.0</v>
      </c>
      <c r="G22" s="47">
        <v>0.0</v>
      </c>
      <c r="H22" s="47">
        <v>0.0</v>
      </c>
      <c r="I22" s="47">
        <v>0.0</v>
      </c>
      <c r="J22" s="47">
        <v>0.0</v>
      </c>
      <c r="K22" s="47">
        <v>0.0</v>
      </c>
      <c r="L22" s="47">
        <v>0.0</v>
      </c>
      <c r="M22" s="47">
        <v>0.0</v>
      </c>
      <c r="N22" s="47">
        <v>0.0</v>
      </c>
      <c r="O22" s="47">
        <v>0.0</v>
      </c>
      <c r="P22" s="47">
        <v>0.0</v>
      </c>
      <c r="Q22" s="66"/>
      <c r="R22" s="47"/>
      <c r="S22" s="47"/>
      <c r="T22" s="43">
        <v>408076.0</v>
      </c>
      <c r="W22" s="24"/>
      <c r="X22" s="28"/>
      <c r="AA22" s="67"/>
      <c r="AB22" s="28"/>
      <c r="AE22" s="24"/>
      <c r="AF22" s="28"/>
      <c r="AI22" s="68"/>
      <c r="AJ22" s="28"/>
      <c r="AQ22" s="24"/>
      <c r="AR22" s="30"/>
      <c r="AS22">
        <f t="shared" ref="AS22:AT22" si="48">SUM(AP22)</f>
        <v>0</v>
      </c>
      <c r="AT22">
        <f t="shared" si="48"/>
        <v>0</v>
      </c>
      <c r="AU22" s="21">
        <f t="shared" ref="AU22:AU24" si="51">SUM(U22,V22)</f>
        <v>0</v>
      </c>
      <c r="AV22">
        <f t="shared" ref="AV22:AV24" si="52">SUM(Y22,Z22)</f>
        <v>0</v>
      </c>
      <c r="AW22">
        <f t="shared" ref="AW22:AW24" si="53">SUM(AC22,AD22)</f>
        <v>0</v>
      </c>
      <c r="AX22">
        <f t="shared" ref="AX22:AX24" si="54">SUM(AG22,AH22)</f>
        <v>0</v>
      </c>
      <c r="AY22">
        <f t="shared" ref="AY22:BD22" si="49">SUM(AJ22)</f>
        <v>0</v>
      </c>
      <c r="AZ22">
        <f t="shared" si="49"/>
        <v>0</v>
      </c>
      <c r="BA22">
        <f t="shared" si="49"/>
        <v>0</v>
      </c>
      <c r="BB22">
        <f t="shared" si="49"/>
        <v>0</v>
      </c>
      <c r="BC22">
        <f t="shared" si="49"/>
        <v>0</v>
      </c>
      <c r="BD22">
        <f t="shared" si="49"/>
        <v>0</v>
      </c>
      <c r="BE22">
        <f t="shared" ref="BE22:BE24" si="56">SUM(AR22)</f>
        <v>0</v>
      </c>
      <c r="BG22" s="31">
        <f t="shared" ref="BG22:BG24" si="57">SUM(AU22:BF22)</f>
        <v>0</v>
      </c>
      <c r="BH22" s="32"/>
    </row>
    <row r="23">
      <c r="A23" s="43">
        <v>413004.0</v>
      </c>
      <c r="B23" s="65" t="s">
        <v>50</v>
      </c>
      <c r="C23" s="45"/>
      <c r="D23" s="25">
        <v>0.0</v>
      </c>
      <c r="E23" s="27">
        <v>0.0</v>
      </c>
      <c r="F23" s="27">
        <v>0.0</v>
      </c>
      <c r="G23" s="47">
        <v>0.0</v>
      </c>
      <c r="H23" s="47">
        <v>0.0</v>
      </c>
      <c r="I23" s="47">
        <v>0.0</v>
      </c>
      <c r="J23" s="47">
        <v>0.0</v>
      </c>
      <c r="K23" s="47">
        <v>0.0</v>
      </c>
      <c r="L23" s="47">
        <v>0.0</v>
      </c>
      <c r="M23" s="47">
        <v>0.0</v>
      </c>
      <c r="N23" s="47">
        <v>0.0</v>
      </c>
      <c r="O23" s="47">
        <v>0.0</v>
      </c>
      <c r="P23" s="47">
        <v>0.0</v>
      </c>
      <c r="Q23" s="53"/>
      <c r="R23" s="27"/>
      <c r="S23" s="27"/>
      <c r="T23" s="43">
        <v>413004.0</v>
      </c>
      <c r="W23" s="24"/>
      <c r="X23" s="28"/>
      <c r="AA23" s="33"/>
      <c r="AB23" s="28"/>
      <c r="AE23" s="33"/>
      <c r="AF23" s="28"/>
      <c r="AI23" s="24"/>
      <c r="AJ23" s="28"/>
      <c r="AQ23" s="24"/>
      <c r="AR23" s="30"/>
      <c r="AS23">
        <f t="shared" ref="AS23:AT23" si="50">SUM(AP23)</f>
        <v>0</v>
      </c>
      <c r="AT23">
        <f t="shared" si="50"/>
        <v>0</v>
      </c>
      <c r="AU23" s="21">
        <f t="shared" si="51"/>
        <v>0</v>
      </c>
      <c r="AV23">
        <f t="shared" si="52"/>
        <v>0</v>
      </c>
      <c r="AW23">
        <f t="shared" si="53"/>
        <v>0</v>
      </c>
      <c r="AX23">
        <f t="shared" si="54"/>
        <v>0</v>
      </c>
      <c r="AY23">
        <f t="shared" ref="AY23:BD23" si="55">SUM(AJ23)</f>
        <v>0</v>
      </c>
      <c r="AZ23">
        <f t="shared" si="55"/>
        <v>0</v>
      </c>
      <c r="BA23">
        <f t="shared" si="55"/>
        <v>0</v>
      </c>
      <c r="BB23">
        <f t="shared" si="55"/>
        <v>0</v>
      </c>
      <c r="BC23">
        <f t="shared" si="55"/>
        <v>0</v>
      </c>
      <c r="BD23">
        <f t="shared" si="55"/>
        <v>0</v>
      </c>
      <c r="BE23">
        <f t="shared" si="56"/>
        <v>0</v>
      </c>
      <c r="BG23" s="31">
        <f t="shared" si="57"/>
        <v>0</v>
      </c>
      <c r="BH23" s="32"/>
    </row>
    <row r="24">
      <c r="A24" s="43">
        <v>467546.0</v>
      </c>
      <c r="B24" s="69" t="s">
        <v>51</v>
      </c>
      <c r="C24" s="56"/>
      <c r="D24" s="25">
        <v>0.0</v>
      </c>
      <c r="E24" s="27">
        <v>0.0</v>
      </c>
      <c r="F24" s="27">
        <v>0.0</v>
      </c>
      <c r="G24" s="47">
        <v>0.0</v>
      </c>
      <c r="H24" s="47">
        <v>0.0</v>
      </c>
      <c r="I24" s="47">
        <v>0.0</v>
      </c>
      <c r="J24" s="47">
        <v>0.0</v>
      </c>
      <c r="K24" s="47">
        <v>0.0</v>
      </c>
      <c r="L24" s="47">
        <v>0.0</v>
      </c>
      <c r="M24" s="47">
        <v>0.0</v>
      </c>
      <c r="N24" s="47">
        <v>0.0</v>
      </c>
      <c r="O24" s="47">
        <v>0.0</v>
      </c>
      <c r="P24" s="47">
        <v>0.0</v>
      </c>
      <c r="Q24" s="53"/>
      <c r="R24" s="27"/>
      <c r="S24" s="27"/>
      <c r="T24" s="43">
        <v>467546.0</v>
      </c>
      <c r="W24" s="70"/>
      <c r="X24" s="28"/>
      <c r="AB24" s="28"/>
      <c r="AF24" s="28"/>
      <c r="AI24" s="71"/>
      <c r="AJ24" s="28"/>
      <c r="AR24" s="30"/>
      <c r="AS24">
        <f t="shared" ref="AS24:AT24" si="58">SUM(AP24)</f>
        <v>0</v>
      </c>
      <c r="AT24">
        <f t="shared" si="58"/>
        <v>0</v>
      </c>
      <c r="AU24" s="21">
        <f t="shared" si="51"/>
        <v>0</v>
      </c>
      <c r="AV24">
        <f t="shared" si="52"/>
        <v>0</v>
      </c>
      <c r="AW24">
        <f t="shared" si="53"/>
        <v>0</v>
      </c>
      <c r="AX24">
        <f t="shared" si="54"/>
        <v>0</v>
      </c>
      <c r="AY24">
        <f t="shared" ref="AY24:BD24" si="59">SUM(AJ24)</f>
        <v>0</v>
      </c>
      <c r="AZ24">
        <f t="shared" si="59"/>
        <v>0</v>
      </c>
      <c r="BA24">
        <f t="shared" si="59"/>
        <v>0</v>
      </c>
      <c r="BB24">
        <f t="shared" si="59"/>
        <v>0</v>
      </c>
      <c r="BC24">
        <f t="shared" si="59"/>
        <v>0</v>
      </c>
      <c r="BD24">
        <f t="shared" si="59"/>
        <v>0</v>
      </c>
      <c r="BE24">
        <f t="shared" si="56"/>
        <v>0</v>
      </c>
      <c r="BG24" s="31">
        <f t="shared" si="57"/>
        <v>0</v>
      </c>
      <c r="BH24" s="32"/>
    </row>
  </sheetData>
  <mergeCells count="45">
    <mergeCell ref="N2:N3"/>
    <mergeCell ref="O2:O3"/>
    <mergeCell ref="P2:P3"/>
    <mergeCell ref="Q2:Q3"/>
    <mergeCell ref="R2:R3"/>
    <mergeCell ref="S2:S3"/>
    <mergeCell ref="T2:T3"/>
    <mergeCell ref="W2:W3"/>
    <mergeCell ref="X2:X3"/>
    <mergeCell ref="AA2:AA3"/>
    <mergeCell ref="AB2:AB3"/>
    <mergeCell ref="AE2:AE3"/>
    <mergeCell ref="AF2:AF3"/>
    <mergeCell ref="AI2:AI3"/>
    <mergeCell ref="A1:B1"/>
    <mergeCell ref="C1:C3"/>
    <mergeCell ref="D1:S1"/>
    <mergeCell ref="T1:W1"/>
    <mergeCell ref="X1:AA1"/>
    <mergeCell ref="AB1:AE1"/>
    <mergeCell ref="AF1:AI1"/>
    <mergeCell ref="AP2:AP3"/>
    <mergeCell ref="AQ2:AQ3"/>
    <mergeCell ref="AS1:BE2"/>
    <mergeCell ref="BG1:BG3"/>
    <mergeCell ref="BH1:BH3"/>
    <mergeCell ref="AJ2:AJ3"/>
    <mergeCell ref="AK2:AK3"/>
    <mergeCell ref="AL2:AL3"/>
    <mergeCell ref="AM2:AM3"/>
    <mergeCell ref="AR2:AR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N2:AN3"/>
    <mergeCell ref="AO2:AO3"/>
  </mergeCells>
  <conditionalFormatting sqref="AS4:BF24">
    <cfRule type="cellIs" dxfId="1" priority="1" operator="lessThan">
      <formula>0.1</formula>
    </cfRule>
  </conditionalFormatting>
  <conditionalFormatting sqref="AS4:BF24">
    <cfRule type="cellIs" dxfId="2" priority="2" operator="greaterThan">
      <formula>0.1</formula>
    </cfRule>
  </conditionalFormatting>
  <conditionalFormatting sqref="BG4:BH24">
    <cfRule type="cellIs" dxfId="3" priority="3" operator="between">
      <formula>60</formula>
      <formula>68</formula>
    </cfRule>
  </conditionalFormatting>
  <conditionalFormatting sqref="BG4:BH24">
    <cfRule type="cellIs" dxfId="4" priority="4" operator="between">
      <formula>68</formula>
      <formula>74</formula>
    </cfRule>
  </conditionalFormatting>
  <conditionalFormatting sqref="BG4:BH24">
    <cfRule type="cellIs" dxfId="2" priority="5" operator="between">
      <formula>74</formula>
      <formula>81</formula>
    </cfRule>
  </conditionalFormatting>
  <conditionalFormatting sqref="BG4:BH24">
    <cfRule type="cellIs" dxfId="5" priority="6" operator="between">
      <formula>81</formula>
      <formula>90</formula>
    </cfRule>
  </conditionalFormatting>
  <conditionalFormatting sqref="BG4:BH24">
    <cfRule type="cellIs" dxfId="6" priority="7" operator="greaterThan">
      <formula>90</formula>
    </cfRule>
  </conditionalFormatting>
  <conditionalFormatting sqref="G4:G14 H4:H9 I4:I19 J4:J10 K4:P24 Q4:S8 Q10:Q14 S10:S22 H11:H24 R11:R14 J12:J13 J15:J24 G16:G19 Q16:Q22 R17:R19 G22:G24 I22:I24 R22">
    <cfRule type="containsText" dxfId="7" priority="8" operator="containsText" text="н">
      <formula>NOT(ISERROR(SEARCH(("н"),(G4))))</formula>
    </cfRule>
  </conditionalFormatting>
  <conditionalFormatting sqref="G4:G14 H4:H9 I4:I19 J4:J10 K4:P24 Q4:S8 Q10:Q14 S10:S22 H11:H24 R11:R14 J12:J13 J15:J24 G16:G19 Q16:Q22 R17:R19 G22:G24 I22:I24 R22">
    <cfRule type="containsText" dxfId="7" priority="9" operator="containsText" text="n">
      <formula>NOT(ISERROR(SEARCH(("n"),(G4))))</formula>
    </cfRule>
  </conditionalFormatting>
  <conditionalFormatting sqref="F4:F14 G4:H4 I4:J8 K4:K11 L4 N4:O4 Q4:S4 G6:H8 L6:L17 M6:M11 N6:N10 O6:O9 P6:P7 Q6:S8 H10:H11 J10:J12 Q10:Q14 S10:S17 I11:I13 O11:P11 R11:R14 G12:G13 N12 H13 M13 P13 N14:N15 O14:O17 I15:J17 M15:M17 F16:H17 Q16:Q17 K17 N17 P17 R17 F19:I19 L19:L21 P19:Q21 R19 S19:S21 M20:M21 F22:F24">
    <cfRule type="containsText" dxfId="7" priority="10" operator="containsText" text="н">
      <formula>NOT(ISERROR(SEARCH(("н"),(F4))))</formula>
    </cfRule>
  </conditionalFormatting>
  <conditionalFormatting sqref="F4:F14 G4:H4 I4:J8 K4:K11 L4 N4:O4 Q4:S4 G6:H8 L6:L17 M6:M11 N6:N10 O6:O9 P6:P7 Q6:S8 H10:H11 J10:J12 Q10:Q14 S10:S17 I11:I13 O11:P11 R11:R14 G12:G13 N12 H13 M13 P13 N14:N15 O14:O17 I15:J17 M15:M17 F16:H17 Q16:Q17 K17 N17 P17 R17 F19:I19 L19:L21 P19:Q21 R19 S19:S21 M20:M21 F22:F24">
    <cfRule type="containsText" dxfId="7" priority="11" operator="containsText" text="n">
      <formula>NOT(ISERROR(SEARCH(("n"),(F4))))</formula>
    </cfRule>
  </conditionalFormatting>
  <conditionalFormatting sqref="U4">
    <cfRule type="cellIs" dxfId="8" priority="12" operator="equal">
      <formula>0</formula>
    </cfRule>
  </conditionalFormatting>
  <conditionalFormatting sqref="Y4:Z4">
    <cfRule type="cellIs" dxfId="8" priority="13" operator="equal">
      <formula>0</formula>
    </cfRule>
  </conditionalFormatting>
  <conditionalFormatting sqref="AC4:AD4">
    <cfRule type="cellIs" dxfId="8" priority="14" operator="equal">
      <formula>0</formula>
    </cfRule>
  </conditionalFormatting>
  <conditionalFormatting sqref="AH4">
    <cfRule type="cellIs" dxfId="8" priority="15" operator="equal">
      <formula>0</formula>
    </cfRule>
  </conditionalFormatting>
  <conditionalFormatting sqref="AJ4:AQ4">
    <cfRule type="cellIs" dxfId="8" priority="16" operator="equal">
      <formula>0</formula>
    </cfRule>
  </conditionalFormatting>
  <conditionalFormatting sqref="D1:S24">
    <cfRule type="containsText" dxfId="7" priority="17" operator="containsText" text="н">
      <formula>NOT(ISERROR(SEARCH(("н"),(D1))))</formula>
    </cfRule>
  </conditionalFormatting>
  <conditionalFormatting sqref="D1:S24">
    <cfRule type="containsText" dxfId="7" priority="18" operator="containsText" text="n">
      <formula>NOT(ISERROR(SEARCH(("n"),(D1))))</formula>
    </cfRule>
  </conditionalFormatting>
  <conditionalFormatting sqref="BG1:BH24">
    <cfRule type="cellIs" dxfId="3" priority="19" operator="between">
      <formula>60</formula>
      <formula>68</formula>
    </cfRule>
  </conditionalFormatting>
  <conditionalFormatting sqref="AR4:AR24">
    <cfRule type="cellIs" dxfId="6" priority="20" operator="between">
      <formula>12</formula>
      <formula>1000</formula>
    </cfRule>
  </conditionalFormatting>
  <conditionalFormatting sqref="BG1:BH24">
    <cfRule type="cellIs" dxfId="4" priority="21" operator="between">
      <formula>68</formula>
      <formula>74</formula>
    </cfRule>
  </conditionalFormatting>
  <conditionalFormatting sqref="BG1:BH24">
    <cfRule type="cellIs" dxfId="2" priority="22" operator="between">
      <formula>74</formula>
      <formula>81</formula>
    </cfRule>
  </conditionalFormatting>
  <conditionalFormatting sqref="BG1:BH24">
    <cfRule type="cellIs" dxfId="5" priority="23" operator="between">
      <formula>81</formula>
      <formula>90</formula>
    </cfRule>
  </conditionalFormatting>
  <conditionalFormatting sqref="BG1:BH24">
    <cfRule type="cellIs" dxfId="6" priority="24" operator="greaterThan">
      <formula>90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23" width="2.88"/>
    <col customWidth="1" min="24" max="24" width="7.5"/>
    <col customWidth="1" min="25" max="25" width="5.0"/>
    <col customWidth="1" min="26" max="26" width="3.88"/>
    <col customWidth="1" min="27" max="27" width="4.63"/>
    <col customWidth="1" min="28" max="28" width="6.5"/>
    <col customWidth="1" min="29" max="29" width="5.13"/>
    <col customWidth="1" min="30" max="30" width="4.0"/>
    <col customWidth="1" min="31" max="31" width="5.0"/>
    <col customWidth="1" min="32" max="32" width="6.38"/>
    <col customWidth="1" min="33" max="33" width="5.13"/>
    <col customWidth="1" min="34" max="34" width="4.0"/>
    <col customWidth="1" min="35" max="35" width="5.0"/>
    <col customWidth="1" min="36" max="36" width="7.63"/>
    <col customWidth="1" min="37" max="37" width="5.0"/>
    <col customWidth="1" min="38" max="38" width="4.5"/>
    <col customWidth="1" min="39" max="39" width="5.0"/>
    <col customWidth="1" min="40" max="40" width="5.63"/>
    <col customWidth="1" min="41" max="41" width="5.13"/>
    <col customWidth="1" min="42" max="42" width="5.38"/>
    <col customWidth="1" min="43" max="43" width="5.0"/>
    <col customWidth="1" min="44" max="45" width="5.38"/>
    <col customWidth="1" min="46" max="47" width="5.88"/>
    <col customWidth="1" min="48" max="48" width="5.63"/>
    <col customWidth="1" min="49" max="49" width="4.5"/>
    <col customWidth="1" min="50" max="50" width="4.38"/>
    <col customWidth="1" min="51" max="55" width="4.25"/>
    <col customWidth="1" min="56" max="56" width="4.63"/>
    <col customWidth="1" min="57" max="57" width="4.5"/>
    <col customWidth="1" min="58" max="59" width="4.63"/>
    <col customWidth="1" min="60" max="60" width="4.5"/>
    <col customWidth="1" min="61" max="62" width="4.38"/>
    <col customWidth="1" min="63" max="63" width="6.63"/>
    <col customWidth="1" min="64" max="64" width="3.25"/>
  </cols>
  <sheetData>
    <row r="1">
      <c r="A1" s="1" t="s">
        <v>52</v>
      </c>
      <c r="C1" s="2" t="s">
        <v>1</v>
      </c>
      <c r="D1" s="3" t="s">
        <v>2</v>
      </c>
      <c r="T1" s="4"/>
      <c r="U1" s="5" t="s">
        <v>53</v>
      </c>
      <c r="W1" s="4"/>
      <c r="X1" s="10" t="s">
        <v>3</v>
      </c>
      <c r="AA1" s="4"/>
      <c r="AB1" s="5" t="s">
        <v>4</v>
      </c>
      <c r="AE1" s="4"/>
      <c r="AF1" s="5" t="s">
        <v>5</v>
      </c>
      <c r="AI1" s="4"/>
      <c r="AJ1" s="5" t="s">
        <v>6</v>
      </c>
      <c r="AM1" s="4"/>
      <c r="AN1" s="3" t="s">
        <v>7</v>
      </c>
      <c r="AO1" s="6" t="s">
        <v>8</v>
      </c>
      <c r="AP1" s="6" t="s">
        <v>9</v>
      </c>
      <c r="AQ1" s="6" t="s">
        <v>10</v>
      </c>
      <c r="AR1" s="6" t="s">
        <v>11</v>
      </c>
      <c r="AS1" s="6" t="s">
        <v>12</v>
      </c>
      <c r="AT1" s="6" t="s">
        <v>13</v>
      </c>
      <c r="AU1" s="7" t="s">
        <v>14</v>
      </c>
      <c r="AV1" s="3" t="s">
        <v>15</v>
      </c>
      <c r="AW1" s="6" t="s">
        <v>16</v>
      </c>
      <c r="BJ1" s="7"/>
      <c r="BK1" s="41" t="s">
        <v>17</v>
      </c>
      <c r="BL1" s="10" t="s">
        <v>18</v>
      </c>
    </row>
    <row r="2">
      <c r="A2" s="11" t="s">
        <v>19</v>
      </c>
      <c r="B2" s="11" t="s">
        <v>20</v>
      </c>
      <c r="C2" s="4"/>
      <c r="D2" s="12">
        <v>45540.0</v>
      </c>
      <c r="E2" s="12">
        <f t="shared" ref="E2:T2" si="1">D2+7</f>
        <v>45547</v>
      </c>
      <c r="F2" s="12">
        <f t="shared" si="1"/>
        <v>45554</v>
      </c>
      <c r="G2" s="12">
        <f t="shared" si="1"/>
        <v>45561</v>
      </c>
      <c r="H2" s="12">
        <f t="shared" si="1"/>
        <v>45568</v>
      </c>
      <c r="I2" s="12">
        <f t="shared" si="1"/>
        <v>45575</v>
      </c>
      <c r="J2" s="12">
        <f t="shared" si="1"/>
        <v>45582</v>
      </c>
      <c r="K2" s="12">
        <f t="shared" si="1"/>
        <v>45589</v>
      </c>
      <c r="L2" s="12">
        <f t="shared" si="1"/>
        <v>45596</v>
      </c>
      <c r="M2" s="12">
        <f t="shared" si="1"/>
        <v>45603</v>
      </c>
      <c r="N2" s="12">
        <f t="shared" si="1"/>
        <v>45610</v>
      </c>
      <c r="O2" s="12">
        <f t="shared" si="1"/>
        <v>45617</v>
      </c>
      <c r="P2" s="12">
        <f t="shared" si="1"/>
        <v>45624</v>
      </c>
      <c r="Q2" s="12">
        <f t="shared" si="1"/>
        <v>45631</v>
      </c>
      <c r="R2" s="12">
        <f t="shared" si="1"/>
        <v>45638</v>
      </c>
      <c r="S2" s="12">
        <f t="shared" si="1"/>
        <v>45645</v>
      </c>
      <c r="T2" s="12">
        <f t="shared" si="1"/>
        <v>45652</v>
      </c>
      <c r="U2" s="72">
        <v>12.02</v>
      </c>
      <c r="V2" s="13">
        <v>20.02</v>
      </c>
      <c r="W2" s="73">
        <v>24.02</v>
      </c>
      <c r="X2" s="15" t="s">
        <v>21</v>
      </c>
      <c r="Y2" s="15" t="s">
        <v>22</v>
      </c>
      <c r="Z2" s="15" t="s">
        <v>23</v>
      </c>
      <c r="AA2" s="16" t="s">
        <v>24</v>
      </c>
      <c r="AB2" s="14" t="s">
        <v>21</v>
      </c>
      <c r="AC2" s="15" t="s">
        <v>22</v>
      </c>
      <c r="AD2" s="15" t="s">
        <v>23</v>
      </c>
      <c r="AE2" s="16" t="s">
        <v>24</v>
      </c>
      <c r="AF2" s="14" t="s">
        <v>21</v>
      </c>
      <c r="AG2" s="15" t="s">
        <v>22</v>
      </c>
      <c r="AH2" s="15" t="s">
        <v>23</v>
      </c>
      <c r="AI2" s="16" t="s">
        <v>24</v>
      </c>
      <c r="AJ2" s="14" t="s">
        <v>21</v>
      </c>
      <c r="AK2" s="15" t="s">
        <v>22</v>
      </c>
      <c r="AL2" s="15" t="s">
        <v>23</v>
      </c>
      <c r="AM2" s="16" t="s">
        <v>24</v>
      </c>
      <c r="AN2" s="17" t="s">
        <v>25</v>
      </c>
      <c r="AO2" s="18" t="s">
        <v>25</v>
      </c>
      <c r="AP2" s="18" t="s">
        <v>25</v>
      </c>
      <c r="AQ2" s="18" t="s">
        <v>25</v>
      </c>
      <c r="AR2" s="18" t="s">
        <v>25</v>
      </c>
      <c r="AS2" s="18" t="s">
        <v>25</v>
      </c>
      <c r="AT2" s="15" t="s">
        <v>26</v>
      </c>
      <c r="AU2" s="19" t="s">
        <v>26</v>
      </c>
      <c r="AV2" s="14" t="s">
        <v>27</v>
      </c>
      <c r="BJ2" s="7"/>
      <c r="BK2" s="4"/>
    </row>
    <row r="3">
      <c r="C3" s="4"/>
      <c r="U3" s="21"/>
      <c r="W3" s="4"/>
      <c r="Y3" s="15" t="s">
        <v>26</v>
      </c>
      <c r="Z3" s="15" t="s">
        <v>28</v>
      </c>
      <c r="AA3" s="4"/>
      <c r="AB3" s="21"/>
      <c r="AC3" s="15" t="s">
        <v>26</v>
      </c>
      <c r="AD3" s="15" t="s">
        <v>28</v>
      </c>
      <c r="AE3" s="4"/>
      <c r="AF3" s="21"/>
      <c r="AG3" s="15" t="s">
        <v>26</v>
      </c>
      <c r="AH3" s="15" t="s">
        <v>28</v>
      </c>
      <c r="AI3" s="4"/>
      <c r="AJ3" s="21"/>
      <c r="AK3" s="15" t="s">
        <v>26</v>
      </c>
      <c r="AL3" s="15" t="s">
        <v>28</v>
      </c>
      <c r="AM3" s="4"/>
      <c r="AN3" s="21"/>
      <c r="AU3" s="4"/>
      <c r="AV3" s="21"/>
      <c r="AW3" s="17" t="s">
        <v>29</v>
      </c>
      <c r="AX3" s="18" t="s">
        <v>30</v>
      </c>
      <c r="AY3" s="18" t="s">
        <v>3</v>
      </c>
      <c r="AZ3" s="18" t="s">
        <v>4</v>
      </c>
      <c r="BA3" s="18" t="s">
        <v>5</v>
      </c>
      <c r="BB3" s="18" t="s">
        <v>6</v>
      </c>
      <c r="BC3" s="18" t="s">
        <v>7</v>
      </c>
      <c r="BD3" s="18" t="s">
        <v>8</v>
      </c>
      <c r="BE3" s="18" t="s">
        <v>9</v>
      </c>
      <c r="BF3" s="18" t="s">
        <v>10</v>
      </c>
      <c r="BG3" s="18" t="s">
        <v>11</v>
      </c>
      <c r="BH3" s="18" t="s">
        <v>12</v>
      </c>
      <c r="BI3" s="18" t="s">
        <v>31</v>
      </c>
      <c r="BJ3" s="23" t="s">
        <v>23</v>
      </c>
      <c r="BK3" s="4"/>
    </row>
    <row r="4">
      <c r="A4" s="36">
        <v>408332.0</v>
      </c>
      <c r="B4" s="36" t="s">
        <v>54</v>
      </c>
      <c r="C4" s="24"/>
      <c r="D4" s="25" t="s">
        <v>55</v>
      </c>
      <c r="E4" s="27" t="s">
        <v>55</v>
      </c>
      <c r="F4" s="27" t="s">
        <v>56</v>
      </c>
      <c r="G4" s="27" t="s">
        <v>56</v>
      </c>
      <c r="H4" s="27" t="s">
        <v>56</v>
      </c>
      <c r="I4" s="27" t="s">
        <v>57</v>
      </c>
      <c r="J4" s="27" t="s">
        <v>57</v>
      </c>
      <c r="K4" s="27" t="s">
        <v>56</v>
      </c>
      <c r="L4" s="27" t="s">
        <v>55</v>
      </c>
      <c r="M4" s="27" t="s">
        <v>55</v>
      </c>
      <c r="N4" s="27" t="s">
        <v>55</v>
      </c>
      <c r="O4" s="27" t="s">
        <v>56</v>
      </c>
      <c r="P4" s="27" t="s">
        <v>55</v>
      </c>
      <c r="Q4" s="27" t="s">
        <v>55</v>
      </c>
      <c r="R4" s="27" t="s">
        <v>56</v>
      </c>
      <c r="S4" s="27" t="s">
        <v>56</v>
      </c>
      <c r="T4" s="27" t="s">
        <v>56</v>
      </c>
      <c r="U4" s="25">
        <v>1.0</v>
      </c>
      <c r="V4" s="27">
        <v>1.0</v>
      </c>
      <c r="W4" s="74">
        <v>1.0</v>
      </c>
      <c r="X4" s="36">
        <v>408332.0</v>
      </c>
      <c r="Y4" s="36">
        <v>8.0</v>
      </c>
      <c r="AA4" s="75" t="s">
        <v>58</v>
      </c>
      <c r="AB4" s="51">
        <v>643848.0</v>
      </c>
      <c r="AC4" s="36">
        <v>8.0</v>
      </c>
      <c r="AE4" s="24">
        <v>14.11</v>
      </c>
      <c r="AF4" s="51">
        <v>643848.0</v>
      </c>
      <c r="AG4" s="36">
        <v>8.0</v>
      </c>
      <c r="AI4" s="24">
        <v>5.12</v>
      </c>
      <c r="AJ4" s="28">
        <v>234891.0</v>
      </c>
      <c r="AK4" s="36">
        <v>6.0</v>
      </c>
      <c r="AL4" s="36">
        <v>0.0</v>
      </c>
      <c r="AM4" s="24">
        <v>24.02</v>
      </c>
      <c r="AN4" s="28"/>
      <c r="AT4" s="36">
        <v>6.0</v>
      </c>
      <c r="AU4" s="24">
        <v>6.0</v>
      </c>
      <c r="AV4" s="28">
        <f>SUM(AT4:AU4)+3</f>
        <v>15</v>
      </c>
      <c r="AW4" s="21">
        <f t="shared" ref="AW4:AX4" si="2">SUM(AT4)</f>
        <v>6</v>
      </c>
      <c r="AX4">
        <f t="shared" si="2"/>
        <v>6</v>
      </c>
      <c r="AY4">
        <f t="shared" ref="AY4:AY18" si="5">SUM(Y4,Z4)</f>
        <v>8</v>
      </c>
      <c r="AZ4">
        <f t="shared" ref="AZ4:AZ18" si="6">SUM(AC4,AD4)</f>
        <v>8</v>
      </c>
      <c r="BA4">
        <f t="shared" ref="BA4:BA18" si="7">SUM(AG4,AH4)</f>
        <v>8</v>
      </c>
      <c r="BB4">
        <f t="shared" ref="BB4:BB18" si="8">SUM(AK4,AL4)</f>
        <v>6</v>
      </c>
      <c r="BC4">
        <f t="shared" ref="BC4:BH4" si="3">SUM(AN4)</f>
        <v>0</v>
      </c>
      <c r="BD4">
        <f t="shared" si="3"/>
        <v>0</v>
      </c>
      <c r="BE4">
        <f t="shared" si="3"/>
        <v>0</v>
      </c>
      <c r="BF4">
        <f t="shared" si="3"/>
        <v>0</v>
      </c>
      <c r="BG4">
        <f t="shared" si="3"/>
        <v>0</v>
      </c>
      <c r="BH4">
        <f t="shared" si="3"/>
        <v>0</v>
      </c>
      <c r="BI4">
        <f t="shared" ref="BI4:BI18" si="10">SUM(AV4)</f>
        <v>15</v>
      </c>
      <c r="BJ4" s="24">
        <v>3.0</v>
      </c>
      <c r="BK4" s="50">
        <f t="shared" ref="BK4:BK18" si="11">SUM(AW4:BJ4)</f>
        <v>60</v>
      </c>
      <c r="BL4" s="32">
        <v>2.0</v>
      </c>
    </row>
    <row r="5">
      <c r="A5" s="36">
        <v>437109.0</v>
      </c>
      <c r="B5" s="36" t="s">
        <v>59</v>
      </c>
      <c r="D5" s="36" t="s">
        <v>56</v>
      </c>
      <c r="E5" s="36" t="s">
        <v>56</v>
      </c>
      <c r="F5" s="36" t="s">
        <v>56</v>
      </c>
      <c r="G5" s="36" t="s">
        <v>56</v>
      </c>
      <c r="H5" s="36" t="s">
        <v>55</v>
      </c>
      <c r="I5" s="36" t="s">
        <v>56</v>
      </c>
      <c r="J5" s="36" t="s">
        <v>56</v>
      </c>
      <c r="K5" s="36" t="s">
        <v>56</v>
      </c>
      <c r="L5" s="36" t="s">
        <v>55</v>
      </c>
      <c r="M5" s="36" t="s">
        <v>56</v>
      </c>
      <c r="N5" s="36" t="s">
        <v>57</v>
      </c>
      <c r="O5" s="27" t="s">
        <v>56</v>
      </c>
      <c r="P5" s="36" t="s">
        <v>56</v>
      </c>
      <c r="Q5" s="36" t="s">
        <v>56</v>
      </c>
      <c r="R5" s="36" t="s">
        <v>56</v>
      </c>
      <c r="S5" s="36" t="s">
        <v>55</v>
      </c>
      <c r="T5" s="27" t="s">
        <v>55</v>
      </c>
      <c r="U5" s="25" t="s">
        <v>56</v>
      </c>
      <c r="V5" s="27" t="s">
        <v>56</v>
      </c>
      <c r="W5" s="54" t="s">
        <v>56</v>
      </c>
      <c r="X5" s="36">
        <v>437109.0</v>
      </c>
      <c r="Y5" s="36">
        <v>7.0</v>
      </c>
      <c r="Z5" s="36"/>
      <c r="AA5" s="36">
        <v>14.11</v>
      </c>
      <c r="AB5" s="36">
        <v>423423.0</v>
      </c>
      <c r="AC5" s="36">
        <v>7.0</v>
      </c>
      <c r="AD5" s="36"/>
      <c r="AE5" s="36">
        <v>26.12</v>
      </c>
      <c r="AF5" s="36">
        <v>274920.0</v>
      </c>
      <c r="AG5" s="36"/>
      <c r="AH5" s="36"/>
      <c r="AI5" s="37"/>
      <c r="AK5" s="36"/>
      <c r="AL5" s="36"/>
      <c r="AM5" s="36"/>
      <c r="AN5" s="36"/>
      <c r="AR5" s="36">
        <v>1.2</v>
      </c>
      <c r="AT5" s="36">
        <v>6.0</v>
      </c>
      <c r="AU5" s="36">
        <v>0.01</v>
      </c>
      <c r="AW5" s="21">
        <f t="shared" ref="AW5:AX5" si="4">SUM(AT5)</f>
        <v>6</v>
      </c>
      <c r="AX5">
        <f t="shared" si="4"/>
        <v>0.01</v>
      </c>
      <c r="AY5">
        <f t="shared" si="5"/>
        <v>7</v>
      </c>
      <c r="AZ5">
        <f t="shared" si="6"/>
        <v>7</v>
      </c>
      <c r="BA5">
        <f t="shared" si="7"/>
        <v>0</v>
      </c>
      <c r="BB5">
        <f t="shared" si="8"/>
        <v>0</v>
      </c>
      <c r="BC5">
        <f t="shared" ref="BC5:BH5" si="9">SUM(AN5)</f>
        <v>0</v>
      </c>
      <c r="BD5">
        <f t="shared" si="9"/>
        <v>0</v>
      </c>
      <c r="BE5">
        <f t="shared" si="9"/>
        <v>0</v>
      </c>
      <c r="BF5">
        <f t="shared" si="9"/>
        <v>0</v>
      </c>
      <c r="BG5">
        <f t="shared" si="9"/>
        <v>1.2</v>
      </c>
      <c r="BH5">
        <f t="shared" si="9"/>
        <v>0</v>
      </c>
      <c r="BI5">
        <f t="shared" si="10"/>
        <v>0</v>
      </c>
      <c r="BJ5" s="4"/>
      <c r="BK5" s="50">
        <f t="shared" si="11"/>
        <v>21.21</v>
      </c>
      <c r="BL5" s="32"/>
    </row>
    <row r="6">
      <c r="A6" s="43">
        <v>465774.0</v>
      </c>
      <c r="B6" s="55" t="s">
        <v>60</v>
      </c>
      <c r="C6" s="24"/>
      <c r="D6" s="25" t="s">
        <v>55</v>
      </c>
      <c r="E6" s="27" t="s">
        <v>55</v>
      </c>
      <c r="F6" s="27" t="s">
        <v>57</v>
      </c>
      <c r="G6" s="27" t="s">
        <v>61</v>
      </c>
      <c r="H6" s="27" t="s">
        <v>57</v>
      </c>
      <c r="I6" s="27" t="s">
        <v>57</v>
      </c>
      <c r="J6" s="27" t="s">
        <v>57</v>
      </c>
      <c r="K6" s="27" t="s">
        <v>56</v>
      </c>
      <c r="L6" s="27" t="s">
        <v>55</v>
      </c>
      <c r="M6" s="27" t="s">
        <v>55</v>
      </c>
      <c r="N6" s="27" t="s">
        <v>57</v>
      </c>
      <c r="O6" s="27" t="s">
        <v>56</v>
      </c>
      <c r="P6" s="27" t="s">
        <v>57</v>
      </c>
      <c r="Q6" s="27" t="s">
        <v>56</v>
      </c>
      <c r="R6" s="27" t="s">
        <v>55</v>
      </c>
      <c r="S6" s="27" t="s">
        <v>55</v>
      </c>
      <c r="T6" s="27" t="s">
        <v>55</v>
      </c>
      <c r="U6" s="76"/>
      <c r="V6" s="77"/>
      <c r="W6" s="78"/>
      <c r="X6" s="43">
        <v>465774.0</v>
      </c>
      <c r="Y6" s="36">
        <v>10.0</v>
      </c>
      <c r="Z6" s="36">
        <v>1.5</v>
      </c>
      <c r="AA6" s="24">
        <v>26.09</v>
      </c>
      <c r="AB6" s="28">
        <v>853932.0</v>
      </c>
      <c r="AC6" s="36">
        <v>9.0</v>
      </c>
      <c r="AD6" s="36">
        <v>1.0</v>
      </c>
      <c r="AE6" s="75" t="s">
        <v>58</v>
      </c>
      <c r="AF6" s="51">
        <v>601650.0</v>
      </c>
      <c r="AG6" s="36">
        <v>10.0</v>
      </c>
      <c r="AI6" s="24">
        <v>14.11</v>
      </c>
      <c r="AJ6" s="51">
        <v>294720.0</v>
      </c>
      <c r="AK6" s="29">
        <v>10.0</v>
      </c>
      <c r="AL6" s="36">
        <v>2.0</v>
      </c>
      <c r="AM6" s="24">
        <v>26.12</v>
      </c>
      <c r="AN6" s="28">
        <v>0.5</v>
      </c>
      <c r="AO6" s="36">
        <v>1.1</v>
      </c>
      <c r="AP6" s="36">
        <v>1.2</v>
      </c>
      <c r="AQ6" s="36">
        <v>0.9</v>
      </c>
      <c r="AT6" s="36">
        <v>8.0</v>
      </c>
      <c r="AU6" s="24">
        <v>6.0</v>
      </c>
      <c r="AV6" s="28">
        <f>SUM(AT6:AU6)</f>
        <v>14</v>
      </c>
      <c r="AW6" s="21">
        <f t="shared" ref="AW6:AX6" si="12">SUM(AT6)</f>
        <v>8</v>
      </c>
      <c r="AX6">
        <f t="shared" si="12"/>
        <v>6</v>
      </c>
      <c r="AY6">
        <f t="shared" si="5"/>
        <v>11.5</v>
      </c>
      <c r="AZ6">
        <f t="shared" si="6"/>
        <v>10</v>
      </c>
      <c r="BA6">
        <f t="shared" si="7"/>
        <v>10</v>
      </c>
      <c r="BB6">
        <f t="shared" si="8"/>
        <v>12</v>
      </c>
      <c r="BC6">
        <f t="shared" ref="BC6:BH6" si="13">SUM(AN6)</f>
        <v>0.5</v>
      </c>
      <c r="BD6">
        <f t="shared" si="13"/>
        <v>1.1</v>
      </c>
      <c r="BE6">
        <f t="shared" si="13"/>
        <v>1.2</v>
      </c>
      <c r="BF6">
        <f t="shared" si="13"/>
        <v>0.9</v>
      </c>
      <c r="BG6">
        <f t="shared" si="13"/>
        <v>0</v>
      </c>
      <c r="BH6">
        <f t="shared" si="13"/>
        <v>0</v>
      </c>
      <c r="BI6">
        <f t="shared" si="10"/>
        <v>14</v>
      </c>
      <c r="BJ6" s="4"/>
      <c r="BK6" s="50">
        <f t="shared" si="11"/>
        <v>75.2</v>
      </c>
      <c r="BL6" s="32">
        <v>1.0</v>
      </c>
    </row>
    <row r="7">
      <c r="A7" s="51">
        <v>408824.0</v>
      </c>
      <c r="B7" s="51" t="s">
        <v>62</v>
      </c>
      <c r="C7" s="4"/>
      <c r="D7" s="25" t="s">
        <v>56</v>
      </c>
      <c r="E7" s="27" t="s">
        <v>56</v>
      </c>
      <c r="F7" s="27" t="s">
        <v>56</v>
      </c>
      <c r="G7" s="27" t="s">
        <v>57</v>
      </c>
      <c r="H7" s="27" t="s">
        <v>57</v>
      </c>
      <c r="I7" s="27" t="s">
        <v>57</v>
      </c>
      <c r="J7" s="27" t="s">
        <v>57</v>
      </c>
      <c r="K7" s="27" t="s">
        <v>57</v>
      </c>
      <c r="L7" s="27" t="s">
        <v>55</v>
      </c>
      <c r="M7" s="27" t="s">
        <v>55</v>
      </c>
      <c r="N7" s="27" t="s">
        <v>55</v>
      </c>
      <c r="O7" s="27" t="s">
        <v>56</v>
      </c>
      <c r="P7" s="27" t="s">
        <v>55</v>
      </c>
      <c r="Q7" s="27" t="s">
        <v>55</v>
      </c>
      <c r="R7" s="27" t="s">
        <v>55</v>
      </c>
      <c r="S7" s="27" t="s">
        <v>55</v>
      </c>
      <c r="T7" s="27" t="s">
        <v>56</v>
      </c>
      <c r="U7" s="25" t="s">
        <v>56</v>
      </c>
      <c r="V7" s="27" t="s">
        <v>56</v>
      </c>
      <c r="W7" s="54" t="s">
        <v>56</v>
      </c>
      <c r="X7" s="51">
        <v>408824.0</v>
      </c>
      <c r="Y7" s="36">
        <v>7.5</v>
      </c>
      <c r="AA7" s="24">
        <v>14.11</v>
      </c>
      <c r="AB7" s="28">
        <v>757493.0</v>
      </c>
      <c r="AC7" s="36">
        <v>6.0</v>
      </c>
      <c r="AE7" s="24">
        <v>12.12</v>
      </c>
      <c r="AF7" s="28">
        <v>361927.0</v>
      </c>
      <c r="AI7" s="38"/>
      <c r="AJ7" s="21"/>
      <c r="AM7" s="38"/>
      <c r="AN7" s="21"/>
      <c r="AT7" s="36">
        <v>0.01</v>
      </c>
      <c r="AU7" s="24">
        <v>0.01</v>
      </c>
      <c r="AV7" s="28"/>
      <c r="AW7" s="21">
        <f t="shared" ref="AW7:AX7" si="14">SUM(AT7)</f>
        <v>0.01</v>
      </c>
      <c r="AX7">
        <f t="shared" si="14"/>
        <v>0.01</v>
      </c>
      <c r="AY7">
        <f t="shared" si="5"/>
        <v>7.5</v>
      </c>
      <c r="AZ7">
        <f t="shared" si="6"/>
        <v>6</v>
      </c>
      <c r="BA7">
        <f t="shared" si="7"/>
        <v>0</v>
      </c>
      <c r="BB7">
        <f t="shared" si="8"/>
        <v>0</v>
      </c>
      <c r="BC7">
        <f t="shared" ref="BC7:BH7" si="15">SUM(AN7)</f>
        <v>0</v>
      </c>
      <c r="BD7">
        <f t="shared" si="15"/>
        <v>0</v>
      </c>
      <c r="BE7">
        <f t="shared" si="15"/>
        <v>0</v>
      </c>
      <c r="BF7">
        <f t="shared" si="15"/>
        <v>0</v>
      </c>
      <c r="BG7">
        <f t="shared" si="15"/>
        <v>0</v>
      </c>
      <c r="BH7">
        <f t="shared" si="15"/>
        <v>0</v>
      </c>
      <c r="BI7">
        <f t="shared" si="10"/>
        <v>0</v>
      </c>
      <c r="BJ7" s="4"/>
      <c r="BK7" s="50">
        <f t="shared" si="11"/>
        <v>13.52</v>
      </c>
      <c r="BL7" s="32"/>
    </row>
    <row r="8">
      <c r="A8" s="43">
        <v>466272.0</v>
      </c>
      <c r="B8" s="55" t="s">
        <v>63</v>
      </c>
      <c r="C8" s="24"/>
      <c r="D8" s="25" t="s">
        <v>55</v>
      </c>
      <c r="E8" s="27" t="s">
        <v>55</v>
      </c>
      <c r="F8" s="27" t="s">
        <v>56</v>
      </c>
      <c r="G8" s="27" t="s">
        <v>57</v>
      </c>
      <c r="H8" s="27" t="s">
        <v>56</v>
      </c>
      <c r="I8" s="27" t="s">
        <v>56</v>
      </c>
      <c r="J8" s="27" t="s">
        <v>56</v>
      </c>
      <c r="K8" s="27" t="s">
        <v>56</v>
      </c>
      <c r="L8" s="27" t="s">
        <v>55</v>
      </c>
      <c r="M8" s="27" t="s">
        <v>55</v>
      </c>
      <c r="N8" s="27" t="s">
        <v>56</v>
      </c>
      <c r="O8" s="27" t="s">
        <v>56</v>
      </c>
      <c r="P8" s="27" t="s">
        <v>57</v>
      </c>
      <c r="Q8" s="27" t="s">
        <v>55</v>
      </c>
      <c r="R8" s="27" t="s">
        <v>56</v>
      </c>
      <c r="S8" s="27" t="s">
        <v>55</v>
      </c>
      <c r="T8" s="27" t="s">
        <v>55</v>
      </c>
      <c r="U8" s="76"/>
      <c r="V8" s="77"/>
      <c r="W8" s="78"/>
      <c r="X8" s="43">
        <v>466272.0</v>
      </c>
      <c r="Y8" s="36">
        <v>8.0</v>
      </c>
      <c r="Z8" s="36">
        <v>1.0</v>
      </c>
      <c r="AA8" s="79" t="s">
        <v>64</v>
      </c>
      <c r="AB8" s="28">
        <v>646555.0</v>
      </c>
      <c r="AC8" s="36">
        <v>8.0</v>
      </c>
      <c r="AD8" s="36">
        <v>0.5</v>
      </c>
      <c r="AE8" s="75" t="s">
        <v>65</v>
      </c>
      <c r="AF8" s="28">
        <v>480284.0</v>
      </c>
      <c r="AG8" s="36">
        <v>8.0</v>
      </c>
      <c r="AI8" s="24">
        <v>6.12</v>
      </c>
      <c r="AJ8" s="28">
        <v>48034.0</v>
      </c>
      <c r="AK8" s="36">
        <v>7.5</v>
      </c>
      <c r="AM8" s="24">
        <v>26.12</v>
      </c>
      <c r="AN8" s="28"/>
      <c r="AO8" s="36">
        <v>0.6</v>
      </c>
      <c r="AP8" s="36">
        <v>0.4</v>
      </c>
      <c r="AQ8" s="36">
        <v>0.3</v>
      </c>
      <c r="AT8" s="36">
        <v>6.0</v>
      </c>
      <c r="AU8" s="24">
        <v>6.0</v>
      </c>
      <c r="AV8" s="28">
        <f t="shared" ref="AV8:AV9" si="18">SUM(AT8:AU8)</f>
        <v>12</v>
      </c>
      <c r="AW8" s="21">
        <f t="shared" ref="AW8:AX8" si="16">SUM(AT8)</f>
        <v>6</v>
      </c>
      <c r="AX8">
        <f t="shared" si="16"/>
        <v>6</v>
      </c>
      <c r="AY8">
        <f t="shared" si="5"/>
        <v>9</v>
      </c>
      <c r="AZ8">
        <f t="shared" si="6"/>
        <v>8.5</v>
      </c>
      <c r="BA8">
        <f t="shared" si="7"/>
        <v>8</v>
      </c>
      <c r="BB8">
        <f t="shared" si="8"/>
        <v>7.5</v>
      </c>
      <c r="BC8">
        <f t="shared" ref="BC8:BH8" si="17">SUM(AN8)</f>
        <v>0</v>
      </c>
      <c r="BD8">
        <f t="shared" si="17"/>
        <v>0.6</v>
      </c>
      <c r="BE8">
        <f t="shared" si="17"/>
        <v>0.4</v>
      </c>
      <c r="BF8">
        <f t="shared" si="17"/>
        <v>0.3</v>
      </c>
      <c r="BG8">
        <f t="shared" si="17"/>
        <v>0</v>
      </c>
      <c r="BH8">
        <f t="shared" si="17"/>
        <v>0</v>
      </c>
      <c r="BI8">
        <f t="shared" si="10"/>
        <v>12</v>
      </c>
      <c r="BJ8" s="24">
        <v>2.0</v>
      </c>
      <c r="BK8" s="50">
        <f t="shared" si="11"/>
        <v>60.3</v>
      </c>
      <c r="BL8" s="32">
        <v>1.0</v>
      </c>
    </row>
    <row r="9">
      <c r="A9" s="43">
        <v>467182.0</v>
      </c>
      <c r="B9" s="55" t="s">
        <v>66</v>
      </c>
      <c r="C9" s="24"/>
      <c r="D9" s="25" t="s">
        <v>55</v>
      </c>
      <c r="E9" s="27" t="s">
        <v>55</v>
      </c>
      <c r="F9" s="27" t="s">
        <v>56</v>
      </c>
      <c r="G9" s="27" t="s">
        <v>56</v>
      </c>
      <c r="H9" s="27" t="s">
        <v>56</v>
      </c>
      <c r="I9" s="27" t="s">
        <v>57</v>
      </c>
      <c r="J9" s="27" t="s">
        <v>56</v>
      </c>
      <c r="K9" s="27" t="s">
        <v>57</v>
      </c>
      <c r="L9" s="27" t="s">
        <v>55</v>
      </c>
      <c r="M9" s="27" t="s">
        <v>57</v>
      </c>
      <c r="N9" s="27" t="s">
        <v>56</v>
      </c>
      <c r="O9" s="27" t="s">
        <v>55</v>
      </c>
      <c r="P9" s="27" t="s">
        <v>57</v>
      </c>
      <c r="Q9" s="27" t="s">
        <v>55</v>
      </c>
      <c r="R9" s="27" t="s">
        <v>56</v>
      </c>
      <c r="S9" s="27" t="s">
        <v>55</v>
      </c>
      <c r="T9" s="27" t="s">
        <v>55</v>
      </c>
      <c r="U9" s="76"/>
      <c r="V9" s="77"/>
      <c r="W9" s="78"/>
      <c r="X9" s="43">
        <v>467182.0</v>
      </c>
      <c r="Y9" s="36">
        <v>8.3</v>
      </c>
      <c r="Z9" s="36">
        <v>0.5</v>
      </c>
      <c r="AA9" s="75" t="s">
        <v>67</v>
      </c>
      <c r="AB9" s="28">
        <v>275130.0</v>
      </c>
      <c r="AC9" s="36">
        <v>8.5</v>
      </c>
      <c r="AD9" s="36">
        <v>0.5</v>
      </c>
      <c r="AE9" s="75" t="s">
        <v>65</v>
      </c>
      <c r="AF9" s="28">
        <v>74836.0</v>
      </c>
      <c r="AG9" s="36">
        <v>9.0</v>
      </c>
      <c r="AI9" s="24">
        <v>5.12</v>
      </c>
      <c r="AJ9" s="28">
        <v>843501.0</v>
      </c>
      <c r="AK9" s="36">
        <v>8.5</v>
      </c>
      <c r="AM9" s="24">
        <v>26.12</v>
      </c>
      <c r="AN9" s="28">
        <v>1.2</v>
      </c>
      <c r="AO9" s="36">
        <v>1.4</v>
      </c>
      <c r="AQ9" s="36">
        <v>1.0</v>
      </c>
      <c r="AR9" s="36">
        <v>2.0</v>
      </c>
      <c r="AS9" s="36">
        <v>0.01</v>
      </c>
      <c r="AT9" s="36">
        <v>7.0</v>
      </c>
      <c r="AU9" s="24">
        <v>6.63</v>
      </c>
      <c r="AV9" s="28">
        <f t="shared" si="18"/>
        <v>13.63</v>
      </c>
      <c r="AW9" s="21">
        <f t="shared" ref="AW9:AX9" si="19">SUM(AT9)</f>
        <v>7</v>
      </c>
      <c r="AX9">
        <f t="shared" si="19"/>
        <v>6.63</v>
      </c>
      <c r="AY9">
        <f t="shared" si="5"/>
        <v>8.8</v>
      </c>
      <c r="AZ9">
        <f t="shared" si="6"/>
        <v>9</v>
      </c>
      <c r="BA9">
        <f t="shared" si="7"/>
        <v>9</v>
      </c>
      <c r="BB9">
        <f t="shared" si="8"/>
        <v>8.5</v>
      </c>
      <c r="BC9">
        <f t="shared" ref="BC9:BH9" si="20">SUM(AN9)</f>
        <v>1.2</v>
      </c>
      <c r="BD9">
        <f t="shared" si="20"/>
        <v>1.4</v>
      </c>
      <c r="BE9">
        <f t="shared" si="20"/>
        <v>0</v>
      </c>
      <c r="BF9">
        <f t="shared" si="20"/>
        <v>1</v>
      </c>
      <c r="BG9">
        <f t="shared" si="20"/>
        <v>2</v>
      </c>
      <c r="BH9">
        <f t="shared" si="20"/>
        <v>0.01</v>
      </c>
      <c r="BI9">
        <f t="shared" si="10"/>
        <v>13.63</v>
      </c>
      <c r="BJ9" s="4"/>
      <c r="BK9" s="50">
        <f t="shared" si="11"/>
        <v>68.17</v>
      </c>
      <c r="BL9" s="32">
        <v>1.0</v>
      </c>
    </row>
    <row r="10">
      <c r="A10" s="43">
        <v>467205.0</v>
      </c>
      <c r="B10" s="55" t="s">
        <v>68</v>
      </c>
      <c r="C10" s="4"/>
      <c r="D10" s="25" t="s">
        <v>55</v>
      </c>
      <c r="E10" s="27" t="s">
        <v>55</v>
      </c>
      <c r="F10" s="27" t="s">
        <v>56</v>
      </c>
      <c r="G10" s="27" t="s">
        <v>61</v>
      </c>
      <c r="H10" s="27" t="s">
        <v>56</v>
      </c>
      <c r="I10" s="27" t="s">
        <v>56</v>
      </c>
      <c r="J10" s="27" t="s">
        <v>56</v>
      </c>
      <c r="K10" s="27" t="s">
        <v>56</v>
      </c>
      <c r="L10" s="27" t="s">
        <v>56</v>
      </c>
      <c r="M10" s="27" t="s">
        <v>56</v>
      </c>
      <c r="N10" s="27" t="s">
        <v>56</v>
      </c>
      <c r="O10" s="27" t="s">
        <v>56</v>
      </c>
      <c r="P10" s="27" t="s">
        <v>56</v>
      </c>
      <c r="Q10" s="27" t="s">
        <v>56</v>
      </c>
      <c r="R10" s="27" t="s">
        <v>56</v>
      </c>
      <c r="S10" s="27" t="s">
        <v>56</v>
      </c>
      <c r="T10" s="27" t="s">
        <v>56</v>
      </c>
      <c r="U10" s="76"/>
      <c r="V10" s="77"/>
      <c r="W10" s="78"/>
      <c r="X10" s="43">
        <v>467205.0</v>
      </c>
      <c r="Y10" s="61">
        <v>10.0</v>
      </c>
      <c r="Z10" s="61">
        <v>1.0</v>
      </c>
      <c r="AA10" s="79" t="s">
        <v>64</v>
      </c>
      <c r="AB10" s="62">
        <v>946966.0</v>
      </c>
      <c r="AC10" s="61">
        <v>7.0</v>
      </c>
      <c r="AD10" s="58"/>
      <c r="AE10" s="80">
        <v>22.1</v>
      </c>
      <c r="AF10" s="60"/>
      <c r="AG10" s="36">
        <v>8.0</v>
      </c>
      <c r="AI10" s="80">
        <v>22.1</v>
      </c>
      <c r="AJ10" s="28"/>
      <c r="AK10" s="36">
        <v>8.0</v>
      </c>
      <c r="AM10" s="80">
        <v>22.1</v>
      </c>
      <c r="AN10" s="28">
        <v>1.0</v>
      </c>
      <c r="AP10" s="36">
        <v>0.2</v>
      </c>
      <c r="AT10" s="36">
        <v>10.0</v>
      </c>
      <c r="AU10" s="24">
        <v>10.0</v>
      </c>
      <c r="AV10" s="28">
        <v>20.0</v>
      </c>
      <c r="AW10" s="21">
        <f t="shared" ref="AW10:AX10" si="21">SUM(AT10)</f>
        <v>10</v>
      </c>
      <c r="AX10">
        <f t="shared" si="21"/>
        <v>10</v>
      </c>
      <c r="AY10">
        <f t="shared" si="5"/>
        <v>11</v>
      </c>
      <c r="AZ10">
        <f t="shared" si="6"/>
        <v>7</v>
      </c>
      <c r="BA10">
        <f t="shared" si="7"/>
        <v>8</v>
      </c>
      <c r="BB10">
        <f t="shared" si="8"/>
        <v>8</v>
      </c>
      <c r="BC10">
        <f t="shared" ref="BC10:BH10" si="22">SUM(AN10)</f>
        <v>1</v>
      </c>
      <c r="BD10">
        <f t="shared" si="22"/>
        <v>0</v>
      </c>
      <c r="BE10">
        <f t="shared" si="22"/>
        <v>0.2</v>
      </c>
      <c r="BF10">
        <f t="shared" si="22"/>
        <v>0</v>
      </c>
      <c r="BG10">
        <f t="shared" si="22"/>
        <v>0</v>
      </c>
      <c r="BH10">
        <f t="shared" si="22"/>
        <v>0</v>
      </c>
      <c r="BI10">
        <f t="shared" si="10"/>
        <v>20</v>
      </c>
      <c r="BJ10" s="4"/>
      <c r="BK10" s="50">
        <f t="shared" si="11"/>
        <v>75.2</v>
      </c>
      <c r="BL10" s="32">
        <v>1.0</v>
      </c>
    </row>
    <row r="11">
      <c r="A11" s="49">
        <v>472395.0</v>
      </c>
      <c r="B11" s="55" t="s">
        <v>69</v>
      </c>
      <c r="C11" s="24"/>
      <c r="D11" s="25" t="s">
        <v>55</v>
      </c>
      <c r="E11" s="27" t="s">
        <v>57</v>
      </c>
      <c r="F11" s="27" t="s">
        <v>57</v>
      </c>
      <c r="G11" s="27" t="s">
        <v>56</v>
      </c>
      <c r="H11" s="27" t="s">
        <v>57</v>
      </c>
      <c r="I11" s="27" t="s">
        <v>61</v>
      </c>
      <c r="J11" s="27" t="s">
        <v>57</v>
      </c>
      <c r="K11" s="27" t="s">
        <v>55</v>
      </c>
      <c r="L11" s="27" t="s">
        <v>55</v>
      </c>
      <c r="M11" s="27" t="s">
        <v>57</v>
      </c>
      <c r="N11" s="27" t="s">
        <v>56</v>
      </c>
      <c r="O11" s="27" t="s">
        <v>55</v>
      </c>
      <c r="P11" s="27" t="s">
        <v>57</v>
      </c>
      <c r="Q11" s="27" t="s">
        <v>55</v>
      </c>
      <c r="R11" s="27" t="s">
        <v>56</v>
      </c>
      <c r="S11" s="27" t="s">
        <v>55</v>
      </c>
      <c r="T11" s="27" t="s">
        <v>55</v>
      </c>
      <c r="U11" s="76"/>
      <c r="V11" s="77"/>
      <c r="W11" s="78"/>
      <c r="X11" s="43">
        <v>472395.0</v>
      </c>
      <c r="Y11" s="36">
        <v>10.0</v>
      </c>
      <c r="Z11" s="36">
        <v>2.0</v>
      </c>
      <c r="AA11" s="24">
        <v>19.09</v>
      </c>
      <c r="AB11" s="51">
        <v>159265.0</v>
      </c>
      <c r="AC11" s="36">
        <v>9.5</v>
      </c>
      <c r="AD11" s="36">
        <v>1.5</v>
      </c>
      <c r="AE11" s="75" t="s">
        <v>58</v>
      </c>
      <c r="AF11" s="51">
        <v>372374.0</v>
      </c>
      <c r="AG11" s="36">
        <v>10.0</v>
      </c>
      <c r="AH11" s="36">
        <v>1.0</v>
      </c>
      <c r="AI11" s="24">
        <v>7.11</v>
      </c>
      <c r="AJ11" s="28">
        <v>235242.0</v>
      </c>
      <c r="AK11" s="36">
        <v>9.0</v>
      </c>
      <c r="AM11" s="24">
        <v>26.12</v>
      </c>
      <c r="AN11" s="28"/>
      <c r="AS11" s="36">
        <v>0.01</v>
      </c>
      <c r="AT11" s="36">
        <v>7.5</v>
      </c>
      <c r="AU11" s="24">
        <v>6.5</v>
      </c>
      <c r="AV11" s="28">
        <f t="shared" ref="AV11:AV12" si="25">SUM(AT11:AU11)</f>
        <v>14</v>
      </c>
      <c r="AW11" s="21">
        <f t="shared" ref="AW11:AX11" si="23">SUM(AT11)</f>
        <v>7.5</v>
      </c>
      <c r="AX11">
        <f t="shared" si="23"/>
        <v>6.5</v>
      </c>
      <c r="AY11">
        <f t="shared" si="5"/>
        <v>12</v>
      </c>
      <c r="AZ11">
        <f t="shared" si="6"/>
        <v>11</v>
      </c>
      <c r="BA11">
        <f t="shared" si="7"/>
        <v>11</v>
      </c>
      <c r="BB11">
        <f t="shared" si="8"/>
        <v>9</v>
      </c>
      <c r="BC11">
        <f t="shared" ref="BC11:BH11" si="24">SUM(AN11)</f>
        <v>0</v>
      </c>
      <c r="BD11">
        <f t="shared" si="24"/>
        <v>0</v>
      </c>
      <c r="BE11">
        <f t="shared" si="24"/>
        <v>0</v>
      </c>
      <c r="BF11">
        <f t="shared" si="24"/>
        <v>0</v>
      </c>
      <c r="BG11">
        <f t="shared" si="24"/>
        <v>0</v>
      </c>
      <c r="BH11">
        <f t="shared" si="24"/>
        <v>0.01</v>
      </c>
      <c r="BI11">
        <f t="shared" si="10"/>
        <v>14</v>
      </c>
      <c r="BJ11" s="24">
        <v>3.0</v>
      </c>
      <c r="BK11" s="50">
        <f t="shared" si="11"/>
        <v>74.01</v>
      </c>
      <c r="BL11" s="32">
        <v>1.0</v>
      </c>
    </row>
    <row r="12">
      <c r="A12" s="43">
        <v>467307.0</v>
      </c>
      <c r="B12" s="55" t="s">
        <v>70</v>
      </c>
      <c r="C12" s="24"/>
      <c r="D12" s="25" t="s">
        <v>55</v>
      </c>
      <c r="E12" s="27" t="s">
        <v>55</v>
      </c>
      <c r="F12" s="27" t="s">
        <v>57</v>
      </c>
      <c r="G12" s="27" t="s">
        <v>61</v>
      </c>
      <c r="H12" s="27" t="s">
        <v>56</v>
      </c>
      <c r="I12" s="27" t="s">
        <v>56</v>
      </c>
      <c r="J12" s="27" t="s">
        <v>55</v>
      </c>
      <c r="K12" s="27" t="s">
        <v>56</v>
      </c>
      <c r="L12" s="27" t="s">
        <v>55</v>
      </c>
      <c r="M12" s="27" t="s">
        <v>56</v>
      </c>
      <c r="N12" s="27" t="s">
        <v>56</v>
      </c>
      <c r="O12" s="27" t="s">
        <v>55</v>
      </c>
      <c r="P12" s="27" t="s">
        <v>56</v>
      </c>
      <c r="Q12" s="27" t="s">
        <v>55</v>
      </c>
      <c r="R12" s="27" t="s">
        <v>56</v>
      </c>
      <c r="S12" s="27" t="s">
        <v>55</v>
      </c>
      <c r="T12" s="27" t="s">
        <v>55</v>
      </c>
      <c r="U12" s="76"/>
      <c r="V12" s="77"/>
      <c r="W12" s="78"/>
      <c r="X12" s="43">
        <v>467307.0</v>
      </c>
      <c r="Y12" s="36">
        <v>9.7</v>
      </c>
      <c r="Z12" s="36">
        <v>1.5</v>
      </c>
      <c r="AA12" s="24">
        <v>26.09</v>
      </c>
      <c r="AB12" s="28">
        <v>55535.0</v>
      </c>
      <c r="AC12" s="36">
        <v>9.0</v>
      </c>
      <c r="AD12" s="36">
        <v>1.0</v>
      </c>
      <c r="AE12" s="75" t="s">
        <v>71</v>
      </c>
      <c r="AF12" s="51">
        <v>284810.0</v>
      </c>
      <c r="AG12" s="36">
        <v>9.0</v>
      </c>
      <c r="AH12" s="36">
        <v>1.0</v>
      </c>
      <c r="AI12" s="24">
        <v>21.11</v>
      </c>
      <c r="AJ12" s="28">
        <v>483928.0</v>
      </c>
      <c r="AK12" s="36">
        <v>10.0</v>
      </c>
      <c r="AL12" s="36">
        <v>2.0</v>
      </c>
      <c r="AM12" s="24">
        <v>26.12</v>
      </c>
      <c r="AN12" s="28">
        <v>1.0</v>
      </c>
      <c r="AO12" s="36">
        <v>1.5</v>
      </c>
      <c r="AQ12" s="36">
        <v>1.4</v>
      </c>
      <c r="AR12" s="36">
        <v>1.2</v>
      </c>
      <c r="AS12" s="36">
        <v>0.4</v>
      </c>
      <c r="AT12" s="36">
        <v>9.9</v>
      </c>
      <c r="AU12" s="24">
        <v>7.5</v>
      </c>
      <c r="AV12" s="28">
        <f t="shared" si="25"/>
        <v>17.4</v>
      </c>
      <c r="AW12" s="21">
        <f t="shared" ref="AW12:AX12" si="26">SUM(AT12)</f>
        <v>9.9</v>
      </c>
      <c r="AX12">
        <f t="shared" si="26"/>
        <v>7.5</v>
      </c>
      <c r="AY12">
        <f t="shared" si="5"/>
        <v>11.2</v>
      </c>
      <c r="AZ12">
        <f t="shared" si="6"/>
        <v>10</v>
      </c>
      <c r="BA12">
        <f t="shared" si="7"/>
        <v>10</v>
      </c>
      <c r="BB12">
        <f t="shared" si="8"/>
        <v>12</v>
      </c>
      <c r="BC12">
        <f t="shared" ref="BC12:BH12" si="27">SUM(AN12)</f>
        <v>1</v>
      </c>
      <c r="BD12">
        <f t="shared" si="27"/>
        <v>1.5</v>
      </c>
      <c r="BE12">
        <f t="shared" si="27"/>
        <v>0</v>
      </c>
      <c r="BF12">
        <f t="shared" si="27"/>
        <v>1.4</v>
      </c>
      <c r="BG12">
        <f t="shared" si="27"/>
        <v>1.2</v>
      </c>
      <c r="BH12">
        <f t="shared" si="27"/>
        <v>0.4</v>
      </c>
      <c r="BI12">
        <f t="shared" si="10"/>
        <v>17.4</v>
      </c>
      <c r="BJ12" s="4"/>
      <c r="BK12" s="50">
        <f t="shared" si="11"/>
        <v>83.5</v>
      </c>
      <c r="BL12" s="32">
        <v>1.0</v>
      </c>
    </row>
    <row r="13">
      <c r="A13" s="36">
        <v>373329.0</v>
      </c>
      <c r="B13" s="36" t="s">
        <v>72</v>
      </c>
      <c r="C13" s="24"/>
      <c r="D13" s="25" t="s">
        <v>55</v>
      </c>
      <c r="E13" s="27" t="s">
        <v>55</v>
      </c>
      <c r="F13" s="27" t="s">
        <v>56</v>
      </c>
      <c r="G13" s="27" t="s">
        <v>56</v>
      </c>
      <c r="H13" s="27" t="s">
        <v>56</v>
      </c>
      <c r="I13" s="27" t="s">
        <v>56</v>
      </c>
      <c r="J13" s="27" t="s">
        <v>56</v>
      </c>
      <c r="K13" s="27" t="s">
        <v>57</v>
      </c>
      <c r="L13" s="27" t="s">
        <v>55</v>
      </c>
      <c r="M13" s="27" t="s">
        <v>56</v>
      </c>
      <c r="N13" s="27" t="s">
        <v>55</v>
      </c>
      <c r="O13" s="27" t="s">
        <v>56</v>
      </c>
      <c r="P13" s="27" t="s">
        <v>56</v>
      </c>
      <c r="Q13" s="27" t="s">
        <v>56</v>
      </c>
      <c r="R13" s="27" t="s">
        <v>56</v>
      </c>
      <c r="S13" s="27" t="s">
        <v>55</v>
      </c>
      <c r="T13" s="27" t="s">
        <v>56</v>
      </c>
      <c r="U13" s="76"/>
      <c r="V13" s="77"/>
      <c r="W13" s="78"/>
      <c r="X13" s="36">
        <v>5135315.0</v>
      </c>
      <c r="Y13" s="36">
        <v>7.0</v>
      </c>
      <c r="AA13" s="24"/>
      <c r="AB13" s="81">
        <v>5135318.0</v>
      </c>
      <c r="AC13" s="58">
        <v>6.0</v>
      </c>
      <c r="AE13" s="24"/>
      <c r="AF13" s="51">
        <v>5169996.0</v>
      </c>
      <c r="AG13" s="36">
        <v>8.0</v>
      </c>
      <c r="AI13" s="24">
        <v>14.11</v>
      </c>
      <c r="AJ13" s="28">
        <v>322131.0</v>
      </c>
      <c r="AK13" s="36">
        <v>9.0</v>
      </c>
      <c r="AM13" s="24">
        <v>19.12</v>
      </c>
      <c r="AN13" s="28"/>
      <c r="AT13" s="36">
        <v>6.0</v>
      </c>
      <c r="AU13" s="24">
        <v>6.0</v>
      </c>
      <c r="AV13" s="28">
        <f>SUM(AT13:AU13)+3</f>
        <v>15</v>
      </c>
      <c r="AW13" s="21">
        <f t="shared" ref="AW13:AX13" si="28">SUM(AT13)</f>
        <v>6</v>
      </c>
      <c r="AX13">
        <f t="shared" si="28"/>
        <v>6</v>
      </c>
      <c r="AY13">
        <f t="shared" si="5"/>
        <v>7</v>
      </c>
      <c r="AZ13">
        <f t="shared" si="6"/>
        <v>6</v>
      </c>
      <c r="BA13">
        <f t="shared" si="7"/>
        <v>8</v>
      </c>
      <c r="BB13">
        <f t="shared" si="8"/>
        <v>9</v>
      </c>
      <c r="BC13">
        <f t="shared" ref="BC13:BH13" si="29">SUM(AN13)</f>
        <v>0</v>
      </c>
      <c r="BD13">
        <f t="shared" si="29"/>
        <v>0</v>
      </c>
      <c r="BE13">
        <f t="shared" si="29"/>
        <v>0</v>
      </c>
      <c r="BF13">
        <f t="shared" si="29"/>
        <v>0</v>
      </c>
      <c r="BG13">
        <f t="shared" si="29"/>
        <v>0</v>
      </c>
      <c r="BH13">
        <f t="shared" si="29"/>
        <v>0</v>
      </c>
      <c r="BI13">
        <f t="shared" si="10"/>
        <v>15</v>
      </c>
      <c r="BJ13" s="24">
        <v>3.0</v>
      </c>
      <c r="BK13" s="50">
        <f t="shared" si="11"/>
        <v>60</v>
      </c>
      <c r="BL13" s="32">
        <v>1.0</v>
      </c>
    </row>
    <row r="14">
      <c r="B14" s="36" t="s">
        <v>73</v>
      </c>
      <c r="C14" s="4"/>
      <c r="D14" s="25" t="s">
        <v>55</v>
      </c>
      <c r="E14" s="27" t="s">
        <v>55</v>
      </c>
      <c r="F14" s="27" t="s">
        <v>56</v>
      </c>
      <c r="G14" s="27" t="s">
        <v>56</v>
      </c>
      <c r="H14" s="27" t="s">
        <v>56</v>
      </c>
      <c r="I14" s="27" t="s">
        <v>56</v>
      </c>
      <c r="J14" s="27" t="s">
        <v>56</v>
      </c>
      <c r="K14" s="27" t="s">
        <v>56</v>
      </c>
      <c r="L14" s="27" t="s">
        <v>56</v>
      </c>
      <c r="M14" s="27" t="s">
        <v>56</v>
      </c>
      <c r="N14" s="27" t="s">
        <v>56</v>
      </c>
      <c r="O14" s="27" t="s">
        <v>56</v>
      </c>
      <c r="P14" s="27" t="s">
        <v>56</v>
      </c>
      <c r="Q14" s="27" t="s">
        <v>56</v>
      </c>
      <c r="R14" s="27" t="s">
        <v>56</v>
      </c>
      <c r="S14" s="27" t="s">
        <v>56</v>
      </c>
      <c r="T14" s="27" t="s">
        <v>56</v>
      </c>
      <c r="U14" s="25" t="s">
        <v>56</v>
      </c>
      <c r="V14" s="27" t="s">
        <v>56</v>
      </c>
      <c r="W14" s="54" t="s">
        <v>56</v>
      </c>
      <c r="X14" s="36">
        <v>777777.0</v>
      </c>
      <c r="AA14" s="38"/>
      <c r="AB14" s="21"/>
      <c r="AE14" s="38"/>
      <c r="AF14" s="21"/>
      <c r="AI14" s="38"/>
      <c r="AJ14" s="21"/>
      <c r="AM14" s="38"/>
      <c r="AN14" s="21"/>
      <c r="AU14" s="4"/>
      <c r="AV14" s="28"/>
      <c r="AW14" s="21">
        <f t="shared" ref="AW14:AX14" si="30">SUM(AT14)</f>
        <v>0</v>
      </c>
      <c r="AX14">
        <f t="shared" si="30"/>
        <v>0</v>
      </c>
      <c r="AY14">
        <f t="shared" si="5"/>
        <v>0</v>
      </c>
      <c r="AZ14">
        <f t="shared" si="6"/>
        <v>0</v>
      </c>
      <c r="BA14">
        <f t="shared" si="7"/>
        <v>0</v>
      </c>
      <c r="BB14">
        <f t="shared" si="8"/>
        <v>0</v>
      </c>
      <c r="BC14">
        <f t="shared" ref="BC14:BH14" si="31">SUM(AN14)</f>
        <v>0</v>
      </c>
      <c r="BD14">
        <f t="shared" si="31"/>
        <v>0</v>
      </c>
      <c r="BE14">
        <f t="shared" si="31"/>
        <v>0</v>
      </c>
      <c r="BF14">
        <f t="shared" si="31"/>
        <v>0</v>
      </c>
      <c r="BG14">
        <f t="shared" si="31"/>
        <v>0</v>
      </c>
      <c r="BH14">
        <f t="shared" si="31"/>
        <v>0</v>
      </c>
      <c r="BI14">
        <f t="shared" si="10"/>
        <v>0</v>
      </c>
      <c r="BJ14" s="4"/>
      <c r="BK14" s="50">
        <f t="shared" si="11"/>
        <v>0</v>
      </c>
      <c r="BL14" s="32"/>
    </row>
    <row r="15">
      <c r="A15" s="49">
        <v>467570.0</v>
      </c>
      <c r="B15" s="55" t="s">
        <v>74</v>
      </c>
      <c r="C15" s="24"/>
      <c r="D15" s="25" t="s">
        <v>55</v>
      </c>
      <c r="E15" s="27" t="s">
        <v>61</v>
      </c>
      <c r="F15" s="27" t="s">
        <v>61</v>
      </c>
      <c r="G15" s="27" t="s">
        <v>57</v>
      </c>
      <c r="H15" s="27" t="s">
        <v>61</v>
      </c>
      <c r="I15" s="27" t="s">
        <v>57</v>
      </c>
      <c r="J15" s="36" t="s">
        <v>56</v>
      </c>
      <c r="K15" s="27" t="s">
        <v>57</v>
      </c>
      <c r="L15" s="27" t="s">
        <v>55</v>
      </c>
      <c r="M15" s="27" t="s">
        <v>55</v>
      </c>
      <c r="N15" s="27" t="s">
        <v>55</v>
      </c>
      <c r="O15" s="27" t="s">
        <v>55</v>
      </c>
      <c r="P15" s="27" t="s">
        <v>57</v>
      </c>
      <c r="Q15" s="27" t="s">
        <v>55</v>
      </c>
      <c r="R15" s="27" t="s">
        <v>56</v>
      </c>
      <c r="S15" s="27" t="s">
        <v>55</v>
      </c>
      <c r="T15" s="27" t="s">
        <v>55</v>
      </c>
      <c r="U15" s="76"/>
      <c r="V15" s="77"/>
      <c r="W15" s="78"/>
      <c r="X15" s="43">
        <v>467570.0</v>
      </c>
      <c r="Y15" s="36">
        <v>10.0</v>
      </c>
      <c r="Z15" s="36">
        <v>2.0</v>
      </c>
      <c r="AA15" s="24">
        <v>19.09</v>
      </c>
      <c r="AB15" s="28">
        <v>52.0</v>
      </c>
      <c r="AC15" s="36">
        <v>10.0</v>
      </c>
      <c r="AD15" s="36">
        <v>2.0</v>
      </c>
      <c r="AE15" s="79" t="s">
        <v>64</v>
      </c>
      <c r="AF15" s="28">
        <v>123321.0</v>
      </c>
      <c r="AG15" s="36">
        <v>8.0</v>
      </c>
      <c r="AH15" s="36">
        <v>2.0</v>
      </c>
      <c r="AI15" s="75" t="s">
        <v>58</v>
      </c>
      <c r="AJ15" s="28">
        <v>371292.0</v>
      </c>
      <c r="AK15" s="36">
        <v>10.0</v>
      </c>
      <c r="AL15" s="36">
        <v>2.0</v>
      </c>
      <c r="AM15" s="24">
        <v>6.12</v>
      </c>
      <c r="AN15" s="28">
        <v>0.1</v>
      </c>
      <c r="AO15" s="36">
        <v>0.6</v>
      </c>
      <c r="AP15" s="36">
        <v>0.4</v>
      </c>
      <c r="AQ15" s="36">
        <v>1.2</v>
      </c>
      <c r="AR15" s="36">
        <v>1.2</v>
      </c>
      <c r="AS15" s="36">
        <v>0.8</v>
      </c>
      <c r="AT15" s="36">
        <v>8.0</v>
      </c>
      <c r="AU15" s="24">
        <v>8.25</v>
      </c>
      <c r="AV15" s="28">
        <f>SUM(AT15:AU15)</f>
        <v>16.25</v>
      </c>
      <c r="AW15" s="21">
        <f t="shared" ref="AW15:AX15" si="32">SUM(AT15)</f>
        <v>8</v>
      </c>
      <c r="AX15">
        <f t="shared" si="32"/>
        <v>8.25</v>
      </c>
      <c r="AY15">
        <f t="shared" si="5"/>
        <v>12</v>
      </c>
      <c r="AZ15">
        <f t="shared" si="6"/>
        <v>12</v>
      </c>
      <c r="BA15">
        <f t="shared" si="7"/>
        <v>10</v>
      </c>
      <c r="BB15">
        <f t="shared" si="8"/>
        <v>12</v>
      </c>
      <c r="BC15">
        <f t="shared" ref="BC15:BH15" si="33">SUM(AN15)</f>
        <v>0.1</v>
      </c>
      <c r="BD15">
        <f t="shared" si="33"/>
        <v>0.6</v>
      </c>
      <c r="BE15">
        <f t="shared" si="33"/>
        <v>0.4</v>
      </c>
      <c r="BF15">
        <f t="shared" si="33"/>
        <v>1.2</v>
      </c>
      <c r="BG15">
        <f t="shared" si="33"/>
        <v>1.2</v>
      </c>
      <c r="BH15">
        <f t="shared" si="33"/>
        <v>0.8</v>
      </c>
      <c r="BI15">
        <f t="shared" si="10"/>
        <v>16.25</v>
      </c>
      <c r="BJ15" s="24">
        <v>1.0</v>
      </c>
      <c r="BK15" s="50">
        <f t="shared" si="11"/>
        <v>83.8</v>
      </c>
      <c r="BL15" s="32">
        <v>1.0</v>
      </c>
    </row>
    <row r="16">
      <c r="A16" s="43">
        <v>467675.0</v>
      </c>
      <c r="B16" s="55" t="s">
        <v>75</v>
      </c>
      <c r="D16" s="25" t="s">
        <v>55</v>
      </c>
      <c r="E16" s="27" t="s">
        <v>55</v>
      </c>
      <c r="F16" s="27" t="s">
        <v>56</v>
      </c>
      <c r="G16" s="27" t="s">
        <v>57</v>
      </c>
      <c r="H16" s="27" t="s">
        <v>56</v>
      </c>
      <c r="I16" s="27" t="s">
        <v>61</v>
      </c>
      <c r="J16" s="27" t="s">
        <v>55</v>
      </c>
      <c r="K16" s="27" t="s">
        <v>55</v>
      </c>
      <c r="L16" s="27" t="s">
        <v>55</v>
      </c>
      <c r="M16" s="27" t="s">
        <v>55</v>
      </c>
      <c r="N16" s="27" t="s">
        <v>56</v>
      </c>
      <c r="O16" s="27" t="s">
        <v>55</v>
      </c>
      <c r="P16" s="27" t="s">
        <v>61</v>
      </c>
      <c r="Q16" s="27" t="s">
        <v>56</v>
      </c>
      <c r="R16" s="27" t="s">
        <v>56</v>
      </c>
      <c r="S16" s="27" t="s">
        <v>55</v>
      </c>
      <c r="T16" s="27" t="s">
        <v>55</v>
      </c>
      <c r="U16" s="76"/>
      <c r="V16" s="77"/>
      <c r="W16" s="78"/>
      <c r="X16" s="43">
        <v>467675.0</v>
      </c>
      <c r="Y16" s="36">
        <v>8.5</v>
      </c>
      <c r="Z16" s="36">
        <v>0.5</v>
      </c>
      <c r="AA16" s="82" t="s">
        <v>67</v>
      </c>
      <c r="AB16" s="28">
        <v>696015.0</v>
      </c>
      <c r="AC16" s="36">
        <v>8.5</v>
      </c>
      <c r="AD16" s="36">
        <v>0.5</v>
      </c>
      <c r="AE16" s="75" t="s">
        <v>65</v>
      </c>
      <c r="AF16" s="28">
        <v>483928.0</v>
      </c>
      <c r="AG16" s="36">
        <v>8.0</v>
      </c>
      <c r="AH16" s="36">
        <v>1.0</v>
      </c>
      <c r="AI16" s="36">
        <v>28.11</v>
      </c>
      <c r="AJ16" s="28">
        <v>437823.0</v>
      </c>
      <c r="AK16" s="36">
        <v>8.5</v>
      </c>
      <c r="AL16" s="36">
        <v>0.0</v>
      </c>
      <c r="AM16" s="36">
        <v>26.12</v>
      </c>
      <c r="AN16" s="28"/>
      <c r="AO16" s="36">
        <v>1.0</v>
      </c>
      <c r="AS16" s="36">
        <v>0.8</v>
      </c>
      <c r="AT16" s="36">
        <v>6.5</v>
      </c>
      <c r="AU16" s="36">
        <v>10.0</v>
      </c>
      <c r="AV16" s="28">
        <f t="shared" ref="AV16:AV17" si="36">SUM(AT16:AU16)+1</f>
        <v>17.5</v>
      </c>
      <c r="AW16" s="21">
        <f t="shared" ref="AW16:AX16" si="34">SUM(AT16)</f>
        <v>6.5</v>
      </c>
      <c r="AX16">
        <f t="shared" si="34"/>
        <v>10</v>
      </c>
      <c r="AY16">
        <f t="shared" si="5"/>
        <v>9</v>
      </c>
      <c r="AZ16">
        <f t="shared" si="6"/>
        <v>9</v>
      </c>
      <c r="BA16">
        <f t="shared" si="7"/>
        <v>9</v>
      </c>
      <c r="BB16">
        <f t="shared" si="8"/>
        <v>8.5</v>
      </c>
      <c r="BC16">
        <f t="shared" ref="BC16:BH16" si="35">SUM(AN16)</f>
        <v>0</v>
      </c>
      <c r="BD16">
        <f t="shared" si="35"/>
        <v>1</v>
      </c>
      <c r="BE16">
        <f t="shared" si="35"/>
        <v>0</v>
      </c>
      <c r="BF16">
        <f t="shared" si="35"/>
        <v>0</v>
      </c>
      <c r="BG16">
        <f t="shared" si="35"/>
        <v>0</v>
      </c>
      <c r="BH16">
        <f t="shared" si="35"/>
        <v>0.8</v>
      </c>
      <c r="BI16">
        <f t="shared" si="10"/>
        <v>17.5</v>
      </c>
      <c r="BJ16" s="24">
        <v>3.0</v>
      </c>
      <c r="BK16" s="50">
        <f t="shared" si="11"/>
        <v>74.3</v>
      </c>
      <c r="BL16" s="32">
        <v>1.0</v>
      </c>
    </row>
    <row r="17">
      <c r="A17" s="43">
        <v>467937.0</v>
      </c>
      <c r="B17" s="55" t="s">
        <v>76</v>
      </c>
      <c r="D17" s="25" t="s">
        <v>55</v>
      </c>
      <c r="E17" s="27" t="s">
        <v>55</v>
      </c>
      <c r="F17" s="27" t="s">
        <v>56</v>
      </c>
      <c r="G17" s="27" t="s">
        <v>56</v>
      </c>
      <c r="H17" s="27" t="s">
        <v>56</v>
      </c>
      <c r="I17" s="27" t="s">
        <v>56</v>
      </c>
      <c r="J17" s="27" t="s">
        <v>57</v>
      </c>
      <c r="K17" s="27" t="s">
        <v>57</v>
      </c>
      <c r="L17" s="27" t="s">
        <v>55</v>
      </c>
      <c r="M17" s="27" t="s">
        <v>55</v>
      </c>
      <c r="N17" s="27" t="s">
        <v>56</v>
      </c>
      <c r="O17" s="27" t="s">
        <v>55</v>
      </c>
      <c r="P17" s="27" t="s">
        <v>56</v>
      </c>
      <c r="Q17" s="27" t="s">
        <v>55</v>
      </c>
      <c r="R17" s="27" t="s">
        <v>55</v>
      </c>
      <c r="S17" s="27" t="s">
        <v>55</v>
      </c>
      <c r="T17" s="27" t="s">
        <v>56</v>
      </c>
      <c r="U17" s="76"/>
      <c r="V17" s="77"/>
      <c r="W17" s="78"/>
      <c r="X17" s="43">
        <v>467937.0</v>
      </c>
      <c r="Y17" s="36">
        <v>10.0</v>
      </c>
      <c r="AA17" s="75" t="s">
        <v>58</v>
      </c>
      <c r="AB17" s="28">
        <v>648362.0</v>
      </c>
      <c r="AC17" s="36">
        <v>8.5</v>
      </c>
      <c r="AD17" s="36"/>
      <c r="AE17" s="36">
        <v>7.11</v>
      </c>
      <c r="AF17" s="28">
        <v>473920.0</v>
      </c>
      <c r="AG17" s="36">
        <v>10.0</v>
      </c>
      <c r="AH17" s="36">
        <v>1.0</v>
      </c>
      <c r="AI17" s="36">
        <v>6.12</v>
      </c>
      <c r="AJ17" s="28">
        <v>291741.0</v>
      </c>
      <c r="AK17" s="36">
        <v>9.0</v>
      </c>
      <c r="AM17" s="36">
        <v>30.12</v>
      </c>
      <c r="AN17" s="28">
        <v>0.4</v>
      </c>
      <c r="AR17" s="36">
        <v>1.6</v>
      </c>
      <c r="AT17" s="36">
        <v>7.5</v>
      </c>
      <c r="AU17" s="36">
        <v>8.25</v>
      </c>
      <c r="AV17" s="28">
        <f t="shared" si="36"/>
        <v>16.75</v>
      </c>
      <c r="AW17" s="21">
        <f t="shared" ref="AW17:AX17" si="37">SUM(AT17)</f>
        <v>7.5</v>
      </c>
      <c r="AX17">
        <f t="shared" si="37"/>
        <v>8.25</v>
      </c>
      <c r="AY17">
        <f t="shared" si="5"/>
        <v>10</v>
      </c>
      <c r="AZ17">
        <f t="shared" si="6"/>
        <v>8.5</v>
      </c>
      <c r="BA17">
        <f t="shared" si="7"/>
        <v>11</v>
      </c>
      <c r="BB17">
        <f t="shared" si="8"/>
        <v>9</v>
      </c>
      <c r="BC17">
        <f t="shared" ref="BC17:BH17" si="38">SUM(AN17)</f>
        <v>0.4</v>
      </c>
      <c r="BD17">
        <f t="shared" si="38"/>
        <v>0</v>
      </c>
      <c r="BE17">
        <f t="shared" si="38"/>
        <v>0</v>
      </c>
      <c r="BF17">
        <f t="shared" si="38"/>
        <v>0</v>
      </c>
      <c r="BG17">
        <f t="shared" si="38"/>
        <v>1.6</v>
      </c>
      <c r="BH17">
        <f t="shared" si="38"/>
        <v>0</v>
      </c>
      <c r="BI17">
        <f t="shared" si="10"/>
        <v>16.75</v>
      </c>
      <c r="BJ17" s="24">
        <v>2.0</v>
      </c>
      <c r="BK17" s="50">
        <f t="shared" si="11"/>
        <v>75</v>
      </c>
      <c r="BL17" s="32">
        <v>1.0</v>
      </c>
    </row>
    <row r="18">
      <c r="A18" s="43">
        <v>468100.0</v>
      </c>
      <c r="B18" s="55" t="s">
        <v>77</v>
      </c>
      <c r="D18" s="25" t="s">
        <v>56</v>
      </c>
      <c r="E18" s="27" t="s">
        <v>56</v>
      </c>
      <c r="F18" s="27" t="s">
        <v>56</v>
      </c>
      <c r="G18" s="27" t="s">
        <v>55</v>
      </c>
      <c r="H18" s="27" t="s">
        <v>56</v>
      </c>
      <c r="I18" s="27" t="s">
        <v>56</v>
      </c>
      <c r="J18" s="27" t="s">
        <v>56</v>
      </c>
      <c r="K18" s="27" t="s">
        <v>56</v>
      </c>
      <c r="L18" s="27" t="s">
        <v>55</v>
      </c>
      <c r="M18" s="27" t="s">
        <v>55</v>
      </c>
      <c r="N18" s="27" t="s">
        <v>55</v>
      </c>
      <c r="O18" s="27" t="s">
        <v>55</v>
      </c>
      <c r="P18" s="27" t="s">
        <v>61</v>
      </c>
      <c r="Q18" s="27" t="s">
        <v>55</v>
      </c>
      <c r="R18" s="27" t="s">
        <v>56</v>
      </c>
      <c r="S18" s="27" t="s">
        <v>55</v>
      </c>
      <c r="T18" s="27" t="s">
        <v>56</v>
      </c>
      <c r="U18" s="83">
        <v>1.0</v>
      </c>
      <c r="V18" s="27">
        <v>1.0</v>
      </c>
      <c r="W18" s="74">
        <v>1.0</v>
      </c>
      <c r="X18" s="43">
        <v>468100.0</v>
      </c>
      <c r="Y18" s="36">
        <v>8.0</v>
      </c>
      <c r="AA18" s="36">
        <v>28.11</v>
      </c>
      <c r="AB18" s="28">
        <v>432432.0</v>
      </c>
      <c r="AC18" s="36">
        <v>8.0</v>
      </c>
      <c r="AE18" s="36">
        <v>5.12</v>
      </c>
      <c r="AF18" s="28">
        <v>104719.0</v>
      </c>
      <c r="AG18" s="36">
        <v>6.0</v>
      </c>
      <c r="AH18" s="36">
        <v>0.0</v>
      </c>
      <c r="AI18" s="36">
        <v>12.02</v>
      </c>
      <c r="AJ18" s="28">
        <v>353.0</v>
      </c>
      <c r="AK18" s="36">
        <v>6.0</v>
      </c>
      <c r="AL18" s="36">
        <v>0.0</v>
      </c>
      <c r="AM18" s="24">
        <v>24.02</v>
      </c>
      <c r="AN18" s="28"/>
      <c r="AR18" s="36">
        <v>1.2</v>
      </c>
      <c r="AS18" s="36">
        <v>0.8</v>
      </c>
      <c r="AT18" s="36">
        <v>6.0</v>
      </c>
      <c r="AU18" s="36">
        <v>6.5</v>
      </c>
      <c r="AV18" s="28">
        <f>SUM(AT18:AU18)+2</f>
        <v>14.5</v>
      </c>
      <c r="AW18" s="21">
        <f t="shared" ref="AW18:AX18" si="39">SUM(AT18)</f>
        <v>6</v>
      </c>
      <c r="AX18">
        <f t="shared" si="39"/>
        <v>6.5</v>
      </c>
      <c r="AY18">
        <f t="shared" si="5"/>
        <v>8</v>
      </c>
      <c r="AZ18">
        <f t="shared" si="6"/>
        <v>8</v>
      </c>
      <c r="BA18">
        <f t="shared" si="7"/>
        <v>6</v>
      </c>
      <c r="BB18">
        <f t="shared" si="8"/>
        <v>6</v>
      </c>
      <c r="BC18">
        <f t="shared" ref="BC18:BH18" si="40">SUM(AN18)</f>
        <v>0</v>
      </c>
      <c r="BD18">
        <f t="shared" si="40"/>
        <v>0</v>
      </c>
      <c r="BE18">
        <f t="shared" si="40"/>
        <v>0</v>
      </c>
      <c r="BF18">
        <f t="shared" si="40"/>
        <v>0</v>
      </c>
      <c r="BG18">
        <f t="shared" si="40"/>
        <v>1.2</v>
      </c>
      <c r="BH18">
        <f t="shared" si="40"/>
        <v>0.8</v>
      </c>
      <c r="BI18">
        <f t="shared" si="10"/>
        <v>14.5</v>
      </c>
      <c r="BJ18" s="24">
        <v>3.0</v>
      </c>
      <c r="BK18" s="50">
        <f t="shared" si="11"/>
        <v>60</v>
      </c>
      <c r="BL18" s="32">
        <v>2.0</v>
      </c>
    </row>
    <row r="19">
      <c r="A19" s="43"/>
      <c r="B19" s="69"/>
      <c r="C19" s="3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5"/>
      <c r="V19" s="27"/>
      <c r="W19" s="54"/>
      <c r="X19" s="43"/>
      <c r="AA19" s="36"/>
      <c r="AB19" s="36"/>
      <c r="AE19" s="84"/>
      <c r="AF19" s="36"/>
      <c r="AI19" s="85"/>
      <c r="AJ19" s="36"/>
      <c r="AM19" s="36"/>
      <c r="AN19" s="36"/>
      <c r="AU19" s="36"/>
      <c r="AV19" s="36"/>
      <c r="BK19" s="39"/>
      <c r="BL19" s="32"/>
    </row>
    <row r="20">
      <c r="A20" s="43"/>
      <c r="B20" s="69"/>
      <c r="C20" s="3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5"/>
      <c r="V20" s="27"/>
      <c r="W20" s="54"/>
      <c r="X20" s="43"/>
      <c r="AA20" s="36"/>
      <c r="AB20" s="36"/>
      <c r="AE20" s="84"/>
      <c r="AF20" s="36"/>
      <c r="AI20" s="85"/>
      <c r="AJ20" s="36"/>
      <c r="AM20" s="36"/>
      <c r="AN20" s="36"/>
      <c r="AT20" s="36">
        <f t="shared" ref="AT20:AU20" si="41">COUNTA($B$4:$B$18)-COUNTIF(AT4:AT18,"&gt;=6")</f>
        <v>2</v>
      </c>
      <c r="AU20" s="36">
        <f t="shared" si="41"/>
        <v>3</v>
      </c>
      <c r="AV20" s="36"/>
      <c r="BK20" s="39"/>
      <c r="BL20" s="32"/>
    </row>
    <row r="21">
      <c r="A21" s="43">
        <v>466852.0</v>
      </c>
      <c r="B21" s="69" t="s">
        <v>78</v>
      </c>
      <c r="C21" s="24"/>
      <c r="D21" s="25" t="s">
        <v>56</v>
      </c>
      <c r="E21" s="27" t="s">
        <v>56</v>
      </c>
      <c r="F21" s="27" t="s">
        <v>56</v>
      </c>
      <c r="G21" s="27" t="s">
        <v>56</v>
      </c>
      <c r="H21" s="27" t="s">
        <v>56</v>
      </c>
      <c r="I21" s="27" t="s">
        <v>56</v>
      </c>
      <c r="J21" s="27" t="s">
        <v>56</v>
      </c>
      <c r="K21" s="27" t="s">
        <v>56</v>
      </c>
      <c r="L21" s="27" t="s">
        <v>56</v>
      </c>
      <c r="M21" s="27" t="s">
        <v>56</v>
      </c>
      <c r="N21" s="27" t="s">
        <v>56</v>
      </c>
      <c r="O21" s="27" t="s">
        <v>56</v>
      </c>
      <c r="P21" s="27" t="s">
        <v>56</v>
      </c>
      <c r="Q21" s="27" t="s">
        <v>56</v>
      </c>
      <c r="R21" s="27" t="s">
        <v>56</v>
      </c>
      <c r="S21" s="27" t="s">
        <v>56</v>
      </c>
      <c r="T21" s="27" t="s">
        <v>56</v>
      </c>
      <c r="U21" s="25"/>
      <c r="V21" s="27"/>
      <c r="W21" s="54"/>
      <c r="X21" s="43">
        <v>466852.0</v>
      </c>
      <c r="AA21" s="33"/>
      <c r="AB21" s="28"/>
      <c r="AE21" s="24"/>
      <c r="AF21" s="28"/>
      <c r="AI21" s="24"/>
      <c r="AJ21" s="28"/>
      <c r="AM21" s="24"/>
      <c r="AN21" s="28"/>
      <c r="AU21" s="24"/>
      <c r="AV21" s="28"/>
      <c r="AW21" s="21">
        <f t="shared" ref="AW21:AX21" si="42">SUM(AT21)</f>
        <v>0</v>
      </c>
      <c r="AX21">
        <f t="shared" si="42"/>
        <v>0</v>
      </c>
      <c r="AY21">
        <f t="shared" ref="AY21:AY23" si="45">SUM(Y21,Z21)</f>
        <v>0</v>
      </c>
      <c r="AZ21">
        <f t="shared" ref="AZ21:AZ23" si="46">SUM(AC21,AD21)</f>
        <v>0</v>
      </c>
      <c r="BA21">
        <f t="shared" ref="BA21:BA23" si="47">SUM(AG21,AH21)</f>
        <v>0</v>
      </c>
      <c r="BB21">
        <f t="shared" ref="BB21:BB23" si="48">SUM(AK21,AL21)</f>
        <v>0</v>
      </c>
      <c r="BC21">
        <f t="shared" ref="BC21:BH21" si="43">SUM(AN21)</f>
        <v>0</v>
      </c>
      <c r="BD21">
        <f t="shared" si="43"/>
        <v>0</v>
      </c>
      <c r="BE21">
        <f t="shared" si="43"/>
        <v>0</v>
      </c>
      <c r="BF21">
        <f t="shared" si="43"/>
        <v>0</v>
      </c>
      <c r="BG21">
        <f t="shared" si="43"/>
        <v>0</v>
      </c>
      <c r="BH21">
        <f t="shared" si="43"/>
        <v>0</v>
      </c>
      <c r="BI21">
        <f t="shared" ref="BI21:BI23" si="50">SUM(AV21)</f>
        <v>0</v>
      </c>
      <c r="BJ21" s="4"/>
      <c r="BK21" s="50">
        <f>SUM(AW21:BJ21)</f>
        <v>0</v>
      </c>
      <c r="BL21" s="32"/>
    </row>
    <row r="22">
      <c r="A22" s="43">
        <v>466520.0</v>
      </c>
      <c r="B22" s="69" t="s">
        <v>79</v>
      </c>
      <c r="C22" s="24"/>
      <c r="D22" s="25" t="s">
        <v>56</v>
      </c>
      <c r="E22" s="27" t="s">
        <v>56</v>
      </c>
      <c r="F22" s="27" t="s">
        <v>56</v>
      </c>
      <c r="G22" s="27" t="s">
        <v>56</v>
      </c>
      <c r="H22" s="27" t="s">
        <v>56</v>
      </c>
      <c r="I22" s="27" t="s">
        <v>56</v>
      </c>
      <c r="J22" s="27" t="s">
        <v>56</v>
      </c>
      <c r="K22" s="27" t="s">
        <v>56</v>
      </c>
      <c r="L22" s="27" t="s">
        <v>56</v>
      </c>
      <c r="M22" s="27" t="s">
        <v>56</v>
      </c>
      <c r="N22" s="27" t="s">
        <v>56</v>
      </c>
      <c r="O22" s="27" t="s">
        <v>56</v>
      </c>
      <c r="P22" s="27" t="s">
        <v>56</v>
      </c>
      <c r="Q22" s="27" t="s">
        <v>56</v>
      </c>
      <c r="R22" s="27" t="s">
        <v>56</v>
      </c>
      <c r="S22" s="27" t="s">
        <v>56</v>
      </c>
      <c r="T22" s="27" t="s">
        <v>56</v>
      </c>
      <c r="U22" s="25"/>
      <c r="V22" s="27"/>
      <c r="W22" s="54"/>
      <c r="X22" s="43">
        <v>466520.0</v>
      </c>
      <c r="AA22" s="38"/>
      <c r="AB22" s="21"/>
      <c r="AE22" s="38"/>
      <c r="AF22" s="21"/>
      <c r="AI22" s="38"/>
      <c r="AJ22" s="21"/>
      <c r="AM22" s="38"/>
      <c r="AN22" s="28">
        <v>0.2</v>
      </c>
      <c r="AU22" s="4"/>
      <c r="AV22" s="30"/>
      <c r="AW22">
        <f t="shared" ref="AW22:AX22" si="44">SUM(AT22)</f>
        <v>0</v>
      </c>
      <c r="AX22">
        <f t="shared" si="44"/>
        <v>0</v>
      </c>
      <c r="AY22" s="21">
        <f t="shared" si="45"/>
        <v>0</v>
      </c>
      <c r="AZ22">
        <f t="shared" si="46"/>
        <v>0</v>
      </c>
      <c r="BA22">
        <f t="shared" si="47"/>
        <v>0</v>
      </c>
      <c r="BB22">
        <f t="shared" si="48"/>
        <v>0</v>
      </c>
      <c r="BC22">
        <f t="shared" ref="BC22:BH22" si="49">SUM(AN22)</f>
        <v>0.2</v>
      </c>
      <c r="BD22">
        <f t="shared" si="49"/>
        <v>0</v>
      </c>
      <c r="BE22">
        <f t="shared" si="49"/>
        <v>0</v>
      </c>
      <c r="BF22">
        <f t="shared" si="49"/>
        <v>0</v>
      </c>
      <c r="BG22">
        <f t="shared" si="49"/>
        <v>0</v>
      </c>
      <c r="BH22">
        <f t="shared" si="49"/>
        <v>0</v>
      </c>
      <c r="BI22">
        <f t="shared" si="50"/>
        <v>0</v>
      </c>
      <c r="BK22" s="31">
        <f t="shared" ref="BK22:BK23" si="53">SUM(AY22:BJ22)</f>
        <v>0.2</v>
      </c>
      <c r="BL22" s="32"/>
    </row>
    <row r="23">
      <c r="A23" s="43">
        <v>335003.0</v>
      </c>
      <c r="B23" s="69" t="s">
        <v>80</v>
      </c>
      <c r="C23" s="24"/>
      <c r="D23" s="25" t="s">
        <v>55</v>
      </c>
      <c r="E23" s="27" t="s">
        <v>56</v>
      </c>
      <c r="F23" s="27" t="s">
        <v>55</v>
      </c>
      <c r="G23" s="27" t="s">
        <v>56</v>
      </c>
      <c r="H23" s="27" t="s">
        <v>56</v>
      </c>
      <c r="I23" s="27" t="s">
        <v>56</v>
      </c>
      <c r="J23" s="27" t="s">
        <v>56</v>
      </c>
      <c r="K23" s="27" t="s">
        <v>56</v>
      </c>
      <c r="L23" s="27" t="s">
        <v>56</v>
      </c>
      <c r="M23" s="27" t="s">
        <v>56</v>
      </c>
      <c r="N23" s="27" t="s">
        <v>56</v>
      </c>
      <c r="O23" s="27" t="s">
        <v>56</v>
      </c>
      <c r="P23" s="27" t="s">
        <v>56</v>
      </c>
      <c r="Q23" s="27" t="s">
        <v>56</v>
      </c>
      <c r="R23" s="27" t="s">
        <v>56</v>
      </c>
      <c r="S23" s="27" t="s">
        <v>56</v>
      </c>
      <c r="T23" s="27" t="s">
        <v>56</v>
      </c>
      <c r="U23" s="25"/>
      <c r="V23" s="27"/>
      <c r="W23" s="54"/>
      <c r="X23" s="43">
        <v>335003.0</v>
      </c>
      <c r="AA23" s="24"/>
      <c r="AB23" s="28"/>
      <c r="AE23" s="68"/>
      <c r="AF23" s="28"/>
      <c r="AI23" s="33"/>
      <c r="AJ23" s="28"/>
      <c r="AM23" s="24"/>
      <c r="AN23" s="28"/>
      <c r="AU23" s="24"/>
      <c r="AV23" s="30"/>
      <c r="AW23">
        <f t="shared" ref="AW23:AX23" si="51">SUM(AT23)</f>
        <v>0</v>
      </c>
      <c r="AX23">
        <f t="shared" si="51"/>
        <v>0</v>
      </c>
      <c r="AY23" s="21">
        <f t="shared" si="45"/>
        <v>0</v>
      </c>
      <c r="AZ23">
        <f t="shared" si="46"/>
        <v>0</v>
      </c>
      <c r="BA23">
        <f t="shared" si="47"/>
        <v>0</v>
      </c>
      <c r="BB23">
        <f t="shared" si="48"/>
        <v>0</v>
      </c>
      <c r="BC23">
        <f t="shared" ref="BC23:BH23" si="52">SUM(AN23)</f>
        <v>0</v>
      </c>
      <c r="BD23">
        <f t="shared" si="52"/>
        <v>0</v>
      </c>
      <c r="BE23">
        <f t="shared" si="52"/>
        <v>0</v>
      </c>
      <c r="BF23">
        <f t="shared" si="52"/>
        <v>0</v>
      </c>
      <c r="BG23">
        <f t="shared" si="52"/>
        <v>0</v>
      </c>
      <c r="BH23">
        <f t="shared" si="52"/>
        <v>0</v>
      </c>
      <c r="BI23">
        <f t="shared" si="50"/>
        <v>0</v>
      </c>
      <c r="BK23" s="31">
        <f t="shared" si="53"/>
        <v>0</v>
      </c>
      <c r="BL23" s="32"/>
    </row>
  </sheetData>
  <mergeCells count="50">
    <mergeCell ref="AF2:AF3"/>
    <mergeCell ref="AI2:AI3"/>
    <mergeCell ref="A1:B1"/>
    <mergeCell ref="C1:C3"/>
    <mergeCell ref="D1:T1"/>
    <mergeCell ref="U1:W1"/>
    <mergeCell ref="X1:AA1"/>
    <mergeCell ref="AB1:AE1"/>
    <mergeCell ref="AF1:AI1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AA2:AA3"/>
    <mergeCell ref="AB2:AB3"/>
    <mergeCell ref="AE2:AE3"/>
    <mergeCell ref="AQ2:AQ3"/>
    <mergeCell ref="AR2:AR3"/>
    <mergeCell ref="AS2:AS3"/>
    <mergeCell ref="AT2:AT3"/>
    <mergeCell ref="AU2:AU3"/>
    <mergeCell ref="AV2:AV3"/>
    <mergeCell ref="AJ1:AM1"/>
    <mergeCell ref="AW1:BI2"/>
    <mergeCell ref="BK1:BK3"/>
    <mergeCell ref="BL1:BL3"/>
    <mergeCell ref="AJ2:AJ3"/>
    <mergeCell ref="AM2:AM3"/>
    <mergeCell ref="AN2:AN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O2:AO3"/>
    <mergeCell ref="AP2:AP3"/>
  </mergeCells>
  <conditionalFormatting sqref="AA6 AA12">
    <cfRule type="timePeriod" dxfId="0" priority="1" timePeriod="last7Days"/>
  </conditionalFormatting>
  <conditionalFormatting sqref="AA6 AA12">
    <cfRule type="timePeriod" dxfId="0" priority="2" timePeriod="last7Days"/>
  </conditionalFormatting>
  <conditionalFormatting sqref="AA6 AA12">
    <cfRule type="timePeriod" dxfId="0" priority="3" timePeriod="last7Days"/>
  </conditionalFormatting>
  <conditionalFormatting sqref="AW4:BJ23">
    <cfRule type="cellIs" dxfId="1" priority="4" operator="lessThan">
      <formula>0.1</formula>
    </cfRule>
  </conditionalFormatting>
  <conditionalFormatting sqref="AW4:BJ23">
    <cfRule type="cellIs" dxfId="2" priority="5" operator="greaterThan">
      <formula>0.1</formula>
    </cfRule>
  </conditionalFormatting>
  <conditionalFormatting sqref="BK4:BL23">
    <cfRule type="cellIs" dxfId="3" priority="6" operator="between">
      <formula>60</formula>
      <formula>68</formula>
    </cfRule>
  </conditionalFormatting>
  <conditionalFormatting sqref="BK4:BL23">
    <cfRule type="cellIs" dxfId="4" priority="7" operator="between">
      <formula>68</formula>
      <formula>74</formula>
    </cfRule>
  </conditionalFormatting>
  <conditionalFormatting sqref="BK4:BL23">
    <cfRule type="cellIs" dxfId="2" priority="8" operator="between">
      <formula>74</formula>
      <formula>81</formula>
    </cfRule>
  </conditionalFormatting>
  <conditionalFormatting sqref="BK4:BL23">
    <cfRule type="cellIs" dxfId="5" priority="9" operator="between">
      <formula>81</formula>
      <formula>90</formula>
    </cfRule>
  </conditionalFormatting>
  <conditionalFormatting sqref="BK4:BL23">
    <cfRule type="cellIs" dxfId="6" priority="10" operator="greaterThan">
      <formula>90</formula>
    </cfRule>
  </conditionalFormatting>
  <conditionalFormatting sqref="G4 G6:G23">
    <cfRule type="containsText" dxfId="7" priority="11" operator="containsText" text="н">
      <formula>NOT(ISERROR(SEARCH(("н"),(G4))))</formula>
    </cfRule>
  </conditionalFormatting>
  <conditionalFormatting sqref="G4 G6:G23">
    <cfRule type="containsText" dxfId="7" priority="12" operator="containsText" text="n">
      <formula>NOT(ISERROR(SEARCH(("n"),(G4))))</formula>
    </cfRule>
  </conditionalFormatting>
  <conditionalFormatting sqref="F4 F6:F23">
    <cfRule type="containsText" dxfId="7" priority="13" operator="containsText" text="н">
      <formula>NOT(ISERROR(SEARCH(("н"),(F4))))</formula>
    </cfRule>
  </conditionalFormatting>
  <conditionalFormatting sqref="F4 F6:F23">
    <cfRule type="containsText" dxfId="7" priority="14" operator="containsText" text="n">
      <formula>NOT(ISERROR(SEARCH(("n"),(F4))))</formula>
    </cfRule>
  </conditionalFormatting>
  <conditionalFormatting sqref="Y6:Z6">
    <cfRule type="cellIs" dxfId="8" priority="15" operator="equal">
      <formula>0</formula>
    </cfRule>
  </conditionalFormatting>
  <conditionalFormatting sqref="AC6:AD6">
    <cfRule type="cellIs" dxfId="8" priority="16" operator="equal">
      <formula>0</formula>
    </cfRule>
  </conditionalFormatting>
  <conditionalFormatting sqref="AG6:AH6">
    <cfRule type="cellIs" dxfId="8" priority="17" operator="equal">
      <formula>0</formula>
    </cfRule>
  </conditionalFormatting>
  <conditionalFormatting sqref="AK6:AL6">
    <cfRule type="cellIs" dxfId="8" priority="18" operator="equal">
      <formula>0</formula>
    </cfRule>
  </conditionalFormatting>
  <conditionalFormatting sqref="AN6:AU6">
    <cfRule type="cellIs" dxfId="8" priority="19" operator="equal">
      <formula>0</formula>
    </cfRule>
  </conditionalFormatting>
  <conditionalFormatting sqref="D1:W23">
    <cfRule type="containsText" dxfId="7" priority="20" operator="containsText" text="н">
      <formula>NOT(ISERROR(SEARCH(("н"),(D1))))</formula>
    </cfRule>
  </conditionalFormatting>
  <conditionalFormatting sqref="D1:W23">
    <cfRule type="containsText" dxfId="7" priority="21" operator="containsText" text="n">
      <formula>NOT(ISERROR(SEARCH(("n"),(D1))))</formula>
    </cfRule>
  </conditionalFormatting>
  <conditionalFormatting sqref="AA6 AA12">
    <cfRule type="timePeriod" dxfId="0" priority="22" timePeriod="last7Days"/>
  </conditionalFormatting>
  <conditionalFormatting sqref="AM6">
    <cfRule type="timePeriod" dxfId="0" priority="23" timePeriod="last7Days"/>
  </conditionalFormatting>
  <conditionalFormatting sqref="BK1:BL23">
    <cfRule type="cellIs" dxfId="3" priority="24" operator="between">
      <formula>60</formula>
      <formula>68</formula>
    </cfRule>
  </conditionalFormatting>
  <conditionalFormatting sqref="AV4:AV23">
    <cfRule type="cellIs" dxfId="6" priority="25" operator="between">
      <formula>12</formula>
      <formula>1000</formula>
    </cfRule>
  </conditionalFormatting>
  <conditionalFormatting sqref="BK1:BL23">
    <cfRule type="cellIs" dxfId="4" priority="26" operator="between">
      <formula>68</formula>
      <formula>74</formula>
    </cfRule>
  </conditionalFormatting>
  <conditionalFormatting sqref="BK1:BL23">
    <cfRule type="cellIs" dxfId="2" priority="27" operator="between">
      <formula>74</formula>
      <formula>81</formula>
    </cfRule>
  </conditionalFormatting>
  <conditionalFormatting sqref="BK1:BL23">
    <cfRule type="cellIs" dxfId="5" priority="28" operator="between">
      <formula>81</formula>
      <formula>90</formula>
    </cfRule>
  </conditionalFormatting>
  <conditionalFormatting sqref="BK1:BL23">
    <cfRule type="cellIs" dxfId="6" priority="29" operator="greaterThan">
      <formula>90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24" width="2.88"/>
    <col customWidth="1" min="25" max="25" width="7.5"/>
    <col customWidth="1" min="26" max="26" width="5.0"/>
    <col customWidth="1" min="27" max="27" width="3.88"/>
    <col customWidth="1" min="28" max="28" width="4.63"/>
    <col customWidth="1" min="29" max="29" width="6.5"/>
    <col customWidth="1" min="30" max="30" width="5.13"/>
    <col customWidth="1" min="31" max="31" width="4.0"/>
    <col customWidth="1" min="32" max="32" width="5.63"/>
    <col customWidth="1" min="33" max="33" width="6.38"/>
    <col customWidth="1" min="34" max="34" width="12.63"/>
    <col customWidth="1" min="35" max="35" width="5.13"/>
    <col customWidth="1" min="36" max="36" width="4.0"/>
    <col customWidth="1" min="37" max="37" width="5.0"/>
    <col customWidth="1" min="38" max="38" width="7.63"/>
    <col customWidth="1" min="39" max="39" width="5.0"/>
    <col customWidth="1" min="40" max="40" width="4.5"/>
    <col customWidth="1" min="41" max="41" width="5.0"/>
    <col customWidth="1" min="42" max="42" width="5.63"/>
    <col customWidth="1" min="43" max="43" width="5.13"/>
    <col customWidth="1" min="44" max="44" width="5.38"/>
    <col customWidth="1" min="45" max="45" width="5.0"/>
    <col customWidth="1" min="46" max="47" width="5.38"/>
    <col customWidth="1" min="48" max="49" width="5.88"/>
    <col customWidth="1" min="50" max="50" width="5.63"/>
    <col customWidth="1" min="51" max="51" width="4.5"/>
    <col customWidth="1" min="52" max="52" width="4.38"/>
    <col customWidth="1" min="53" max="57" width="4.25"/>
    <col customWidth="1" min="58" max="58" width="4.63"/>
    <col customWidth="1" min="59" max="59" width="4.5"/>
    <col customWidth="1" min="60" max="61" width="4.63"/>
    <col customWidth="1" min="62" max="62" width="4.5"/>
    <col customWidth="1" min="63" max="64" width="4.38"/>
    <col customWidth="1" min="65" max="65" width="6.63"/>
    <col customWidth="1" min="66" max="66" width="3.25"/>
  </cols>
  <sheetData>
    <row r="1">
      <c r="A1" s="1" t="s">
        <v>81</v>
      </c>
      <c r="C1" s="2" t="s">
        <v>1</v>
      </c>
      <c r="D1" s="3" t="s">
        <v>2</v>
      </c>
      <c r="S1" s="4"/>
      <c r="T1" s="8"/>
      <c r="U1" s="8"/>
      <c r="V1" s="8"/>
      <c r="W1" s="8"/>
      <c r="X1" s="8"/>
      <c r="Y1" s="5" t="s">
        <v>3</v>
      </c>
      <c r="AB1" s="4"/>
      <c r="AC1" s="5" t="s">
        <v>4</v>
      </c>
      <c r="AF1" s="4"/>
      <c r="AG1" s="5" t="s">
        <v>5</v>
      </c>
      <c r="AK1" s="4"/>
      <c r="AL1" s="5" t="s">
        <v>6</v>
      </c>
      <c r="AO1" s="4"/>
      <c r="AP1" s="3" t="s">
        <v>7</v>
      </c>
      <c r="AQ1" s="6" t="s">
        <v>8</v>
      </c>
      <c r="AR1" s="6" t="s">
        <v>9</v>
      </c>
      <c r="AS1" s="6" t="s">
        <v>10</v>
      </c>
      <c r="AT1" s="6" t="s">
        <v>11</v>
      </c>
      <c r="AU1" s="6" t="s">
        <v>12</v>
      </c>
      <c r="AV1" s="6" t="s">
        <v>13</v>
      </c>
      <c r="AW1" s="7" t="s">
        <v>14</v>
      </c>
      <c r="AX1" s="3" t="s">
        <v>15</v>
      </c>
      <c r="AY1" s="6" t="s">
        <v>16</v>
      </c>
      <c r="BL1" s="7"/>
      <c r="BM1" s="41" t="s">
        <v>17</v>
      </c>
      <c r="BN1" s="10" t="s">
        <v>18</v>
      </c>
    </row>
    <row r="2">
      <c r="A2" s="11" t="s">
        <v>19</v>
      </c>
      <c r="B2" s="11" t="s">
        <v>20</v>
      </c>
      <c r="C2" s="4"/>
      <c r="D2" s="12">
        <v>45538.0</v>
      </c>
      <c r="E2" s="12">
        <f t="shared" ref="E2:F2" si="1">D2+7</f>
        <v>45545</v>
      </c>
      <c r="F2" s="12">
        <f t="shared" si="1"/>
        <v>45552</v>
      </c>
      <c r="G2" s="13">
        <v>23.09</v>
      </c>
      <c r="H2" s="13">
        <v>30.09</v>
      </c>
      <c r="I2" s="86">
        <v>7.1</v>
      </c>
      <c r="J2" s="86">
        <f t="shared" ref="J2:L2" si="2">I2+7</f>
        <v>14.1</v>
      </c>
      <c r="K2" s="86">
        <f t="shared" si="2"/>
        <v>21.1</v>
      </c>
      <c r="L2" s="86">
        <f t="shared" si="2"/>
        <v>28.1</v>
      </c>
      <c r="M2" s="86">
        <v>11.11</v>
      </c>
      <c r="N2" s="86">
        <f>M2+7</f>
        <v>18.11</v>
      </c>
      <c r="O2" s="86">
        <v>25.11</v>
      </c>
      <c r="P2" s="86">
        <v>28.11</v>
      </c>
      <c r="Q2" s="87">
        <v>45993.0</v>
      </c>
      <c r="R2" s="88">
        <v>5.12</v>
      </c>
      <c r="S2" s="88">
        <v>9.12</v>
      </c>
      <c r="T2" s="88">
        <v>27.12</v>
      </c>
      <c r="U2" s="88">
        <v>10.01</v>
      </c>
      <c r="V2" s="88">
        <v>20.1</v>
      </c>
      <c r="W2" s="88">
        <v>9.02</v>
      </c>
      <c r="X2" s="88">
        <v>16.02</v>
      </c>
      <c r="Y2" s="14" t="s">
        <v>21</v>
      </c>
      <c r="Z2" s="15" t="s">
        <v>22</v>
      </c>
      <c r="AA2" s="15" t="s">
        <v>23</v>
      </c>
      <c r="AB2" s="16" t="s">
        <v>24</v>
      </c>
      <c r="AC2" s="14" t="s">
        <v>21</v>
      </c>
      <c r="AD2" s="15" t="s">
        <v>22</v>
      </c>
      <c r="AE2" s="15" t="s">
        <v>23</v>
      </c>
      <c r="AF2" s="16" t="s">
        <v>24</v>
      </c>
      <c r="AG2" s="14" t="s">
        <v>21</v>
      </c>
      <c r="AH2" s="15"/>
      <c r="AI2" s="15" t="s">
        <v>22</v>
      </c>
      <c r="AJ2" s="15" t="s">
        <v>23</v>
      </c>
      <c r="AK2" s="16" t="s">
        <v>24</v>
      </c>
      <c r="AL2" s="14" t="s">
        <v>21</v>
      </c>
      <c r="AM2" s="15" t="s">
        <v>22</v>
      </c>
      <c r="AN2" s="15" t="s">
        <v>23</v>
      </c>
      <c r="AO2" s="16" t="s">
        <v>24</v>
      </c>
      <c r="AP2" s="17" t="s">
        <v>25</v>
      </c>
      <c r="AQ2" s="18" t="s">
        <v>25</v>
      </c>
      <c r="AR2" s="18" t="s">
        <v>25</v>
      </c>
      <c r="AS2" s="18" t="s">
        <v>25</v>
      </c>
      <c r="AT2" s="18" t="s">
        <v>25</v>
      </c>
      <c r="AU2" s="18" t="s">
        <v>25</v>
      </c>
      <c r="AV2" s="15" t="s">
        <v>26</v>
      </c>
      <c r="AW2" s="19" t="s">
        <v>26</v>
      </c>
      <c r="AX2" s="14" t="s">
        <v>27</v>
      </c>
      <c r="BL2" s="7"/>
      <c r="BM2" s="4"/>
    </row>
    <row r="3">
      <c r="C3" s="4"/>
      <c r="Y3" s="21"/>
      <c r="Z3" s="15" t="s">
        <v>26</v>
      </c>
      <c r="AA3" s="15" t="s">
        <v>28</v>
      </c>
      <c r="AB3" s="4"/>
      <c r="AC3" s="21"/>
      <c r="AD3" s="15" t="s">
        <v>26</v>
      </c>
      <c r="AE3" s="15" t="s">
        <v>28</v>
      </c>
      <c r="AF3" s="4"/>
      <c r="AG3" s="21"/>
      <c r="AH3" s="18" t="s">
        <v>82</v>
      </c>
      <c r="AI3" s="15" t="s">
        <v>26</v>
      </c>
      <c r="AJ3" s="15" t="s">
        <v>28</v>
      </c>
      <c r="AK3" s="4"/>
      <c r="AL3" s="21"/>
      <c r="AM3" s="15" t="s">
        <v>26</v>
      </c>
      <c r="AN3" s="15" t="s">
        <v>28</v>
      </c>
      <c r="AO3" s="4"/>
      <c r="AP3" s="21"/>
      <c r="AW3" s="4"/>
      <c r="AX3" s="21"/>
      <c r="AY3" s="17" t="s">
        <v>29</v>
      </c>
      <c r="AZ3" s="18" t="s">
        <v>30</v>
      </c>
      <c r="BA3" s="18" t="s">
        <v>3</v>
      </c>
      <c r="BB3" s="18" t="s">
        <v>4</v>
      </c>
      <c r="BC3" s="18" t="s">
        <v>5</v>
      </c>
      <c r="BD3" s="18" t="s">
        <v>6</v>
      </c>
      <c r="BE3" s="18" t="s">
        <v>7</v>
      </c>
      <c r="BF3" s="18" t="s">
        <v>8</v>
      </c>
      <c r="BG3" s="18" t="s">
        <v>9</v>
      </c>
      <c r="BH3" s="18" t="s">
        <v>10</v>
      </c>
      <c r="BI3" s="18" t="s">
        <v>11</v>
      </c>
      <c r="BJ3" s="18" t="s">
        <v>12</v>
      </c>
      <c r="BK3" s="18" t="s">
        <v>31</v>
      </c>
      <c r="BL3" s="23" t="s">
        <v>23</v>
      </c>
      <c r="BM3" s="4"/>
    </row>
    <row r="4">
      <c r="A4" s="43">
        <v>464900.0</v>
      </c>
      <c r="B4" s="55" t="s">
        <v>83</v>
      </c>
      <c r="C4" s="24"/>
      <c r="D4" s="25" t="s">
        <v>84</v>
      </c>
      <c r="E4" s="25" t="s">
        <v>84</v>
      </c>
      <c r="F4" s="27">
        <v>1.0</v>
      </c>
      <c r="G4" s="27">
        <v>1.0</v>
      </c>
      <c r="H4" s="27">
        <v>1.0</v>
      </c>
      <c r="I4" s="27">
        <v>2.0</v>
      </c>
      <c r="J4" s="27" t="s">
        <v>85</v>
      </c>
      <c r="K4" s="27" t="s">
        <v>85</v>
      </c>
      <c r="L4" s="27" t="s">
        <v>84</v>
      </c>
      <c r="M4" s="27">
        <v>1.0</v>
      </c>
      <c r="N4" s="27">
        <v>1.0</v>
      </c>
      <c r="O4" s="27">
        <v>1.0</v>
      </c>
      <c r="P4" s="27" t="s">
        <v>84</v>
      </c>
      <c r="Q4" s="27" t="s">
        <v>85</v>
      </c>
      <c r="R4" s="27">
        <v>1.0</v>
      </c>
      <c r="S4" s="54">
        <v>2.0</v>
      </c>
      <c r="T4" s="27" t="s">
        <v>85</v>
      </c>
      <c r="U4" s="27" t="s">
        <v>56</v>
      </c>
      <c r="V4" s="27" t="s">
        <v>56</v>
      </c>
      <c r="W4" s="27" t="s">
        <v>85</v>
      </c>
      <c r="X4" s="27" t="s">
        <v>85</v>
      </c>
      <c r="Y4" s="43">
        <v>464900.0</v>
      </c>
      <c r="Z4" s="36">
        <v>10.0</v>
      </c>
      <c r="AA4" s="36">
        <v>2.0</v>
      </c>
      <c r="AB4" s="89">
        <v>23.09</v>
      </c>
      <c r="AC4" s="28">
        <v>63164.0</v>
      </c>
      <c r="AD4" s="36">
        <v>10.0</v>
      </c>
      <c r="AE4" s="36">
        <v>2.0</v>
      </c>
      <c r="AF4" s="89">
        <v>7.1</v>
      </c>
      <c r="AG4" s="43">
        <v>464900.0</v>
      </c>
      <c r="AH4" s="36">
        <v>1.0</v>
      </c>
      <c r="AI4" s="36">
        <v>9.9</v>
      </c>
      <c r="AJ4" s="36">
        <v>2.0</v>
      </c>
      <c r="AK4" s="24">
        <v>25.11</v>
      </c>
      <c r="AL4" s="28">
        <v>552.0</v>
      </c>
      <c r="AM4" s="29">
        <v>9.5</v>
      </c>
      <c r="AN4" s="36">
        <v>2.0</v>
      </c>
      <c r="AO4" s="24">
        <v>8.12</v>
      </c>
      <c r="AP4" s="28">
        <v>0.6</v>
      </c>
      <c r="AQ4" s="36">
        <v>1.1</v>
      </c>
      <c r="AT4" s="36">
        <v>1.2</v>
      </c>
      <c r="AU4" s="36">
        <v>0.01</v>
      </c>
      <c r="AV4" s="36">
        <v>8.5</v>
      </c>
      <c r="AW4" s="24">
        <v>6.63</v>
      </c>
      <c r="AX4" s="28">
        <f t="shared" ref="AX4:AX7" si="5">SUM(AV4:AW4)</f>
        <v>15.13</v>
      </c>
      <c r="AY4" s="21">
        <f t="shared" ref="AY4:AZ4" si="3">SUM(AV4)</f>
        <v>8.5</v>
      </c>
      <c r="AZ4">
        <f t="shared" si="3"/>
        <v>6.63</v>
      </c>
      <c r="BA4">
        <f t="shared" ref="BA4:BA21" si="7">SUM(Z4,AA4)</f>
        <v>12</v>
      </c>
      <c r="BB4">
        <f t="shared" ref="BB4:BB21" si="8">SUM(AD4,AE4)</f>
        <v>12</v>
      </c>
      <c r="BC4">
        <f t="shared" ref="BC4:BC21" si="9">SUM(AI4,AJ4)</f>
        <v>11.9</v>
      </c>
      <c r="BD4">
        <f t="shared" ref="BD4:BD21" si="10">SUM(AM4,AN4)</f>
        <v>11.5</v>
      </c>
      <c r="BE4">
        <f t="shared" ref="BE4:BJ4" si="4">SUM(AP4)</f>
        <v>0.6</v>
      </c>
      <c r="BF4">
        <f t="shared" si="4"/>
        <v>1.1</v>
      </c>
      <c r="BG4">
        <f t="shared" si="4"/>
        <v>0</v>
      </c>
      <c r="BH4">
        <f t="shared" si="4"/>
        <v>0</v>
      </c>
      <c r="BI4">
        <f t="shared" si="4"/>
        <v>1.2</v>
      </c>
      <c r="BJ4">
        <f t="shared" si="4"/>
        <v>0.01</v>
      </c>
      <c r="BK4">
        <f t="shared" ref="BK4:BK21" si="12">SUM(AX4)</f>
        <v>15.13</v>
      </c>
      <c r="BL4" s="24">
        <v>3.0</v>
      </c>
      <c r="BM4" s="50">
        <f t="shared" ref="BM4:BM21" si="13">SUM(AY4:BL4)</f>
        <v>83.57</v>
      </c>
      <c r="BN4" s="32">
        <v>1.0</v>
      </c>
    </row>
    <row r="5">
      <c r="A5" s="49">
        <v>465592.0</v>
      </c>
      <c r="B5" s="55" t="s">
        <v>86</v>
      </c>
      <c r="C5" s="24"/>
      <c r="D5" s="25" t="s">
        <v>84</v>
      </c>
      <c r="E5" s="25" t="s">
        <v>84</v>
      </c>
      <c r="F5" s="27">
        <v>3.0</v>
      </c>
      <c r="G5" s="27">
        <v>1.0</v>
      </c>
      <c r="H5" s="27" t="s">
        <v>85</v>
      </c>
      <c r="I5" s="27" t="s">
        <v>85</v>
      </c>
      <c r="J5" s="27" t="s">
        <v>85</v>
      </c>
      <c r="K5" s="27" t="s">
        <v>85</v>
      </c>
      <c r="L5" s="36">
        <v>1.0</v>
      </c>
      <c r="M5" s="27">
        <v>1.0</v>
      </c>
      <c r="N5" s="27">
        <v>1.0</v>
      </c>
      <c r="O5" s="27" t="s">
        <v>85</v>
      </c>
      <c r="P5" s="27" t="s">
        <v>85</v>
      </c>
      <c r="Q5" s="27" t="s">
        <v>85</v>
      </c>
      <c r="R5" s="27" t="s">
        <v>84</v>
      </c>
      <c r="S5" s="54" t="s">
        <v>85</v>
      </c>
      <c r="T5" s="27" t="s">
        <v>85</v>
      </c>
      <c r="U5" s="27" t="s">
        <v>56</v>
      </c>
      <c r="V5" s="27" t="s">
        <v>56</v>
      </c>
      <c r="W5" s="27" t="s">
        <v>85</v>
      </c>
      <c r="X5" s="27" t="s">
        <v>85</v>
      </c>
      <c r="Y5" s="43">
        <v>465592.0</v>
      </c>
      <c r="Z5" s="36">
        <v>8.8</v>
      </c>
      <c r="AA5" s="36">
        <v>2.0</v>
      </c>
      <c r="AB5" s="90">
        <v>16.0</v>
      </c>
      <c r="AC5" s="28">
        <v>865432.0</v>
      </c>
      <c r="AD5" s="36">
        <v>10.0</v>
      </c>
      <c r="AE5" s="36">
        <v>2.0</v>
      </c>
      <c r="AF5" s="89">
        <v>23.09</v>
      </c>
      <c r="AG5" s="49">
        <v>465592.0</v>
      </c>
      <c r="AH5" s="36">
        <v>3.0</v>
      </c>
      <c r="AI5" s="36">
        <v>10.0</v>
      </c>
      <c r="AJ5" s="36">
        <v>2.0</v>
      </c>
      <c r="AK5" s="24">
        <v>18.11</v>
      </c>
      <c r="AL5" s="28">
        <v>9936.0</v>
      </c>
      <c r="AM5" s="36">
        <v>9.5</v>
      </c>
      <c r="AN5" s="36">
        <v>2.0</v>
      </c>
      <c r="AO5" s="24">
        <v>5.12</v>
      </c>
      <c r="AP5" s="28">
        <v>1.7</v>
      </c>
      <c r="AQ5" s="36">
        <v>0.8</v>
      </c>
      <c r="AR5" s="36">
        <v>1.6</v>
      </c>
      <c r="AS5" s="36">
        <v>2.0</v>
      </c>
      <c r="AT5" s="36">
        <v>2.0</v>
      </c>
      <c r="AU5" s="36">
        <v>1.6</v>
      </c>
      <c r="AV5" s="36">
        <v>7.5</v>
      </c>
      <c r="AW5" s="24">
        <v>9.5</v>
      </c>
      <c r="AX5" s="28">
        <f t="shared" si="5"/>
        <v>17</v>
      </c>
      <c r="AY5" s="21">
        <f t="shared" ref="AY5:AZ5" si="6">SUM(AV5)</f>
        <v>7.5</v>
      </c>
      <c r="AZ5">
        <f t="shared" si="6"/>
        <v>9.5</v>
      </c>
      <c r="BA5">
        <f t="shared" si="7"/>
        <v>10.8</v>
      </c>
      <c r="BB5">
        <f t="shared" si="8"/>
        <v>12</v>
      </c>
      <c r="BC5">
        <f t="shared" si="9"/>
        <v>12</v>
      </c>
      <c r="BD5">
        <f t="shared" si="10"/>
        <v>11.5</v>
      </c>
      <c r="BE5">
        <f t="shared" ref="BE5:BJ5" si="11">SUM(AP5)</f>
        <v>1.7</v>
      </c>
      <c r="BF5">
        <f t="shared" si="11"/>
        <v>0.8</v>
      </c>
      <c r="BG5">
        <f t="shared" si="11"/>
        <v>1.6</v>
      </c>
      <c r="BH5">
        <f t="shared" si="11"/>
        <v>2</v>
      </c>
      <c r="BI5">
        <f t="shared" si="11"/>
        <v>2</v>
      </c>
      <c r="BJ5">
        <f t="shared" si="11"/>
        <v>1.6</v>
      </c>
      <c r="BK5">
        <f t="shared" si="12"/>
        <v>17</v>
      </c>
      <c r="BL5" s="24">
        <v>1.0</v>
      </c>
      <c r="BM5" s="50">
        <f t="shared" si="13"/>
        <v>91</v>
      </c>
      <c r="BN5" s="32">
        <v>1.0</v>
      </c>
    </row>
    <row r="6">
      <c r="A6" s="43">
        <v>372611.0</v>
      </c>
      <c r="B6" s="55" t="s">
        <v>87</v>
      </c>
      <c r="C6" s="24"/>
      <c r="D6" s="25" t="s">
        <v>84</v>
      </c>
      <c r="E6" s="25" t="s">
        <v>84</v>
      </c>
      <c r="F6" s="27" t="s">
        <v>84</v>
      </c>
      <c r="G6" s="27">
        <v>1.0</v>
      </c>
      <c r="H6" s="27" t="s">
        <v>84</v>
      </c>
      <c r="I6" s="27" t="s">
        <v>84</v>
      </c>
      <c r="J6" s="27" t="s">
        <v>85</v>
      </c>
      <c r="K6" s="27" t="s">
        <v>85</v>
      </c>
      <c r="L6" s="27" t="s">
        <v>85</v>
      </c>
      <c r="M6" s="27" t="s">
        <v>84</v>
      </c>
      <c r="N6" s="27">
        <v>1.0</v>
      </c>
      <c r="O6" s="27">
        <v>1.0</v>
      </c>
      <c r="P6" s="27" t="s">
        <v>85</v>
      </c>
      <c r="Q6" s="27" t="s">
        <v>84</v>
      </c>
      <c r="R6" s="27" t="s">
        <v>84</v>
      </c>
      <c r="S6" s="54" t="s">
        <v>84</v>
      </c>
      <c r="T6" s="27" t="s">
        <v>85</v>
      </c>
      <c r="U6" s="27">
        <v>1.0</v>
      </c>
      <c r="V6" s="27" t="s">
        <v>56</v>
      </c>
      <c r="W6" s="27">
        <v>1.0</v>
      </c>
      <c r="X6" s="27" t="s">
        <v>85</v>
      </c>
      <c r="Y6" s="49" t="s">
        <v>88</v>
      </c>
      <c r="Z6" s="36">
        <v>7.0</v>
      </c>
      <c r="AA6" s="36">
        <v>2.0</v>
      </c>
      <c r="AB6" s="89">
        <v>7.1</v>
      </c>
      <c r="AC6" s="28">
        <v>6.3189632E7</v>
      </c>
      <c r="AD6" s="36">
        <v>8.0</v>
      </c>
      <c r="AE6" s="36">
        <v>1.0</v>
      </c>
      <c r="AF6" s="89">
        <v>25.11</v>
      </c>
      <c r="AG6" s="28">
        <v>631986.0</v>
      </c>
      <c r="AH6" s="36">
        <v>4.0</v>
      </c>
      <c r="AI6" s="36">
        <v>6.0</v>
      </c>
      <c r="AK6" s="24">
        <v>10.01</v>
      </c>
      <c r="AL6" s="28">
        <v>885.0</v>
      </c>
      <c r="AM6" s="36">
        <v>6.0</v>
      </c>
      <c r="AO6" s="24">
        <v>9.02</v>
      </c>
      <c r="AP6" s="28">
        <v>1.6</v>
      </c>
      <c r="AV6" s="36">
        <v>6.0</v>
      </c>
      <c r="AW6" s="24">
        <v>9.0</v>
      </c>
      <c r="AX6" s="28">
        <f t="shared" si="5"/>
        <v>15</v>
      </c>
      <c r="AY6" s="21">
        <f t="shared" ref="AY6:AZ6" si="14">SUM(AV6)</f>
        <v>6</v>
      </c>
      <c r="AZ6">
        <f t="shared" si="14"/>
        <v>9</v>
      </c>
      <c r="BA6">
        <f t="shared" si="7"/>
        <v>9</v>
      </c>
      <c r="BB6">
        <f t="shared" si="8"/>
        <v>9</v>
      </c>
      <c r="BC6">
        <f t="shared" si="9"/>
        <v>6</v>
      </c>
      <c r="BD6">
        <f t="shared" si="10"/>
        <v>6</v>
      </c>
      <c r="BE6">
        <f t="shared" ref="BE6:BJ6" si="15">SUM(AP6)</f>
        <v>1.6</v>
      </c>
      <c r="BF6">
        <f t="shared" si="15"/>
        <v>0</v>
      </c>
      <c r="BG6">
        <f t="shared" si="15"/>
        <v>0</v>
      </c>
      <c r="BH6">
        <f t="shared" si="15"/>
        <v>0</v>
      </c>
      <c r="BI6">
        <f t="shared" si="15"/>
        <v>0</v>
      </c>
      <c r="BJ6">
        <f t="shared" si="15"/>
        <v>0</v>
      </c>
      <c r="BK6">
        <f t="shared" si="12"/>
        <v>15</v>
      </c>
      <c r="BL6" s="24"/>
      <c r="BM6" s="50">
        <f t="shared" si="13"/>
        <v>61.6</v>
      </c>
      <c r="BN6" s="32">
        <v>2.0</v>
      </c>
    </row>
    <row r="7">
      <c r="A7" s="43">
        <v>465755.0</v>
      </c>
      <c r="B7" s="55" t="s">
        <v>89</v>
      </c>
      <c r="C7" s="24"/>
      <c r="D7" s="25" t="s">
        <v>84</v>
      </c>
      <c r="E7" s="25" t="s">
        <v>84</v>
      </c>
      <c r="F7" s="27" t="s">
        <v>85</v>
      </c>
      <c r="G7" s="36">
        <v>1.0</v>
      </c>
      <c r="H7" s="27">
        <v>2.0</v>
      </c>
      <c r="I7" s="27">
        <v>1.0</v>
      </c>
      <c r="J7" s="27" t="s">
        <v>84</v>
      </c>
      <c r="K7" s="27" t="s">
        <v>84</v>
      </c>
      <c r="L7" s="27">
        <v>1.0</v>
      </c>
      <c r="M7" s="27">
        <v>1.0</v>
      </c>
      <c r="N7" s="27">
        <v>1.0</v>
      </c>
      <c r="O7" s="27" t="s">
        <v>84</v>
      </c>
      <c r="P7" s="27" t="s">
        <v>84</v>
      </c>
      <c r="Q7" s="27" t="s">
        <v>84</v>
      </c>
      <c r="R7" s="27">
        <v>1.0</v>
      </c>
      <c r="S7" s="54">
        <v>1.0</v>
      </c>
      <c r="T7" s="27" t="s">
        <v>85</v>
      </c>
      <c r="U7" s="27">
        <v>1.0</v>
      </c>
      <c r="V7" s="27" t="s">
        <v>56</v>
      </c>
      <c r="W7" s="27" t="s">
        <v>85</v>
      </c>
      <c r="X7" s="27" t="s">
        <v>85</v>
      </c>
      <c r="Y7" s="43">
        <v>465755.0</v>
      </c>
      <c r="Z7" s="36">
        <v>8.0</v>
      </c>
      <c r="AA7" s="36">
        <v>2.0</v>
      </c>
      <c r="AB7" s="89">
        <v>7.1</v>
      </c>
      <c r="AC7" s="28">
        <v>624699.0</v>
      </c>
      <c r="AD7" s="36">
        <v>8.0</v>
      </c>
      <c r="AE7" s="36">
        <v>1.0</v>
      </c>
      <c r="AF7" s="89">
        <v>18.11</v>
      </c>
      <c r="AG7" s="28">
        <v>985217.0</v>
      </c>
      <c r="AH7" s="36">
        <v>5.0</v>
      </c>
      <c r="AI7" s="36">
        <v>9.5</v>
      </c>
      <c r="AJ7" s="36">
        <v>2.0</v>
      </c>
      <c r="AK7" s="24">
        <v>9.11</v>
      </c>
      <c r="AL7" s="28">
        <v>886.0</v>
      </c>
      <c r="AM7" s="36">
        <v>6.0</v>
      </c>
      <c r="AO7" s="24">
        <v>10.01</v>
      </c>
      <c r="AP7" s="28">
        <v>0.3</v>
      </c>
      <c r="AV7" s="36">
        <v>6.0</v>
      </c>
      <c r="AW7" s="24">
        <v>6.0</v>
      </c>
      <c r="AX7" s="28">
        <f t="shared" si="5"/>
        <v>12</v>
      </c>
      <c r="AY7" s="21">
        <f t="shared" ref="AY7:AZ7" si="16">SUM(AV7)</f>
        <v>6</v>
      </c>
      <c r="AZ7">
        <f t="shared" si="16"/>
        <v>6</v>
      </c>
      <c r="BA7">
        <f t="shared" si="7"/>
        <v>10</v>
      </c>
      <c r="BB7">
        <f t="shared" si="8"/>
        <v>9</v>
      </c>
      <c r="BC7">
        <f t="shared" si="9"/>
        <v>11.5</v>
      </c>
      <c r="BD7">
        <f t="shared" si="10"/>
        <v>6</v>
      </c>
      <c r="BE7">
        <f t="shared" ref="BE7:BJ7" si="17">SUM(AP7)</f>
        <v>0.3</v>
      </c>
      <c r="BF7">
        <f t="shared" si="17"/>
        <v>0</v>
      </c>
      <c r="BG7">
        <f t="shared" si="17"/>
        <v>0</v>
      </c>
      <c r="BH7">
        <f t="shared" si="17"/>
        <v>0</v>
      </c>
      <c r="BI7">
        <f t="shared" si="17"/>
        <v>0</v>
      </c>
      <c r="BJ7">
        <f t="shared" si="17"/>
        <v>0</v>
      </c>
      <c r="BK7">
        <f t="shared" si="12"/>
        <v>12</v>
      </c>
      <c r="BL7" s="4"/>
      <c r="BM7" s="50">
        <f t="shared" si="13"/>
        <v>60.8</v>
      </c>
      <c r="BN7" s="32">
        <v>2.0</v>
      </c>
    </row>
    <row r="8">
      <c r="A8" s="43">
        <v>465808.0</v>
      </c>
      <c r="B8" s="55" t="s">
        <v>90</v>
      </c>
      <c r="C8" s="24"/>
      <c r="D8" s="25" t="s">
        <v>91</v>
      </c>
      <c r="E8" s="25" t="s">
        <v>91</v>
      </c>
      <c r="F8" s="27" t="s">
        <v>85</v>
      </c>
      <c r="G8" s="27" t="s">
        <v>85</v>
      </c>
      <c r="H8" s="27" t="s">
        <v>85</v>
      </c>
      <c r="I8" s="27" t="s">
        <v>85</v>
      </c>
      <c r="J8" s="27">
        <v>1.0</v>
      </c>
      <c r="K8" s="27">
        <v>1.0</v>
      </c>
      <c r="L8" s="27">
        <v>2.0</v>
      </c>
      <c r="M8" s="27">
        <v>1.0</v>
      </c>
      <c r="N8" s="27" t="s">
        <v>84</v>
      </c>
      <c r="O8" s="27" t="s">
        <v>84</v>
      </c>
      <c r="P8" s="27" t="s">
        <v>84</v>
      </c>
      <c r="Q8" s="27">
        <v>2.0</v>
      </c>
      <c r="R8" s="27" t="s">
        <v>85</v>
      </c>
      <c r="S8" s="54" t="s">
        <v>85</v>
      </c>
      <c r="T8" s="27" t="s">
        <v>85</v>
      </c>
      <c r="U8" s="27"/>
      <c r="V8" s="27" t="s">
        <v>56</v>
      </c>
      <c r="W8" s="27" t="s">
        <v>85</v>
      </c>
      <c r="X8" s="27" t="s">
        <v>85</v>
      </c>
      <c r="Y8" s="43">
        <v>465808.0</v>
      </c>
      <c r="Z8" s="36">
        <v>6.0</v>
      </c>
      <c r="AB8" s="89">
        <v>11.11</v>
      </c>
      <c r="AC8" s="28">
        <v>635196.0</v>
      </c>
      <c r="AD8" s="36">
        <v>6.0</v>
      </c>
      <c r="AF8" s="91">
        <v>45993.0</v>
      </c>
      <c r="AG8" s="28"/>
      <c r="AH8" s="36">
        <v>4.0</v>
      </c>
      <c r="AK8" s="24"/>
      <c r="AL8" s="28"/>
      <c r="AO8" s="24"/>
      <c r="AP8" s="28"/>
      <c r="AV8" s="36">
        <v>6.0</v>
      </c>
      <c r="AW8" s="24">
        <v>6.0</v>
      </c>
      <c r="AX8" s="28"/>
      <c r="AY8" s="21">
        <f t="shared" ref="AY8:AZ8" si="18">SUM(AV8)</f>
        <v>6</v>
      </c>
      <c r="AZ8">
        <f t="shared" si="18"/>
        <v>6</v>
      </c>
      <c r="BA8">
        <f t="shared" si="7"/>
        <v>6</v>
      </c>
      <c r="BB8">
        <f t="shared" si="8"/>
        <v>6</v>
      </c>
      <c r="BC8">
        <f t="shared" si="9"/>
        <v>0</v>
      </c>
      <c r="BD8">
        <f t="shared" si="10"/>
        <v>0</v>
      </c>
      <c r="BE8">
        <f t="shared" ref="BE8:BJ8" si="19">SUM(AP8)</f>
        <v>0</v>
      </c>
      <c r="BF8">
        <f t="shared" si="19"/>
        <v>0</v>
      </c>
      <c r="BG8">
        <f t="shared" si="19"/>
        <v>0</v>
      </c>
      <c r="BH8">
        <f t="shared" si="19"/>
        <v>0</v>
      </c>
      <c r="BI8">
        <f t="shared" si="19"/>
        <v>0</v>
      </c>
      <c r="BJ8">
        <f t="shared" si="19"/>
        <v>0</v>
      </c>
      <c r="BK8">
        <f t="shared" si="12"/>
        <v>0</v>
      </c>
      <c r="BL8" s="4"/>
      <c r="BM8" s="50">
        <f t="shared" si="13"/>
        <v>24</v>
      </c>
      <c r="BN8" s="32"/>
    </row>
    <row r="9">
      <c r="A9" s="43">
        <v>406492.0</v>
      </c>
      <c r="B9" s="55" t="s">
        <v>92</v>
      </c>
      <c r="C9" s="24"/>
      <c r="D9" s="25" t="s">
        <v>84</v>
      </c>
      <c r="E9" s="25" t="s">
        <v>84</v>
      </c>
      <c r="F9" s="27" t="s">
        <v>85</v>
      </c>
      <c r="G9" s="27" t="s">
        <v>85</v>
      </c>
      <c r="H9" s="27" t="s">
        <v>85</v>
      </c>
      <c r="I9" s="27" t="s">
        <v>84</v>
      </c>
      <c r="J9" s="27">
        <v>1.0</v>
      </c>
      <c r="K9" s="27">
        <v>1.0</v>
      </c>
      <c r="L9" s="27">
        <v>1.0</v>
      </c>
      <c r="M9" s="27">
        <v>1.0</v>
      </c>
      <c r="N9" s="27" t="s">
        <v>84</v>
      </c>
      <c r="O9" s="27" t="s">
        <v>84</v>
      </c>
      <c r="P9" s="27">
        <v>1.0</v>
      </c>
      <c r="Q9" s="27" t="s">
        <v>85</v>
      </c>
      <c r="R9" s="27" t="s">
        <v>84</v>
      </c>
      <c r="S9" s="54" t="s">
        <v>85</v>
      </c>
      <c r="T9" s="27">
        <v>1.0</v>
      </c>
      <c r="U9" s="27"/>
      <c r="V9" s="27">
        <v>1.0</v>
      </c>
      <c r="W9" s="27">
        <v>1.0</v>
      </c>
      <c r="X9" s="27" t="s">
        <v>85</v>
      </c>
      <c r="Y9" s="43">
        <v>406492.0</v>
      </c>
      <c r="Z9" s="36">
        <v>6.0</v>
      </c>
      <c r="AB9" s="89">
        <v>11.11</v>
      </c>
      <c r="AC9" s="28">
        <v>648317.0</v>
      </c>
      <c r="AD9" s="36">
        <v>6.0</v>
      </c>
      <c r="AF9" s="89">
        <v>28.11</v>
      </c>
      <c r="AG9" s="43">
        <v>406492.0</v>
      </c>
      <c r="AH9" s="36">
        <v>2.0</v>
      </c>
      <c r="AI9" s="36">
        <v>6.0</v>
      </c>
      <c r="AK9" s="24">
        <v>20.01</v>
      </c>
      <c r="AL9" s="28">
        <v>451.0</v>
      </c>
      <c r="AM9" s="36">
        <v>6.0</v>
      </c>
      <c r="AO9" s="24">
        <v>9.02</v>
      </c>
      <c r="AP9" s="28">
        <v>0.1</v>
      </c>
      <c r="AV9" s="36">
        <v>6.0</v>
      </c>
      <c r="AW9" s="24">
        <v>6.0</v>
      </c>
      <c r="AX9" s="28">
        <f t="shared" ref="AX9:AX11" si="22">SUM(AV9:AW9)</f>
        <v>12</v>
      </c>
      <c r="AY9" s="21">
        <f t="shared" ref="AY9:AZ9" si="20">SUM(AV9)</f>
        <v>6</v>
      </c>
      <c r="AZ9">
        <f t="shared" si="20"/>
        <v>6</v>
      </c>
      <c r="BA9">
        <f t="shared" si="7"/>
        <v>6</v>
      </c>
      <c r="BB9">
        <f t="shared" si="8"/>
        <v>6</v>
      </c>
      <c r="BC9">
        <f t="shared" si="9"/>
        <v>6</v>
      </c>
      <c r="BD9">
        <f t="shared" si="10"/>
        <v>6</v>
      </c>
      <c r="BE9">
        <f t="shared" ref="BE9:BJ9" si="21">SUM(AP9)</f>
        <v>0.1</v>
      </c>
      <c r="BF9">
        <f t="shared" si="21"/>
        <v>0</v>
      </c>
      <c r="BG9">
        <f t="shared" si="21"/>
        <v>0</v>
      </c>
      <c r="BH9">
        <f t="shared" si="21"/>
        <v>0</v>
      </c>
      <c r="BI9">
        <f t="shared" si="21"/>
        <v>0</v>
      </c>
      <c r="BJ9">
        <f t="shared" si="21"/>
        <v>0</v>
      </c>
      <c r="BK9">
        <f t="shared" si="12"/>
        <v>12</v>
      </c>
      <c r="BL9" s="4"/>
      <c r="BM9" s="50">
        <f t="shared" si="13"/>
        <v>48.1</v>
      </c>
      <c r="BN9" s="32">
        <v>2.0</v>
      </c>
    </row>
    <row r="10">
      <c r="A10" s="36">
        <v>408840.0</v>
      </c>
      <c r="B10" s="36" t="s">
        <v>93</v>
      </c>
      <c r="C10" s="4"/>
      <c r="D10" s="25" t="s">
        <v>84</v>
      </c>
      <c r="E10" s="25" t="s">
        <v>84</v>
      </c>
      <c r="F10" s="27" t="s">
        <v>84</v>
      </c>
      <c r="G10" s="27" t="s">
        <v>85</v>
      </c>
      <c r="H10" s="27" t="s">
        <v>85</v>
      </c>
      <c r="I10" s="27" t="s">
        <v>85</v>
      </c>
      <c r="J10" s="27" t="s">
        <v>85</v>
      </c>
      <c r="K10" s="27" t="s">
        <v>85</v>
      </c>
      <c r="L10" s="27" t="s">
        <v>85</v>
      </c>
      <c r="M10" s="27" t="s">
        <v>85</v>
      </c>
      <c r="N10" s="27" t="s">
        <v>85</v>
      </c>
      <c r="O10" s="27" t="s">
        <v>85</v>
      </c>
      <c r="P10" s="27" t="s">
        <v>85</v>
      </c>
      <c r="Q10" s="27" t="s">
        <v>85</v>
      </c>
      <c r="R10" s="27" t="s">
        <v>84</v>
      </c>
      <c r="S10" s="54">
        <v>1.0</v>
      </c>
      <c r="T10" s="27" t="s">
        <v>85</v>
      </c>
      <c r="U10" s="27">
        <v>1.0</v>
      </c>
      <c r="V10" s="27" t="s">
        <v>56</v>
      </c>
      <c r="W10" s="27" t="s">
        <v>85</v>
      </c>
      <c r="X10" s="27" t="s">
        <v>85</v>
      </c>
      <c r="Y10" s="28">
        <v>408840.0</v>
      </c>
      <c r="Z10" s="36">
        <v>7.0</v>
      </c>
      <c r="AB10" s="92"/>
      <c r="AC10" s="21"/>
      <c r="AD10" s="36">
        <v>6.0</v>
      </c>
      <c r="AF10" s="92"/>
      <c r="AG10" s="28">
        <v>80523.0</v>
      </c>
      <c r="AH10" s="36">
        <v>5.0</v>
      </c>
      <c r="AI10" s="36">
        <v>6.0</v>
      </c>
      <c r="AK10" s="24">
        <v>9.12</v>
      </c>
      <c r="AL10" s="28">
        <v>447.0</v>
      </c>
      <c r="AM10" s="36">
        <v>6.0</v>
      </c>
      <c r="AO10" s="24">
        <v>10.01</v>
      </c>
      <c r="AP10" s="21"/>
      <c r="AV10" s="36">
        <v>6.0</v>
      </c>
      <c r="AW10" s="24">
        <v>6.0</v>
      </c>
      <c r="AX10" s="28">
        <f t="shared" si="22"/>
        <v>12</v>
      </c>
      <c r="AY10" s="21">
        <f t="shared" ref="AY10:AZ10" si="23">SUM(AV10)</f>
        <v>6</v>
      </c>
      <c r="AZ10">
        <f t="shared" si="23"/>
        <v>6</v>
      </c>
      <c r="BA10">
        <f t="shared" si="7"/>
        <v>7</v>
      </c>
      <c r="BB10">
        <f t="shared" si="8"/>
        <v>6</v>
      </c>
      <c r="BC10">
        <f t="shared" si="9"/>
        <v>6</v>
      </c>
      <c r="BD10">
        <f t="shared" si="10"/>
        <v>6</v>
      </c>
      <c r="BE10">
        <f t="shared" ref="BE10:BJ10" si="24">SUM(AP10)</f>
        <v>0</v>
      </c>
      <c r="BF10">
        <f t="shared" si="24"/>
        <v>0</v>
      </c>
      <c r="BG10">
        <f t="shared" si="24"/>
        <v>0</v>
      </c>
      <c r="BH10">
        <f t="shared" si="24"/>
        <v>0</v>
      </c>
      <c r="BI10">
        <f t="shared" si="24"/>
        <v>0</v>
      </c>
      <c r="BJ10">
        <f t="shared" si="24"/>
        <v>0</v>
      </c>
      <c r="BK10">
        <f t="shared" si="12"/>
        <v>12</v>
      </c>
      <c r="BL10" s="4"/>
      <c r="BM10" s="50">
        <f t="shared" si="13"/>
        <v>49</v>
      </c>
      <c r="BN10" s="32">
        <v>2.0</v>
      </c>
    </row>
    <row r="11">
      <c r="A11" s="43">
        <v>466273.0</v>
      </c>
      <c r="B11" s="55" t="s">
        <v>94</v>
      </c>
      <c r="C11" s="4"/>
      <c r="D11" s="25" t="s">
        <v>84</v>
      </c>
      <c r="E11" s="25" t="s">
        <v>84</v>
      </c>
      <c r="F11" s="27" t="s">
        <v>84</v>
      </c>
      <c r="G11" s="27" t="s">
        <v>84</v>
      </c>
      <c r="H11" s="27" t="s">
        <v>84</v>
      </c>
      <c r="I11" s="27">
        <v>1.0</v>
      </c>
      <c r="J11" s="27" t="s">
        <v>84</v>
      </c>
      <c r="K11" s="27" t="s">
        <v>84</v>
      </c>
      <c r="L11" s="27" t="s">
        <v>84</v>
      </c>
      <c r="M11" s="27" t="s">
        <v>84</v>
      </c>
      <c r="N11" s="27">
        <v>1.0</v>
      </c>
      <c r="O11" s="27" t="s">
        <v>84</v>
      </c>
      <c r="P11" s="27" t="s">
        <v>84</v>
      </c>
      <c r="Q11" s="27" t="s">
        <v>84</v>
      </c>
      <c r="R11" s="27">
        <v>1.0</v>
      </c>
      <c r="S11" s="54" t="s">
        <v>84</v>
      </c>
      <c r="T11" s="27" t="s">
        <v>85</v>
      </c>
      <c r="U11" s="27" t="s">
        <v>56</v>
      </c>
      <c r="V11" s="27" t="s">
        <v>56</v>
      </c>
      <c r="W11" s="27">
        <v>1.0</v>
      </c>
      <c r="X11" s="27" t="s">
        <v>85</v>
      </c>
      <c r="Y11" s="43">
        <v>466273.0</v>
      </c>
      <c r="Z11" s="61">
        <v>8.0</v>
      </c>
      <c r="AA11" s="61">
        <v>2.0</v>
      </c>
      <c r="AB11" s="89">
        <v>7.1</v>
      </c>
      <c r="AC11" s="62">
        <v>64199.0</v>
      </c>
      <c r="AD11" s="61">
        <v>8.0</v>
      </c>
      <c r="AE11" s="61">
        <v>1.0</v>
      </c>
      <c r="AF11" s="89">
        <v>18.11</v>
      </c>
      <c r="AG11" s="62">
        <v>831567.0</v>
      </c>
      <c r="AH11" s="61">
        <v>1.0</v>
      </c>
      <c r="AI11" s="36">
        <v>8.0</v>
      </c>
      <c r="AJ11" s="36">
        <v>1.0</v>
      </c>
      <c r="AK11" s="24">
        <v>9.12</v>
      </c>
      <c r="AL11" s="28">
        <v>5315.0</v>
      </c>
      <c r="AM11" s="36">
        <v>6.0</v>
      </c>
      <c r="AO11" s="24">
        <v>9.02</v>
      </c>
      <c r="AP11" s="28">
        <v>0.4</v>
      </c>
      <c r="AU11" s="36">
        <v>0.4</v>
      </c>
      <c r="AV11" s="36">
        <v>6.0</v>
      </c>
      <c r="AW11" s="24">
        <v>6.0</v>
      </c>
      <c r="AX11" s="28">
        <f t="shared" si="22"/>
        <v>12</v>
      </c>
      <c r="AY11" s="21">
        <f t="shared" ref="AY11:AZ11" si="25">SUM(AV11)</f>
        <v>6</v>
      </c>
      <c r="AZ11">
        <f t="shared" si="25"/>
        <v>6</v>
      </c>
      <c r="BA11">
        <f t="shared" si="7"/>
        <v>10</v>
      </c>
      <c r="BB11">
        <f t="shared" si="8"/>
        <v>9</v>
      </c>
      <c r="BC11">
        <f t="shared" si="9"/>
        <v>9</v>
      </c>
      <c r="BD11">
        <f t="shared" si="10"/>
        <v>6</v>
      </c>
      <c r="BE11">
        <f t="shared" ref="BE11:BJ11" si="26">SUM(AP11)</f>
        <v>0.4</v>
      </c>
      <c r="BF11">
        <f t="shared" si="26"/>
        <v>0</v>
      </c>
      <c r="BG11">
        <f t="shared" si="26"/>
        <v>0</v>
      </c>
      <c r="BH11">
        <f t="shared" si="26"/>
        <v>0</v>
      </c>
      <c r="BI11">
        <f t="shared" si="26"/>
        <v>0</v>
      </c>
      <c r="BJ11">
        <f t="shared" si="26"/>
        <v>0.4</v>
      </c>
      <c r="BK11">
        <f t="shared" si="12"/>
        <v>12</v>
      </c>
      <c r="BL11" s="24">
        <v>2.0</v>
      </c>
      <c r="BM11" s="50">
        <f t="shared" si="13"/>
        <v>60.8</v>
      </c>
      <c r="BN11" s="32">
        <v>2.0</v>
      </c>
    </row>
    <row r="12">
      <c r="A12" s="43">
        <v>466386.0</v>
      </c>
      <c r="B12" s="55" t="s">
        <v>95</v>
      </c>
      <c r="C12" s="24"/>
      <c r="D12" s="25" t="s">
        <v>91</v>
      </c>
      <c r="E12" s="25" t="s">
        <v>91</v>
      </c>
      <c r="F12" s="27" t="s">
        <v>84</v>
      </c>
      <c r="G12" s="27" t="s">
        <v>84</v>
      </c>
      <c r="H12" s="27" t="s">
        <v>84</v>
      </c>
      <c r="I12" s="27" t="s">
        <v>84</v>
      </c>
      <c r="J12" s="27">
        <v>2.0</v>
      </c>
      <c r="K12" s="27" t="s">
        <v>84</v>
      </c>
      <c r="L12" s="27">
        <v>1.0</v>
      </c>
      <c r="M12" s="27">
        <v>1.0</v>
      </c>
      <c r="N12" s="27" t="s">
        <v>84</v>
      </c>
      <c r="O12" s="27" t="s">
        <v>84</v>
      </c>
      <c r="P12" s="27">
        <v>1.0</v>
      </c>
      <c r="Q12" s="27">
        <v>1.0</v>
      </c>
      <c r="R12" s="27" t="s">
        <v>84</v>
      </c>
      <c r="S12" s="54" t="s">
        <v>84</v>
      </c>
      <c r="T12" s="27" t="s">
        <v>85</v>
      </c>
      <c r="U12" s="27"/>
      <c r="V12" s="27" t="s">
        <v>56</v>
      </c>
      <c r="W12" s="27">
        <v>1.0</v>
      </c>
      <c r="X12" s="27">
        <v>1.0</v>
      </c>
      <c r="Y12" s="43">
        <v>466386.0</v>
      </c>
      <c r="Z12" s="36">
        <v>6.0</v>
      </c>
      <c r="AB12" s="89">
        <v>11.11</v>
      </c>
      <c r="AC12" s="28">
        <v>963817.0</v>
      </c>
      <c r="AD12" s="36">
        <v>6.2</v>
      </c>
      <c r="AF12" s="91">
        <v>45993.0</v>
      </c>
      <c r="AG12" s="28">
        <v>7741.0</v>
      </c>
      <c r="AH12" s="36">
        <v>2.0</v>
      </c>
      <c r="AI12" s="36">
        <v>6.0</v>
      </c>
      <c r="AK12" s="24">
        <v>9.02</v>
      </c>
      <c r="AL12" s="28">
        <v>9631.0</v>
      </c>
      <c r="AM12" s="36">
        <v>6.0</v>
      </c>
      <c r="AO12" s="24">
        <v>16.02</v>
      </c>
      <c r="AP12" s="28">
        <v>1.0</v>
      </c>
      <c r="AQ12" s="36">
        <v>1.4</v>
      </c>
      <c r="AR12" s="36">
        <v>0.7</v>
      </c>
      <c r="AS12" s="36">
        <v>1.4</v>
      </c>
      <c r="AT12" s="36">
        <v>1.6</v>
      </c>
      <c r="AU12" s="36">
        <v>1.2</v>
      </c>
      <c r="AV12" s="36">
        <v>6.0</v>
      </c>
      <c r="AW12" s="24">
        <v>6.0</v>
      </c>
      <c r="AX12" s="28">
        <f>SUM(AV12:AW12)+2</f>
        <v>14</v>
      </c>
      <c r="AY12" s="21">
        <f t="shared" ref="AY12:AZ12" si="27">SUM(AV12)</f>
        <v>6</v>
      </c>
      <c r="AZ12">
        <f t="shared" si="27"/>
        <v>6</v>
      </c>
      <c r="BA12">
        <f t="shared" si="7"/>
        <v>6</v>
      </c>
      <c r="BB12">
        <f t="shared" si="8"/>
        <v>6.2</v>
      </c>
      <c r="BC12">
        <f t="shared" si="9"/>
        <v>6</v>
      </c>
      <c r="BD12">
        <f t="shared" si="10"/>
        <v>6</v>
      </c>
      <c r="BE12">
        <f t="shared" ref="BE12:BJ12" si="28">SUM(AP12)</f>
        <v>1</v>
      </c>
      <c r="BF12">
        <f t="shared" si="28"/>
        <v>1.4</v>
      </c>
      <c r="BG12">
        <f t="shared" si="28"/>
        <v>0.7</v>
      </c>
      <c r="BH12">
        <f t="shared" si="28"/>
        <v>1.4</v>
      </c>
      <c r="BI12">
        <f t="shared" si="28"/>
        <v>1.6</v>
      </c>
      <c r="BJ12">
        <f t="shared" si="28"/>
        <v>1.2</v>
      </c>
      <c r="BK12">
        <f t="shared" si="12"/>
        <v>14</v>
      </c>
      <c r="BL12" s="24">
        <v>3.0</v>
      </c>
      <c r="BM12" s="50">
        <f t="shared" si="13"/>
        <v>60.5</v>
      </c>
      <c r="BN12" s="32">
        <v>2.0</v>
      </c>
    </row>
    <row r="13">
      <c r="A13" s="36">
        <v>409255.0</v>
      </c>
      <c r="B13" s="36" t="s">
        <v>96</v>
      </c>
      <c r="D13" s="36" t="s">
        <v>85</v>
      </c>
      <c r="E13" s="36" t="s">
        <v>84</v>
      </c>
      <c r="F13" s="36" t="s">
        <v>84</v>
      </c>
      <c r="G13" s="36" t="s">
        <v>84</v>
      </c>
      <c r="H13" s="36" t="s">
        <v>84</v>
      </c>
      <c r="I13" s="36">
        <v>1.0</v>
      </c>
      <c r="J13" s="36" t="s">
        <v>85</v>
      </c>
      <c r="K13" s="36" t="s">
        <v>84</v>
      </c>
      <c r="L13" s="36" t="s">
        <v>84</v>
      </c>
      <c r="M13" s="36">
        <v>1.0</v>
      </c>
      <c r="N13" s="36">
        <v>1.0</v>
      </c>
      <c r="O13" s="36">
        <v>1.0</v>
      </c>
      <c r="P13" s="36" t="s">
        <v>84</v>
      </c>
      <c r="Q13" s="27" t="s">
        <v>85</v>
      </c>
      <c r="R13" s="36" t="s">
        <v>84</v>
      </c>
      <c r="S13" s="24">
        <v>1.0</v>
      </c>
      <c r="T13" s="36">
        <v>1.0</v>
      </c>
      <c r="U13" s="36" t="s">
        <v>56</v>
      </c>
      <c r="V13" s="36" t="s">
        <v>56</v>
      </c>
      <c r="W13" s="36" t="s">
        <v>85</v>
      </c>
      <c r="X13" s="36">
        <v>1.0</v>
      </c>
      <c r="Y13" s="36">
        <v>1.0</v>
      </c>
      <c r="Z13" s="36">
        <v>7.0</v>
      </c>
      <c r="AA13" s="36">
        <v>2.0</v>
      </c>
      <c r="AB13" s="93">
        <v>7.1</v>
      </c>
      <c r="AC13" s="36">
        <v>853163.0</v>
      </c>
      <c r="AD13" s="36">
        <v>6.0</v>
      </c>
      <c r="AE13" s="36"/>
      <c r="AF13" s="91">
        <v>45993.0</v>
      </c>
      <c r="AG13" s="36">
        <v>9990.0</v>
      </c>
      <c r="AH13" s="36">
        <v>3.0</v>
      </c>
      <c r="AI13" s="36">
        <v>6.0</v>
      </c>
      <c r="AJ13" s="36"/>
      <c r="AK13" s="36">
        <v>16.02</v>
      </c>
      <c r="AL13" s="36">
        <v>52196.0</v>
      </c>
      <c r="AM13" s="36">
        <v>6.0</v>
      </c>
      <c r="AN13" s="36"/>
      <c r="AO13" s="36">
        <v>25.02</v>
      </c>
      <c r="AP13" s="36">
        <v>1.2</v>
      </c>
      <c r="AS13" s="36">
        <v>0.5</v>
      </c>
      <c r="AT13" s="36">
        <v>1.6</v>
      </c>
      <c r="AV13" s="36">
        <v>7.5</v>
      </c>
      <c r="AW13" s="36">
        <v>6.0</v>
      </c>
      <c r="AX13" s="28">
        <f t="shared" ref="AX13:AX17" si="31">SUM(AV13:AW13)</f>
        <v>13.5</v>
      </c>
      <c r="AY13" s="21">
        <f t="shared" ref="AY13:AZ13" si="29">SUM(AV13)</f>
        <v>7.5</v>
      </c>
      <c r="AZ13">
        <f t="shared" si="29"/>
        <v>6</v>
      </c>
      <c r="BA13">
        <f t="shared" si="7"/>
        <v>9</v>
      </c>
      <c r="BB13">
        <f t="shared" si="8"/>
        <v>6</v>
      </c>
      <c r="BC13">
        <f t="shared" si="9"/>
        <v>6</v>
      </c>
      <c r="BD13">
        <f t="shared" si="10"/>
        <v>6</v>
      </c>
      <c r="BE13">
        <f t="shared" ref="BE13:BJ13" si="30">SUM(AP13)</f>
        <v>1.2</v>
      </c>
      <c r="BF13">
        <f t="shared" si="30"/>
        <v>0</v>
      </c>
      <c r="BG13">
        <f t="shared" si="30"/>
        <v>0</v>
      </c>
      <c r="BH13">
        <f t="shared" si="30"/>
        <v>0.5</v>
      </c>
      <c r="BI13">
        <f t="shared" si="30"/>
        <v>1.6</v>
      </c>
      <c r="BJ13">
        <f t="shared" si="30"/>
        <v>0</v>
      </c>
      <c r="BK13">
        <f t="shared" si="12"/>
        <v>13.5</v>
      </c>
      <c r="BL13" s="24">
        <v>3.0</v>
      </c>
      <c r="BM13" s="50">
        <f t="shared" si="13"/>
        <v>60.3</v>
      </c>
      <c r="BN13" s="32">
        <v>2.0</v>
      </c>
    </row>
    <row r="14">
      <c r="A14" s="43">
        <v>467233.0</v>
      </c>
      <c r="B14" s="55" t="s">
        <v>97</v>
      </c>
      <c r="C14" s="24"/>
      <c r="D14" s="25" t="s">
        <v>84</v>
      </c>
      <c r="E14" s="25" t="s">
        <v>84</v>
      </c>
      <c r="F14" s="27">
        <v>1.0</v>
      </c>
      <c r="G14" s="27">
        <v>1.0</v>
      </c>
      <c r="H14" s="27">
        <v>1.0</v>
      </c>
      <c r="I14" s="27" t="s">
        <v>84</v>
      </c>
      <c r="J14" s="27" t="s">
        <v>85</v>
      </c>
      <c r="K14" s="27" t="s">
        <v>85</v>
      </c>
      <c r="L14" s="27" t="s">
        <v>84</v>
      </c>
      <c r="M14" s="27" t="s">
        <v>85</v>
      </c>
      <c r="N14" s="27" t="s">
        <v>84</v>
      </c>
      <c r="O14" s="27">
        <v>1.0</v>
      </c>
      <c r="P14" s="27" t="s">
        <v>85</v>
      </c>
      <c r="Q14" s="27" t="s">
        <v>85</v>
      </c>
      <c r="R14" s="27" t="s">
        <v>85</v>
      </c>
      <c r="S14" s="54" t="s">
        <v>85</v>
      </c>
      <c r="T14" s="27">
        <v>1.0</v>
      </c>
      <c r="U14" s="27">
        <v>1.0</v>
      </c>
      <c r="V14" s="27" t="s">
        <v>56</v>
      </c>
      <c r="W14" s="27" t="s">
        <v>85</v>
      </c>
      <c r="X14" s="27" t="s">
        <v>85</v>
      </c>
      <c r="Y14" s="43">
        <v>467233.0</v>
      </c>
      <c r="Z14" s="36">
        <v>8.8</v>
      </c>
      <c r="AA14" s="36">
        <v>2.0</v>
      </c>
      <c r="AB14" s="89">
        <v>23.09</v>
      </c>
      <c r="AC14" s="28">
        <v>583167.0</v>
      </c>
      <c r="AD14" s="36">
        <v>10.0</v>
      </c>
      <c r="AE14" s="36">
        <v>2.0</v>
      </c>
      <c r="AF14" s="89">
        <v>7.1</v>
      </c>
      <c r="AG14" s="43">
        <v>467233.0</v>
      </c>
      <c r="AH14" s="36">
        <v>1.0</v>
      </c>
      <c r="AI14" s="36">
        <v>10.0</v>
      </c>
      <c r="AJ14" s="36">
        <v>2.0</v>
      </c>
      <c r="AK14" s="24">
        <v>25.11</v>
      </c>
      <c r="AL14" s="28">
        <v>448.0</v>
      </c>
      <c r="AM14" s="36">
        <v>8.0</v>
      </c>
      <c r="AN14" s="36"/>
      <c r="AO14" s="24">
        <v>10.01</v>
      </c>
      <c r="AP14" s="28">
        <v>1.4</v>
      </c>
      <c r="AS14" s="36">
        <v>0.3</v>
      </c>
      <c r="AT14" s="36">
        <v>2.0</v>
      </c>
      <c r="AU14" s="36">
        <v>1.6</v>
      </c>
      <c r="AV14" s="36">
        <v>8.0</v>
      </c>
      <c r="AW14" s="24">
        <v>8.5</v>
      </c>
      <c r="AX14" s="28">
        <f t="shared" si="31"/>
        <v>16.5</v>
      </c>
      <c r="AY14" s="21">
        <f t="shared" ref="AY14:AZ14" si="32">SUM(AV14)</f>
        <v>8</v>
      </c>
      <c r="AZ14">
        <f t="shared" si="32"/>
        <v>8.5</v>
      </c>
      <c r="BA14">
        <f t="shared" si="7"/>
        <v>10.8</v>
      </c>
      <c r="BB14">
        <f t="shared" si="8"/>
        <v>12</v>
      </c>
      <c r="BC14">
        <f t="shared" si="9"/>
        <v>12</v>
      </c>
      <c r="BD14">
        <f t="shared" si="10"/>
        <v>8</v>
      </c>
      <c r="BE14">
        <f t="shared" ref="BE14:BJ14" si="33">SUM(AP14)</f>
        <v>1.4</v>
      </c>
      <c r="BF14">
        <f t="shared" si="33"/>
        <v>0</v>
      </c>
      <c r="BG14">
        <f t="shared" si="33"/>
        <v>0</v>
      </c>
      <c r="BH14">
        <f t="shared" si="33"/>
        <v>0.3</v>
      </c>
      <c r="BI14">
        <f t="shared" si="33"/>
        <v>2</v>
      </c>
      <c r="BJ14">
        <f t="shared" si="33"/>
        <v>1.6</v>
      </c>
      <c r="BK14">
        <f t="shared" si="12"/>
        <v>16.5</v>
      </c>
      <c r="BL14" s="4"/>
      <c r="BM14" s="50">
        <f t="shared" si="13"/>
        <v>81.1</v>
      </c>
      <c r="BN14" s="32">
        <v>1.0</v>
      </c>
    </row>
    <row r="15">
      <c r="A15" s="43">
        <v>467234.0</v>
      </c>
      <c r="B15" s="55" t="s">
        <v>98</v>
      </c>
      <c r="D15" s="25" t="s">
        <v>84</v>
      </c>
      <c r="E15" s="25" t="s">
        <v>84</v>
      </c>
      <c r="F15" s="27" t="s">
        <v>85</v>
      </c>
      <c r="G15" s="27" t="s">
        <v>85</v>
      </c>
      <c r="H15" s="27" t="s">
        <v>85</v>
      </c>
      <c r="I15" s="27" t="s">
        <v>85</v>
      </c>
      <c r="J15" s="27">
        <v>1.0</v>
      </c>
      <c r="K15" s="27" t="s">
        <v>84</v>
      </c>
      <c r="L15" s="27">
        <v>1.0</v>
      </c>
      <c r="M15" s="27">
        <v>1.0</v>
      </c>
      <c r="N15" s="27" t="s">
        <v>84</v>
      </c>
      <c r="O15" s="27" t="s">
        <v>84</v>
      </c>
      <c r="P15" s="27" t="s">
        <v>84</v>
      </c>
      <c r="Q15" s="27">
        <v>1.0</v>
      </c>
      <c r="R15" s="27">
        <v>1.0</v>
      </c>
      <c r="S15" s="54" t="s">
        <v>85</v>
      </c>
      <c r="T15" s="27" t="s">
        <v>85</v>
      </c>
      <c r="U15" s="27">
        <v>1.0</v>
      </c>
      <c r="V15" s="27">
        <v>1.0</v>
      </c>
      <c r="W15" s="27">
        <v>1.0</v>
      </c>
      <c r="X15" s="27" t="s">
        <v>85</v>
      </c>
      <c r="Y15" s="43">
        <v>467234.0</v>
      </c>
      <c r="Z15" s="36">
        <v>6.0</v>
      </c>
      <c r="AB15" s="93">
        <v>18.11</v>
      </c>
      <c r="AC15" s="28">
        <v>6319673.0</v>
      </c>
      <c r="AD15" s="36">
        <v>6.6</v>
      </c>
      <c r="AF15" s="93">
        <v>9.12</v>
      </c>
      <c r="AG15" s="43">
        <v>467234.0</v>
      </c>
      <c r="AH15" s="36">
        <v>4.0</v>
      </c>
      <c r="AI15" s="36">
        <v>6.0</v>
      </c>
      <c r="AK15" s="36">
        <v>20.01</v>
      </c>
      <c r="AL15" s="28">
        <v>449.0</v>
      </c>
      <c r="AM15" s="36">
        <v>6.0</v>
      </c>
      <c r="AO15" s="36">
        <v>9.02</v>
      </c>
      <c r="AP15" s="28"/>
      <c r="AV15" s="36">
        <v>6.5</v>
      </c>
      <c r="AW15" s="36">
        <v>6.0</v>
      </c>
      <c r="AX15" s="28">
        <f t="shared" si="31"/>
        <v>12.5</v>
      </c>
      <c r="AY15" s="21">
        <f t="shared" ref="AY15:AZ15" si="34">SUM(AV15)</f>
        <v>6.5</v>
      </c>
      <c r="AZ15">
        <f t="shared" si="34"/>
        <v>6</v>
      </c>
      <c r="BA15">
        <f t="shared" si="7"/>
        <v>6</v>
      </c>
      <c r="BB15">
        <f t="shared" si="8"/>
        <v>6.6</v>
      </c>
      <c r="BC15">
        <f t="shared" si="9"/>
        <v>6</v>
      </c>
      <c r="BD15">
        <f t="shared" si="10"/>
        <v>6</v>
      </c>
      <c r="BE15">
        <f t="shared" ref="BE15:BJ15" si="35">SUM(AP15)</f>
        <v>0</v>
      </c>
      <c r="BF15">
        <f t="shared" si="35"/>
        <v>0</v>
      </c>
      <c r="BG15">
        <f t="shared" si="35"/>
        <v>0</v>
      </c>
      <c r="BH15">
        <f t="shared" si="35"/>
        <v>0</v>
      </c>
      <c r="BI15">
        <f t="shared" si="35"/>
        <v>0</v>
      </c>
      <c r="BJ15">
        <f t="shared" si="35"/>
        <v>0</v>
      </c>
      <c r="BK15">
        <f t="shared" si="12"/>
        <v>12.5</v>
      </c>
      <c r="BL15" s="4"/>
      <c r="BM15" s="50">
        <f t="shared" si="13"/>
        <v>49.6</v>
      </c>
      <c r="BN15" s="32">
        <v>2.0</v>
      </c>
    </row>
    <row r="16">
      <c r="A16" s="43">
        <v>467537.0</v>
      </c>
      <c r="B16" s="55" t="s">
        <v>99</v>
      </c>
      <c r="D16" s="25" t="s">
        <v>91</v>
      </c>
      <c r="E16" s="25" t="s">
        <v>84</v>
      </c>
      <c r="F16" s="27" t="s">
        <v>84</v>
      </c>
      <c r="G16" s="27" t="s">
        <v>84</v>
      </c>
      <c r="H16" s="27" t="s">
        <v>85</v>
      </c>
      <c r="I16" s="27">
        <v>1.0</v>
      </c>
      <c r="J16" s="27" t="s">
        <v>85</v>
      </c>
      <c r="K16" s="27" t="s">
        <v>84</v>
      </c>
      <c r="L16" s="27">
        <v>1.0</v>
      </c>
      <c r="M16" s="27">
        <v>1.0</v>
      </c>
      <c r="N16" s="27" t="s">
        <v>84</v>
      </c>
      <c r="O16" s="27" t="s">
        <v>84</v>
      </c>
      <c r="P16" s="27" t="s">
        <v>84</v>
      </c>
      <c r="Q16" s="27" t="s">
        <v>85</v>
      </c>
      <c r="R16" s="27">
        <v>1.0</v>
      </c>
      <c r="S16" s="54">
        <v>1.0</v>
      </c>
      <c r="T16" s="27" t="s">
        <v>85</v>
      </c>
      <c r="U16" s="27"/>
      <c r="V16" s="27" t="s">
        <v>56</v>
      </c>
      <c r="W16" s="27" t="s">
        <v>85</v>
      </c>
      <c r="X16" s="27" t="s">
        <v>85</v>
      </c>
      <c r="Y16" s="43">
        <v>467537.0</v>
      </c>
      <c r="Z16" s="36">
        <v>8.0</v>
      </c>
      <c r="AA16" s="36">
        <v>2.0</v>
      </c>
      <c r="AB16" s="93">
        <v>7.1</v>
      </c>
      <c r="AC16" s="51">
        <v>76521.0</v>
      </c>
      <c r="AD16" s="36">
        <v>8.0</v>
      </c>
      <c r="AF16" s="93">
        <v>17.11</v>
      </c>
      <c r="AG16" s="28">
        <v>754219.0</v>
      </c>
      <c r="AH16" s="36">
        <v>5.0</v>
      </c>
      <c r="AI16" s="36">
        <v>9.5</v>
      </c>
      <c r="AJ16" s="36">
        <v>1.0</v>
      </c>
      <c r="AK16" s="36">
        <v>9.12</v>
      </c>
      <c r="AL16" s="28">
        <v>5888.0</v>
      </c>
      <c r="AM16" s="36">
        <v>6.0</v>
      </c>
      <c r="AO16" s="36">
        <v>10.01</v>
      </c>
      <c r="AP16" s="28">
        <v>0.1</v>
      </c>
      <c r="AV16" s="36">
        <v>6.0</v>
      </c>
      <c r="AW16" s="36">
        <v>6.0</v>
      </c>
      <c r="AX16" s="28">
        <f t="shared" si="31"/>
        <v>12</v>
      </c>
      <c r="AY16" s="21">
        <f t="shared" ref="AY16:AZ16" si="36">SUM(AV16)</f>
        <v>6</v>
      </c>
      <c r="AZ16">
        <f t="shared" si="36"/>
        <v>6</v>
      </c>
      <c r="BA16">
        <f t="shared" si="7"/>
        <v>10</v>
      </c>
      <c r="BB16">
        <f t="shared" si="8"/>
        <v>8</v>
      </c>
      <c r="BC16">
        <f t="shared" si="9"/>
        <v>10.5</v>
      </c>
      <c r="BD16">
        <f t="shared" si="10"/>
        <v>6</v>
      </c>
      <c r="BE16">
        <f t="shared" ref="BE16:BJ16" si="37">SUM(AP16)</f>
        <v>0.1</v>
      </c>
      <c r="BF16">
        <f t="shared" si="37"/>
        <v>0</v>
      </c>
      <c r="BG16">
        <f t="shared" si="37"/>
        <v>0</v>
      </c>
      <c r="BH16">
        <f t="shared" si="37"/>
        <v>0</v>
      </c>
      <c r="BI16">
        <f t="shared" si="37"/>
        <v>0</v>
      </c>
      <c r="BJ16">
        <f t="shared" si="37"/>
        <v>0</v>
      </c>
      <c r="BK16">
        <f t="shared" si="12"/>
        <v>12</v>
      </c>
      <c r="BL16" s="24">
        <v>2.0</v>
      </c>
      <c r="BM16" s="50">
        <f t="shared" si="13"/>
        <v>60.6</v>
      </c>
      <c r="BN16" s="32">
        <v>1.0</v>
      </c>
    </row>
    <row r="17">
      <c r="A17" s="43">
        <v>407956.0</v>
      </c>
      <c r="B17" s="55" t="s">
        <v>100</v>
      </c>
      <c r="D17" s="25" t="s">
        <v>91</v>
      </c>
      <c r="E17" s="25" t="s">
        <v>84</v>
      </c>
      <c r="F17" s="27" t="s">
        <v>85</v>
      </c>
      <c r="G17" s="27" t="s">
        <v>84</v>
      </c>
      <c r="H17" s="27" t="s">
        <v>85</v>
      </c>
      <c r="I17" s="27">
        <v>1.0</v>
      </c>
      <c r="J17" s="27">
        <v>1.0</v>
      </c>
      <c r="K17" s="27">
        <v>1.0</v>
      </c>
      <c r="L17" s="27">
        <v>1.0</v>
      </c>
      <c r="M17" s="27">
        <v>1.0</v>
      </c>
      <c r="N17" s="27" t="s">
        <v>84</v>
      </c>
      <c r="O17" s="27" t="s">
        <v>84</v>
      </c>
      <c r="P17" s="27" t="s">
        <v>84</v>
      </c>
      <c r="Q17" s="27" t="s">
        <v>85</v>
      </c>
      <c r="R17" s="27" t="s">
        <v>84</v>
      </c>
      <c r="S17" s="54" t="s">
        <v>85</v>
      </c>
      <c r="T17" s="27">
        <v>1.0</v>
      </c>
      <c r="U17" s="27">
        <v>1.0</v>
      </c>
      <c r="V17" s="27">
        <v>1.0</v>
      </c>
      <c r="W17" s="27" t="s">
        <v>85</v>
      </c>
      <c r="X17" s="27">
        <v>1.0</v>
      </c>
      <c r="Y17" s="43">
        <v>407956.0</v>
      </c>
      <c r="Z17" s="36">
        <v>7.0</v>
      </c>
      <c r="AB17" s="93">
        <v>11.11</v>
      </c>
      <c r="AC17" s="28">
        <v>2345.0</v>
      </c>
      <c r="AD17" s="36">
        <v>6.0</v>
      </c>
      <c r="AF17" s="93">
        <v>24.11</v>
      </c>
      <c r="AG17" s="28">
        <v>995254.0</v>
      </c>
      <c r="AH17" s="36">
        <v>3.0</v>
      </c>
      <c r="AI17" s="36">
        <v>6.0</v>
      </c>
      <c r="AK17" s="36">
        <v>10.01</v>
      </c>
      <c r="AL17" s="28">
        <v>763.0</v>
      </c>
      <c r="AM17" s="36">
        <v>6.0</v>
      </c>
      <c r="AO17" s="36">
        <v>16.02</v>
      </c>
      <c r="AP17" s="28"/>
      <c r="AQ17" s="36">
        <v>0.1</v>
      </c>
      <c r="AV17" s="36">
        <v>6.0</v>
      </c>
      <c r="AW17" s="36">
        <v>6.0</v>
      </c>
      <c r="AX17" s="28">
        <f t="shared" si="31"/>
        <v>12</v>
      </c>
      <c r="AY17" s="21">
        <f t="shared" ref="AY17:AZ17" si="38">SUM(AV17)</f>
        <v>6</v>
      </c>
      <c r="AZ17">
        <f t="shared" si="38"/>
        <v>6</v>
      </c>
      <c r="BA17">
        <f t="shared" si="7"/>
        <v>7</v>
      </c>
      <c r="BB17">
        <f t="shared" si="8"/>
        <v>6</v>
      </c>
      <c r="BC17">
        <f t="shared" si="9"/>
        <v>6</v>
      </c>
      <c r="BD17">
        <f t="shared" si="10"/>
        <v>6</v>
      </c>
      <c r="BE17">
        <f t="shared" ref="BE17:BJ17" si="39">SUM(AP17)</f>
        <v>0</v>
      </c>
      <c r="BF17">
        <f t="shared" si="39"/>
        <v>0.1</v>
      </c>
      <c r="BG17">
        <f t="shared" si="39"/>
        <v>0</v>
      </c>
      <c r="BH17">
        <f t="shared" si="39"/>
        <v>0</v>
      </c>
      <c r="BI17">
        <f t="shared" si="39"/>
        <v>0</v>
      </c>
      <c r="BJ17">
        <f t="shared" si="39"/>
        <v>0</v>
      </c>
      <c r="BK17">
        <f t="shared" si="12"/>
        <v>12</v>
      </c>
      <c r="BL17" s="4"/>
      <c r="BM17" s="50">
        <f t="shared" si="13"/>
        <v>49.1</v>
      </c>
      <c r="BN17" s="32">
        <v>2.0</v>
      </c>
    </row>
    <row r="18">
      <c r="A18" s="94">
        <v>368883.0</v>
      </c>
      <c r="B18" s="55" t="s">
        <v>101</v>
      </c>
      <c r="D18" s="25" t="s">
        <v>85</v>
      </c>
      <c r="E18" s="25" t="s">
        <v>85</v>
      </c>
      <c r="F18" s="27" t="s">
        <v>85</v>
      </c>
      <c r="G18" s="27" t="s">
        <v>85</v>
      </c>
      <c r="H18" s="27" t="s">
        <v>84</v>
      </c>
      <c r="I18" s="27" t="s">
        <v>85</v>
      </c>
      <c r="J18" s="27" t="s">
        <v>85</v>
      </c>
      <c r="K18" s="27" t="s">
        <v>85</v>
      </c>
      <c r="L18" s="27" t="s">
        <v>85</v>
      </c>
      <c r="M18" s="27" t="s">
        <v>85</v>
      </c>
      <c r="N18" s="27" t="s">
        <v>85</v>
      </c>
      <c r="O18" s="27" t="s">
        <v>85</v>
      </c>
      <c r="P18" s="27" t="s">
        <v>85</v>
      </c>
      <c r="Q18" s="27" t="s">
        <v>84</v>
      </c>
      <c r="R18" s="27" t="s">
        <v>85</v>
      </c>
      <c r="S18" s="54" t="s">
        <v>85</v>
      </c>
      <c r="T18" s="27" t="s">
        <v>85</v>
      </c>
      <c r="U18" s="27"/>
      <c r="V18" s="27" t="s">
        <v>56</v>
      </c>
      <c r="W18" s="27" t="s">
        <v>85</v>
      </c>
      <c r="X18" s="27" t="s">
        <v>85</v>
      </c>
      <c r="Y18" s="43"/>
      <c r="AB18" s="93"/>
      <c r="AC18" s="28"/>
      <c r="AF18" s="95"/>
      <c r="AG18" s="28"/>
      <c r="AH18" s="36">
        <v>4.0</v>
      </c>
      <c r="AL18" s="28"/>
      <c r="AO18" s="85"/>
      <c r="AP18" s="28"/>
      <c r="AX18" s="28"/>
      <c r="AY18" s="21">
        <f t="shared" ref="AY18:AZ18" si="40">SUM(AV18)</f>
        <v>0</v>
      </c>
      <c r="AZ18">
        <f t="shared" si="40"/>
        <v>0</v>
      </c>
      <c r="BA18">
        <f t="shared" si="7"/>
        <v>0</v>
      </c>
      <c r="BB18">
        <f t="shared" si="8"/>
        <v>0</v>
      </c>
      <c r="BC18">
        <f t="shared" si="9"/>
        <v>0</v>
      </c>
      <c r="BD18">
        <f t="shared" si="10"/>
        <v>0</v>
      </c>
      <c r="BE18">
        <f t="shared" ref="BE18:BJ18" si="41">SUM(AP18)</f>
        <v>0</v>
      </c>
      <c r="BF18">
        <f t="shared" si="41"/>
        <v>0</v>
      </c>
      <c r="BG18">
        <f t="shared" si="41"/>
        <v>0</v>
      </c>
      <c r="BH18">
        <f t="shared" si="41"/>
        <v>0</v>
      </c>
      <c r="BI18">
        <f t="shared" si="41"/>
        <v>0</v>
      </c>
      <c r="BJ18">
        <f t="shared" si="41"/>
        <v>0</v>
      </c>
      <c r="BK18">
        <f t="shared" si="12"/>
        <v>0</v>
      </c>
      <c r="BL18" s="4"/>
      <c r="BM18" s="50">
        <f t="shared" si="13"/>
        <v>0</v>
      </c>
      <c r="BN18" s="32"/>
    </row>
    <row r="19">
      <c r="A19" s="43">
        <v>372856.0</v>
      </c>
      <c r="B19" s="55" t="s">
        <v>102</v>
      </c>
      <c r="C19" s="24"/>
      <c r="D19" s="25" t="s">
        <v>84</v>
      </c>
      <c r="E19" s="25" t="s">
        <v>84</v>
      </c>
      <c r="F19" s="27" t="s">
        <v>84</v>
      </c>
      <c r="G19" s="27" t="s">
        <v>84</v>
      </c>
      <c r="H19" s="27" t="s">
        <v>84</v>
      </c>
      <c r="I19" s="27" t="s">
        <v>84</v>
      </c>
      <c r="J19" s="27">
        <v>1.0</v>
      </c>
      <c r="K19" s="27">
        <v>2.0</v>
      </c>
      <c r="L19" s="27">
        <v>1.0</v>
      </c>
      <c r="M19" s="27" t="s">
        <v>84</v>
      </c>
      <c r="N19" s="27" t="s">
        <v>84</v>
      </c>
      <c r="O19" s="27" t="s">
        <v>84</v>
      </c>
      <c r="P19" s="27">
        <v>1.0</v>
      </c>
      <c r="Q19" s="27">
        <v>1.0</v>
      </c>
      <c r="R19" s="27">
        <v>1.0</v>
      </c>
      <c r="S19" s="54" t="s">
        <v>84</v>
      </c>
      <c r="T19" s="27">
        <v>1.0</v>
      </c>
      <c r="U19" s="27">
        <v>1.0</v>
      </c>
      <c r="V19" s="27">
        <v>1.0</v>
      </c>
      <c r="W19" s="27" t="s">
        <v>85</v>
      </c>
      <c r="X19" s="27">
        <v>1.0</v>
      </c>
      <c r="Y19" s="43">
        <v>372856.0</v>
      </c>
      <c r="Z19" s="36">
        <v>6.0</v>
      </c>
      <c r="AB19" s="89">
        <v>11.11</v>
      </c>
      <c r="AC19" s="28">
        <v>987534.0</v>
      </c>
      <c r="AD19" s="36">
        <v>6.5</v>
      </c>
      <c r="AF19" s="89">
        <v>4.12</v>
      </c>
      <c r="AG19" s="43">
        <v>372856.0</v>
      </c>
      <c r="AH19" s="36">
        <v>1.0</v>
      </c>
      <c r="AI19" s="36">
        <v>6.0</v>
      </c>
      <c r="AK19" s="24">
        <v>20.01</v>
      </c>
      <c r="AL19" s="28">
        <v>450.0</v>
      </c>
      <c r="AM19" s="36">
        <v>6.0</v>
      </c>
      <c r="AO19" s="24">
        <v>16.02</v>
      </c>
      <c r="AP19" s="28">
        <v>0.5</v>
      </c>
      <c r="AQ19" s="36">
        <v>0.5</v>
      </c>
      <c r="AT19" s="36">
        <v>1.2</v>
      </c>
      <c r="AU19" s="36">
        <v>1.2</v>
      </c>
      <c r="AV19" s="36">
        <v>6.0</v>
      </c>
      <c r="AW19" s="24">
        <v>7.5</v>
      </c>
      <c r="AX19" s="28">
        <f>SUM(AV19:AW19)+3</f>
        <v>16.5</v>
      </c>
      <c r="AY19" s="21">
        <f t="shared" ref="AY19:AZ19" si="42">SUM(AV19)</f>
        <v>6</v>
      </c>
      <c r="AZ19">
        <f t="shared" si="42"/>
        <v>7.5</v>
      </c>
      <c r="BA19">
        <f t="shared" si="7"/>
        <v>6</v>
      </c>
      <c r="BB19">
        <f t="shared" si="8"/>
        <v>6.5</v>
      </c>
      <c r="BC19">
        <f t="shared" si="9"/>
        <v>6</v>
      </c>
      <c r="BD19">
        <f t="shared" si="10"/>
        <v>6</v>
      </c>
      <c r="BE19">
        <f t="shared" ref="BE19:BJ19" si="43">SUM(AP19)</f>
        <v>0.5</v>
      </c>
      <c r="BF19">
        <f t="shared" si="43"/>
        <v>0.5</v>
      </c>
      <c r="BG19">
        <f t="shared" si="43"/>
        <v>0</v>
      </c>
      <c r="BH19">
        <f t="shared" si="43"/>
        <v>0</v>
      </c>
      <c r="BI19">
        <f t="shared" si="43"/>
        <v>1.2</v>
      </c>
      <c r="BJ19">
        <f t="shared" si="43"/>
        <v>1.2</v>
      </c>
      <c r="BK19">
        <f t="shared" si="12"/>
        <v>16.5</v>
      </c>
      <c r="BL19" s="24">
        <v>3.0</v>
      </c>
      <c r="BM19" s="50">
        <f t="shared" si="13"/>
        <v>60.9</v>
      </c>
      <c r="BN19" s="32">
        <v>2.0</v>
      </c>
    </row>
    <row r="20">
      <c r="A20" s="43">
        <v>467871.0</v>
      </c>
      <c r="B20" s="55" t="s">
        <v>103</v>
      </c>
      <c r="C20" s="24"/>
      <c r="D20" s="25" t="s">
        <v>84</v>
      </c>
      <c r="E20" s="25" t="s">
        <v>84</v>
      </c>
      <c r="F20" s="27" t="s">
        <v>84</v>
      </c>
      <c r="G20" s="27" t="s">
        <v>84</v>
      </c>
      <c r="H20" s="27" t="s">
        <v>84</v>
      </c>
      <c r="I20" s="27" t="s">
        <v>84</v>
      </c>
      <c r="J20" s="27" t="s">
        <v>85</v>
      </c>
      <c r="K20" s="27" t="s">
        <v>85</v>
      </c>
      <c r="L20" s="27" t="s">
        <v>85</v>
      </c>
      <c r="M20" s="27" t="s">
        <v>85</v>
      </c>
      <c r="N20" s="27" t="s">
        <v>85</v>
      </c>
      <c r="O20" s="27" t="s">
        <v>85</v>
      </c>
      <c r="P20" s="27" t="s">
        <v>85</v>
      </c>
      <c r="Q20" s="27" t="s">
        <v>85</v>
      </c>
      <c r="R20" s="27" t="s">
        <v>85</v>
      </c>
      <c r="S20" s="54" t="s">
        <v>85</v>
      </c>
      <c r="T20" s="27" t="s">
        <v>85</v>
      </c>
      <c r="U20" s="27"/>
      <c r="V20" s="27" t="s">
        <v>56</v>
      </c>
      <c r="W20" s="27" t="s">
        <v>85</v>
      </c>
      <c r="X20" s="27" t="s">
        <v>85</v>
      </c>
      <c r="Y20" s="43">
        <v>467871.0</v>
      </c>
      <c r="AB20" s="24"/>
      <c r="AC20" s="28"/>
      <c r="AF20" s="89"/>
      <c r="AG20" s="28"/>
      <c r="AH20" s="36">
        <v>2.0</v>
      </c>
      <c r="AK20" s="24"/>
      <c r="AL20" s="28"/>
      <c r="AO20" s="33"/>
      <c r="AP20" s="28">
        <v>0.2</v>
      </c>
      <c r="AV20" s="36">
        <v>0.01</v>
      </c>
      <c r="AW20" s="24"/>
      <c r="AX20" s="28"/>
      <c r="AY20" s="21">
        <f t="shared" ref="AY20:AZ20" si="44">SUM(AV20)</f>
        <v>0.01</v>
      </c>
      <c r="AZ20">
        <f t="shared" si="44"/>
        <v>0</v>
      </c>
      <c r="BA20">
        <f t="shared" si="7"/>
        <v>0</v>
      </c>
      <c r="BB20">
        <f t="shared" si="8"/>
        <v>0</v>
      </c>
      <c r="BC20">
        <f t="shared" si="9"/>
        <v>0</v>
      </c>
      <c r="BD20">
        <f t="shared" si="10"/>
        <v>0</v>
      </c>
      <c r="BE20">
        <f t="shared" ref="BE20:BJ20" si="45">SUM(AP20)</f>
        <v>0.2</v>
      </c>
      <c r="BF20">
        <f t="shared" si="45"/>
        <v>0</v>
      </c>
      <c r="BG20">
        <f t="shared" si="45"/>
        <v>0</v>
      </c>
      <c r="BH20">
        <f t="shared" si="45"/>
        <v>0</v>
      </c>
      <c r="BI20">
        <f t="shared" si="45"/>
        <v>0</v>
      </c>
      <c r="BJ20">
        <f t="shared" si="45"/>
        <v>0</v>
      </c>
      <c r="BK20">
        <f t="shared" si="12"/>
        <v>0</v>
      </c>
      <c r="BL20" s="4"/>
      <c r="BM20" s="50">
        <f t="shared" si="13"/>
        <v>0.21</v>
      </c>
      <c r="BN20" s="32"/>
    </row>
    <row r="21">
      <c r="A21" s="43">
        <v>468105.0</v>
      </c>
      <c r="B21" s="55" t="s">
        <v>104</v>
      </c>
      <c r="C21" s="4"/>
      <c r="D21" s="25" t="s">
        <v>91</v>
      </c>
      <c r="E21" s="25" t="s">
        <v>91</v>
      </c>
      <c r="F21" s="27" t="s">
        <v>85</v>
      </c>
      <c r="G21" s="27" t="s">
        <v>85</v>
      </c>
      <c r="H21" s="27" t="s">
        <v>85</v>
      </c>
      <c r="I21" s="27" t="s">
        <v>85</v>
      </c>
      <c r="J21" s="27" t="s">
        <v>85</v>
      </c>
      <c r="K21" s="27" t="s">
        <v>84</v>
      </c>
      <c r="L21" s="27">
        <v>1.0</v>
      </c>
      <c r="M21" s="27" t="s">
        <v>84</v>
      </c>
      <c r="N21" s="27">
        <v>1.0</v>
      </c>
      <c r="O21" s="27">
        <v>1.0</v>
      </c>
      <c r="P21" s="27" t="s">
        <v>85</v>
      </c>
      <c r="Q21" s="27" t="s">
        <v>85</v>
      </c>
      <c r="R21" s="27" t="s">
        <v>84</v>
      </c>
      <c r="S21" s="54" t="s">
        <v>85</v>
      </c>
      <c r="T21" s="27" t="s">
        <v>85</v>
      </c>
      <c r="U21" s="27"/>
      <c r="V21" s="27" t="s">
        <v>56</v>
      </c>
      <c r="W21" s="27" t="s">
        <v>85</v>
      </c>
      <c r="X21" s="27">
        <v>1.0</v>
      </c>
      <c r="Y21" s="43">
        <v>468105.0</v>
      </c>
      <c r="Z21" s="36">
        <v>6.0</v>
      </c>
      <c r="AB21" s="24">
        <v>18.11</v>
      </c>
      <c r="AC21" s="28">
        <v>87654.0</v>
      </c>
      <c r="AD21" s="36">
        <v>7.0</v>
      </c>
      <c r="AF21" s="89">
        <v>24.11</v>
      </c>
      <c r="AG21" s="43">
        <v>468105.0</v>
      </c>
      <c r="AH21" s="36">
        <v>4.0</v>
      </c>
      <c r="AI21" s="36">
        <v>6.0</v>
      </c>
      <c r="AK21" s="24">
        <v>16.02</v>
      </c>
      <c r="AL21" s="28">
        <v>69318.0</v>
      </c>
      <c r="AM21" s="36">
        <v>6.0</v>
      </c>
      <c r="AO21" s="24">
        <v>25.02</v>
      </c>
      <c r="AP21" s="21"/>
      <c r="AV21" s="36">
        <v>6.0</v>
      </c>
      <c r="AW21" s="24">
        <v>6.5</v>
      </c>
      <c r="AX21" s="28">
        <f>SUM(AV21:AW21)+7</f>
        <v>19.5</v>
      </c>
      <c r="AY21" s="21">
        <f t="shared" ref="AY21:AZ21" si="46">SUM(AV21)</f>
        <v>6</v>
      </c>
      <c r="AZ21">
        <f t="shared" si="46"/>
        <v>6.5</v>
      </c>
      <c r="BA21">
        <f t="shared" si="7"/>
        <v>6</v>
      </c>
      <c r="BB21">
        <f t="shared" si="8"/>
        <v>7</v>
      </c>
      <c r="BC21">
        <f t="shared" si="9"/>
        <v>6</v>
      </c>
      <c r="BD21">
        <f t="shared" si="10"/>
        <v>6</v>
      </c>
      <c r="BE21">
        <f t="shared" ref="BE21:BJ21" si="47">SUM(AP21)</f>
        <v>0</v>
      </c>
      <c r="BF21">
        <f t="shared" si="47"/>
        <v>0</v>
      </c>
      <c r="BG21">
        <f t="shared" si="47"/>
        <v>0</v>
      </c>
      <c r="BH21">
        <f t="shared" si="47"/>
        <v>0</v>
      </c>
      <c r="BI21">
        <f t="shared" si="47"/>
        <v>0</v>
      </c>
      <c r="BJ21">
        <f t="shared" si="47"/>
        <v>0</v>
      </c>
      <c r="BK21">
        <f t="shared" si="12"/>
        <v>19.5</v>
      </c>
      <c r="BL21" s="24">
        <v>3.0</v>
      </c>
      <c r="BM21" s="50">
        <f t="shared" si="13"/>
        <v>60</v>
      </c>
      <c r="BN21" s="32">
        <v>2.0</v>
      </c>
    </row>
    <row r="22">
      <c r="A22" s="36"/>
      <c r="Y22" s="36"/>
      <c r="Z22" s="36"/>
      <c r="AA22" s="36"/>
      <c r="AB22" s="37"/>
      <c r="AD22" s="36"/>
      <c r="AE22" s="36"/>
      <c r="AF22" s="37"/>
      <c r="AI22" s="36"/>
      <c r="AJ22" s="36"/>
      <c r="AK22" s="37"/>
      <c r="AM22" s="36"/>
      <c r="AN22" s="36"/>
      <c r="AO22" s="36"/>
      <c r="AP22" s="36"/>
      <c r="BM22" s="39"/>
      <c r="BN22" s="32"/>
    </row>
    <row r="23">
      <c r="AV23" s="36">
        <f t="shared" ref="AV23:AW23" si="48">COUNTA($B$4:$B$21)-COUNTIF(AV4:AV21,"&gt;=6")</f>
        <v>2</v>
      </c>
      <c r="AW23" s="36">
        <f t="shared" si="48"/>
        <v>2</v>
      </c>
    </row>
  </sheetData>
  <mergeCells count="50">
    <mergeCell ref="AF2:AF3"/>
    <mergeCell ref="AG2:AG3"/>
    <mergeCell ref="A1:B1"/>
    <mergeCell ref="C1:C3"/>
    <mergeCell ref="D1:S1"/>
    <mergeCell ref="Y1:AB1"/>
    <mergeCell ref="AC1:AF1"/>
    <mergeCell ref="AG1:AK1"/>
    <mergeCell ref="AL1:AO1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AB2:AB3"/>
    <mergeCell ref="AC2:AC3"/>
    <mergeCell ref="AS2:AS3"/>
    <mergeCell ref="AT2:AT3"/>
    <mergeCell ref="AU2:AU3"/>
    <mergeCell ref="AV2:AV3"/>
    <mergeCell ref="AW2:AW3"/>
    <mergeCell ref="AX2:AX3"/>
    <mergeCell ref="AY1:BK2"/>
    <mergeCell ref="BM1:BM3"/>
    <mergeCell ref="BN1:BN3"/>
    <mergeCell ref="AK2:AK3"/>
    <mergeCell ref="AL2:AL3"/>
    <mergeCell ref="AO2:AO3"/>
    <mergeCell ref="AP2:AP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Q2:AQ3"/>
    <mergeCell ref="AR2:AR3"/>
  </mergeCells>
  <conditionalFormatting sqref="AF4">
    <cfRule type="timePeriod" dxfId="0" priority="1" timePeriod="last7Days"/>
  </conditionalFormatting>
  <conditionalFormatting sqref="AK4">
    <cfRule type="timePeriod" dxfId="0" priority="2" timePeriod="last7Days"/>
  </conditionalFormatting>
  <conditionalFormatting sqref="AK4">
    <cfRule type="timePeriod" dxfId="0" priority="3" timePeriod="last7Days"/>
  </conditionalFormatting>
  <conditionalFormatting sqref="AF4 AK4">
    <cfRule type="timePeriod" dxfId="0" priority="4" timePeriod="last7Days"/>
  </conditionalFormatting>
  <conditionalFormatting sqref="AK4">
    <cfRule type="timePeriod" dxfId="0" priority="5" timePeriod="last7Days"/>
  </conditionalFormatting>
  <conditionalFormatting sqref="AY4:BL23">
    <cfRule type="cellIs" dxfId="1" priority="6" operator="lessThan">
      <formula>0.1</formula>
    </cfRule>
  </conditionalFormatting>
  <conditionalFormatting sqref="AY4:BL23">
    <cfRule type="cellIs" dxfId="2" priority="7" operator="greaterThan">
      <formula>0.1</formula>
    </cfRule>
  </conditionalFormatting>
  <conditionalFormatting sqref="BM4:BN23">
    <cfRule type="cellIs" dxfId="3" priority="8" operator="between">
      <formula>60</formula>
      <formula>68</formula>
    </cfRule>
  </conditionalFormatting>
  <conditionalFormatting sqref="BM4:BN23">
    <cfRule type="cellIs" dxfId="4" priority="9" operator="between">
      <formula>68</formula>
      <formula>74</formula>
    </cfRule>
  </conditionalFormatting>
  <conditionalFormatting sqref="BM4:BN23">
    <cfRule type="cellIs" dxfId="2" priority="10" operator="between">
      <formula>74</formula>
      <formula>81</formula>
    </cfRule>
  </conditionalFormatting>
  <conditionalFormatting sqref="BM4:BN23">
    <cfRule type="cellIs" dxfId="5" priority="11" operator="between">
      <formula>81</formula>
      <formula>90</formula>
    </cfRule>
  </conditionalFormatting>
  <conditionalFormatting sqref="BM4:BN23">
    <cfRule type="cellIs" dxfId="6" priority="12" operator="greaterThan">
      <formula>90</formula>
    </cfRule>
  </conditionalFormatting>
  <conditionalFormatting sqref="AF4">
    <cfRule type="timePeriod" dxfId="0" priority="13" timePeriod="last7Days"/>
  </conditionalFormatting>
  <conditionalFormatting sqref="G4:G6 H7 G8:G12 G14:G16 G19:G21">
    <cfRule type="containsText" dxfId="7" priority="14" operator="containsText" text="н">
      <formula>NOT(ISERROR(SEARCH(("н"),(G4))))</formula>
    </cfRule>
  </conditionalFormatting>
  <conditionalFormatting sqref="G4:G6 H7 G8:G12 G14:G16 G19:G21">
    <cfRule type="containsText" dxfId="7" priority="15" operator="containsText" text="n">
      <formula>NOT(ISERROR(SEARCH(("n"),(G4))))</formula>
    </cfRule>
  </conditionalFormatting>
  <conditionalFormatting sqref="F4:F12 F14:F16 F19:F21">
    <cfRule type="containsText" dxfId="7" priority="16" operator="containsText" text="н">
      <formula>NOT(ISERROR(SEARCH(("н"),(F4))))</formula>
    </cfRule>
  </conditionalFormatting>
  <conditionalFormatting sqref="F4:F12 F14:F16 F19:F21">
    <cfRule type="containsText" dxfId="7" priority="17" operator="containsText" text="n">
      <formula>NOT(ISERROR(SEARCH(("n"),(F4))))</formula>
    </cfRule>
  </conditionalFormatting>
  <conditionalFormatting sqref="AD4">
    <cfRule type="cellIs" dxfId="8" priority="18" operator="equal">
      <formula>0</formula>
    </cfRule>
  </conditionalFormatting>
  <conditionalFormatting sqref="AI4:AJ4">
    <cfRule type="cellIs" dxfId="8" priority="19" operator="equal">
      <formula>0</formula>
    </cfRule>
  </conditionalFormatting>
  <conditionalFormatting sqref="AM4:AN4">
    <cfRule type="cellIs" dxfId="8" priority="20" operator="equal">
      <formula>0</formula>
    </cfRule>
  </conditionalFormatting>
  <conditionalFormatting sqref="AP4:AW4">
    <cfRule type="cellIs" dxfId="8" priority="21" operator="equal">
      <formula>0</formula>
    </cfRule>
  </conditionalFormatting>
  <conditionalFormatting sqref="D1:X23">
    <cfRule type="containsText" dxfId="7" priority="22" operator="containsText" text="н">
      <formula>NOT(ISERROR(SEARCH(("н"),(D1))))</formula>
    </cfRule>
  </conditionalFormatting>
  <conditionalFormatting sqref="D1:X23">
    <cfRule type="containsText" dxfId="7" priority="23" operator="containsText" text="n">
      <formula>NOT(ISERROR(SEARCH(("n"),(D1))))</formula>
    </cfRule>
  </conditionalFormatting>
  <conditionalFormatting sqref="AF4">
    <cfRule type="timePeriod" dxfId="0" priority="24" timePeriod="last7Days"/>
  </conditionalFormatting>
  <conditionalFormatting sqref="AK4">
    <cfRule type="timePeriod" dxfId="0" priority="25" timePeriod="last7Days"/>
  </conditionalFormatting>
  <conditionalFormatting sqref="AO4">
    <cfRule type="timePeriod" dxfId="0" priority="26" timePeriod="last7Days"/>
  </conditionalFormatting>
  <conditionalFormatting sqref="BM1:BN23">
    <cfRule type="cellIs" dxfId="3" priority="27" operator="between">
      <formula>60</formula>
      <formula>68</formula>
    </cfRule>
  </conditionalFormatting>
  <conditionalFormatting sqref="AX4:AX23">
    <cfRule type="cellIs" dxfId="6" priority="28" operator="between">
      <formula>12</formula>
      <formula>1000</formula>
    </cfRule>
  </conditionalFormatting>
  <conditionalFormatting sqref="BM1:BN23">
    <cfRule type="cellIs" dxfId="4" priority="29" operator="between">
      <formula>68</formula>
      <formula>74</formula>
    </cfRule>
  </conditionalFormatting>
  <conditionalFormatting sqref="BM1:BN23">
    <cfRule type="cellIs" dxfId="2" priority="30" operator="between">
      <formula>74</formula>
      <formula>81</formula>
    </cfRule>
  </conditionalFormatting>
  <conditionalFormatting sqref="BM1:BN23">
    <cfRule type="cellIs" dxfId="5" priority="31" operator="between">
      <formula>81</formula>
      <formula>90</formula>
    </cfRule>
  </conditionalFormatting>
  <conditionalFormatting sqref="BM1:BN23">
    <cfRule type="cellIs" dxfId="6" priority="32" operator="greaterThan">
      <formula>90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27" width="2.88"/>
    <col customWidth="1" min="28" max="28" width="6.63"/>
    <col customWidth="1" min="29" max="29" width="5.0"/>
    <col customWidth="1" min="30" max="30" width="3.88"/>
    <col customWidth="1" min="31" max="31" width="6.63"/>
    <col customWidth="1" min="32" max="32" width="6.5"/>
    <col customWidth="1" min="33" max="33" width="5.13"/>
    <col customWidth="1" min="34" max="34" width="4.0"/>
    <col customWidth="1" min="35" max="35" width="5.0"/>
    <col customWidth="1" min="36" max="36" width="6.38"/>
    <col customWidth="1" min="37" max="37" width="5.13"/>
    <col customWidth="1" min="38" max="38" width="4.0"/>
    <col customWidth="1" min="39" max="39" width="5.0"/>
    <col customWidth="1" min="40" max="40" width="7.63"/>
    <col customWidth="1" min="41" max="41" width="5.0"/>
    <col customWidth="1" min="42" max="42" width="4.5"/>
    <col customWidth="1" min="43" max="43" width="5.0"/>
    <col customWidth="1" min="44" max="44" width="5.63"/>
    <col customWidth="1" min="45" max="45" width="5.13"/>
    <col customWidth="1" min="46" max="46" width="5.38"/>
    <col customWidth="1" min="47" max="47" width="5.0"/>
    <col customWidth="1" min="48" max="49" width="5.38"/>
    <col customWidth="1" min="50" max="51" width="5.88"/>
    <col customWidth="1" min="52" max="52" width="5.63"/>
    <col customWidth="1" min="53" max="53" width="4.5"/>
    <col customWidth="1" min="54" max="54" width="4.38"/>
    <col customWidth="1" min="55" max="59" width="4.25"/>
    <col customWidth="1" min="60" max="60" width="4.63"/>
    <col customWidth="1" min="61" max="61" width="4.5"/>
    <col customWidth="1" min="62" max="63" width="4.63"/>
    <col customWidth="1" min="64" max="64" width="4.5"/>
    <col customWidth="1" min="65" max="66" width="4.38"/>
    <col customWidth="1" min="67" max="67" width="6.63"/>
    <col customWidth="1" min="68" max="68" width="3.25"/>
  </cols>
  <sheetData>
    <row r="1">
      <c r="A1" s="1" t="s">
        <v>105</v>
      </c>
      <c r="C1" s="2" t="s">
        <v>1</v>
      </c>
      <c r="D1" s="3" t="s">
        <v>2</v>
      </c>
      <c r="AA1" s="4"/>
      <c r="AB1" s="5" t="s">
        <v>3</v>
      </c>
      <c r="AE1" s="4"/>
      <c r="AF1" s="5" t="s">
        <v>4</v>
      </c>
      <c r="AI1" s="4"/>
      <c r="AJ1" s="5" t="s">
        <v>5</v>
      </c>
      <c r="AM1" s="4"/>
      <c r="AN1" s="5" t="s">
        <v>6</v>
      </c>
      <c r="AQ1" s="4"/>
      <c r="AR1" s="3" t="s">
        <v>7</v>
      </c>
      <c r="AS1" s="6" t="s">
        <v>8</v>
      </c>
      <c r="AT1" s="6" t="s">
        <v>9</v>
      </c>
      <c r="AU1" s="6" t="s">
        <v>10</v>
      </c>
      <c r="AV1" s="6" t="s">
        <v>11</v>
      </c>
      <c r="AW1" s="6" t="s">
        <v>12</v>
      </c>
      <c r="AX1" s="6" t="s">
        <v>13</v>
      </c>
      <c r="AY1" s="7" t="s">
        <v>14</v>
      </c>
      <c r="AZ1" s="3" t="s">
        <v>15</v>
      </c>
      <c r="BA1" s="96" t="s">
        <v>16</v>
      </c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41"/>
      <c r="BO1" s="41" t="s">
        <v>17</v>
      </c>
      <c r="BP1" s="10" t="s">
        <v>18</v>
      </c>
    </row>
    <row r="2">
      <c r="A2" s="11" t="s">
        <v>19</v>
      </c>
      <c r="B2" s="11" t="s">
        <v>20</v>
      </c>
      <c r="C2" s="4"/>
      <c r="D2" s="12">
        <v>45905.0</v>
      </c>
      <c r="E2" s="12">
        <f t="shared" ref="E2:O2" si="1">D2+7</f>
        <v>45912</v>
      </c>
      <c r="F2" s="12">
        <f t="shared" si="1"/>
        <v>45919</v>
      </c>
      <c r="G2" s="12">
        <f t="shared" si="1"/>
        <v>45926</v>
      </c>
      <c r="H2" s="12">
        <f t="shared" si="1"/>
        <v>45933</v>
      </c>
      <c r="I2" s="12">
        <f t="shared" si="1"/>
        <v>45940</v>
      </c>
      <c r="J2" s="12">
        <f t="shared" si="1"/>
        <v>45947</v>
      </c>
      <c r="K2" s="12">
        <f t="shared" si="1"/>
        <v>45954</v>
      </c>
      <c r="L2" s="12">
        <f t="shared" si="1"/>
        <v>45961</v>
      </c>
      <c r="M2" s="12">
        <f t="shared" si="1"/>
        <v>45968</v>
      </c>
      <c r="N2" s="12">
        <f t="shared" si="1"/>
        <v>45975</v>
      </c>
      <c r="O2" s="12">
        <f t="shared" si="1"/>
        <v>45982</v>
      </c>
      <c r="P2" s="98">
        <v>23.11</v>
      </c>
      <c r="Q2" s="12">
        <f>O2+7</f>
        <v>45989</v>
      </c>
      <c r="R2" s="12">
        <f t="shared" ref="R2:T2" si="2">Q2+7</f>
        <v>45996</v>
      </c>
      <c r="S2" s="12">
        <f t="shared" si="2"/>
        <v>46003</v>
      </c>
      <c r="T2" s="12">
        <f t="shared" si="2"/>
        <v>46010</v>
      </c>
      <c r="U2" s="98">
        <v>27.12</v>
      </c>
      <c r="V2" s="99">
        <v>46028.0</v>
      </c>
      <c r="W2" s="100">
        <v>13.01</v>
      </c>
      <c r="X2" s="101">
        <v>10.02</v>
      </c>
      <c r="Y2" s="101">
        <v>14.02</v>
      </c>
      <c r="Z2" s="101">
        <v>17.02</v>
      </c>
      <c r="AA2" s="101">
        <v>21.02</v>
      </c>
      <c r="AB2" s="14" t="s">
        <v>21</v>
      </c>
      <c r="AC2" s="15" t="s">
        <v>22</v>
      </c>
      <c r="AD2" s="15" t="s">
        <v>23</v>
      </c>
      <c r="AE2" s="16" t="s">
        <v>24</v>
      </c>
      <c r="AF2" s="14" t="s">
        <v>21</v>
      </c>
      <c r="AG2" s="15" t="s">
        <v>22</v>
      </c>
      <c r="AH2" s="15" t="s">
        <v>23</v>
      </c>
      <c r="AI2" s="16" t="s">
        <v>24</v>
      </c>
      <c r="AJ2" s="14" t="s">
        <v>21</v>
      </c>
      <c r="AK2" s="15" t="s">
        <v>22</v>
      </c>
      <c r="AL2" s="15" t="s">
        <v>23</v>
      </c>
      <c r="AM2" s="16" t="s">
        <v>24</v>
      </c>
      <c r="AN2" s="14" t="s">
        <v>21</v>
      </c>
      <c r="AO2" s="15" t="s">
        <v>22</v>
      </c>
      <c r="AP2" s="15" t="s">
        <v>23</v>
      </c>
      <c r="AQ2" s="16" t="s">
        <v>24</v>
      </c>
      <c r="AR2" s="17" t="s">
        <v>25</v>
      </c>
      <c r="AS2" s="18" t="s">
        <v>25</v>
      </c>
      <c r="AT2" s="18" t="s">
        <v>25</v>
      </c>
      <c r="AU2" s="18" t="s">
        <v>25</v>
      </c>
      <c r="AV2" s="18" t="s">
        <v>25</v>
      </c>
      <c r="AW2" s="18" t="s">
        <v>25</v>
      </c>
      <c r="AX2" s="15" t="s">
        <v>26</v>
      </c>
      <c r="AY2" s="19" t="s">
        <v>26</v>
      </c>
      <c r="AZ2" s="14" t="s">
        <v>27</v>
      </c>
      <c r="BN2" s="7"/>
      <c r="BO2" s="4"/>
    </row>
    <row r="3">
      <c r="C3" s="4"/>
      <c r="AB3" s="21"/>
      <c r="AC3" s="15" t="s">
        <v>26</v>
      </c>
      <c r="AD3" s="15" t="s">
        <v>28</v>
      </c>
      <c r="AE3" s="4"/>
      <c r="AF3" s="21"/>
      <c r="AG3" s="15" t="s">
        <v>26</v>
      </c>
      <c r="AH3" s="15" t="s">
        <v>28</v>
      </c>
      <c r="AI3" s="4"/>
      <c r="AJ3" s="21"/>
      <c r="AK3" s="15" t="s">
        <v>26</v>
      </c>
      <c r="AL3" s="15" t="s">
        <v>28</v>
      </c>
      <c r="AM3" s="4"/>
      <c r="AN3" s="21"/>
      <c r="AO3" s="15" t="s">
        <v>26</v>
      </c>
      <c r="AP3" s="15" t="s">
        <v>28</v>
      </c>
      <c r="AQ3" s="4"/>
      <c r="AR3" s="21"/>
      <c r="AY3" s="4"/>
      <c r="AZ3" s="21"/>
      <c r="BA3" s="17" t="s">
        <v>29</v>
      </c>
      <c r="BB3" s="18" t="s">
        <v>30</v>
      </c>
      <c r="BC3" s="18" t="s">
        <v>3</v>
      </c>
      <c r="BD3" s="18" t="s">
        <v>4</v>
      </c>
      <c r="BE3" s="18" t="s">
        <v>5</v>
      </c>
      <c r="BF3" s="18" t="s">
        <v>6</v>
      </c>
      <c r="BG3" s="18" t="s">
        <v>7</v>
      </c>
      <c r="BH3" s="18" t="s">
        <v>8</v>
      </c>
      <c r="BI3" s="18" t="s">
        <v>9</v>
      </c>
      <c r="BJ3" s="18" t="s">
        <v>10</v>
      </c>
      <c r="BK3" s="18" t="s">
        <v>11</v>
      </c>
      <c r="BL3" s="18" t="s">
        <v>12</v>
      </c>
      <c r="BM3" s="18" t="s">
        <v>31</v>
      </c>
      <c r="BN3" s="23" t="s">
        <v>23</v>
      </c>
      <c r="BO3" s="4"/>
    </row>
    <row r="4">
      <c r="A4" s="43">
        <v>471800.0</v>
      </c>
      <c r="B4" s="102" t="s">
        <v>106</v>
      </c>
      <c r="C4" s="24"/>
      <c r="D4" s="25" t="s">
        <v>55</v>
      </c>
      <c r="E4" s="27"/>
      <c r="F4" s="27" t="s">
        <v>55</v>
      </c>
      <c r="G4" s="27">
        <v>1.0</v>
      </c>
      <c r="H4" s="27">
        <v>3.0</v>
      </c>
      <c r="I4" s="27">
        <v>1.0</v>
      </c>
      <c r="J4" s="27">
        <v>2.0</v>
      </c>
      <c r="K4" s="27" t="s">
        <v>56</v>
      </c>
      <c r="L4" s="27" t="s">
        <v>55</v>
      </c>
      <c r="M4" s="27">
        <v>1.0</v>
      </c>
      <c r="N4" s="27" t="s">
        <v>56</v>
      </c>
      <c r="O4" s="27" t="s">
        <v>56</v>
      </c>
      <c r="P4" s="27" t="s">
        <v>56</v>
      </c>
      <c r="Q4" s="27">
        <v>4.0</v>
      </c>
      <c r="R4" s="27"/>
      <c r="S4" s="27">
        <v>1.0</v>
      </c>
      <c r="T4" s="27" t="s">
        <v>55</v>
      </c>
      <c r="U4" s="27">
        <v>2.0</v>
      </c>
      <c r="V4" s="27"/>
      <c r="W4" s="27"/>
      <c r="X4" s="27"/>
      <c r="Y4" s="27"/>
      <c r="Z4" s="27"/>
      <c r="AA4" s="54"/>
      <c r="AB4" s="43">
        <v>471800.0</v>
      </c>
      <c r="AC4" s="36">
        <v>8.0</v>
      </c>
      <c r="AD4" s="36">
        <v>2.0</v>
      </c>
      <c r="AE4" s="103" t="s">
        <v>64</v>
      </c>
      <c r="AF4" s="28">
        <v>5432.0</v>
      </c>
      <c r="AG4" s="36">
        <v>8.5</v>
      </c>
      <c r="AH4" s="36">
        <v>2.0</v>
      </c>
      <c r="AI4" s="103" t="s">
        <v>58</v>
      </c>
      <c r="AJ4" s="28">
        <v>8643.0</v>
      </c>
      <c r="AK4" s="36">
        <v>8.6</v>
      </c>
      <c r="AL4" s="36">
        <v>2.0</v>
      </c>
      <c r="AM4" s="104">
        <v>45624.0</v>
      </c>
      <c r="AN4" s="28">
        <v>724.0</v>
      </c>
      <c r="AO4" s="29">
        <v>8.5</v>
      </c>
      <c r="AP4" s="36">
        <v>1.8</v>
      </c>
      <c r="AQ4" s="24">
        <v>27.12</v>
      </c>
      <c r="AR4" s="28">
        <v>0.4</v>
      </c>
      <c r="AS4" s="36">
        <v>1.5</v>
      </c>
      <c r="AT4" s="36">
        <v>0.7</v>
      </c>
      <c r="AV4" s="36">
        <v>2.0</v>
      </c>
      <c r="AW4" s="36">
        <v>1.2</v>
      </c>
      <c r="AX4" s="36">
        <v>7.0</v>
      </c>
      <c r="AY4" s="24">
        <v>6.0</v>
      </c>
      <c r="AZ4" s="28">
        <f t="shared" ref="AZ4:AZ5" si="5">SUM(AX4:AY4)</f>
        <v>13</v>
      </c>
      <c r="BA4" s="21">
        <f t="shared" ref="BA4:BB4" si="3">SUM(AX4)</f>
        <v>7</v>
      </c>
      <c r="BB4">
        <f t="shared" si="3"/>
        <v>6</v>
      </c>
      <c r="BC4">
        <f t="shared" ref="BC4:BC21" si="7">SUM(AC4,AD4)</f>
        <v>10</v>
      </c>
      <c r="BD4">
        <f t="shared" ref="BD4:BD21" si="8">SUM(AG4,AH4)</f>
        <v>10.5</v>
      </c>
      <c r="BE4">
        <f t="shared" ref="BE4:BE21" si="9">SUM(AK4,AL4)</f>
        <v>10.6</v>
      </c>
      <c r="BF4">
        <f t="shared" ref="BF4:BF21" si="10">SUM(AO4,AP4)</f>
        <v>10.3</v>
      </c>
      <c r="BG4">
        <f t="shared" ref="BG4:BL4" si="4">SUM(AR4)</f>
        <v>0.4</v>
      </c>
      <c r="BH4">
        <f t="shared" si="4"/>
        <v>1.5</v>
      </c>
      <c r="BI4">
        <f t="shared" si="4"/>
        <v>0.7</v>
      </c>
      <c r="BJ4">
        <f t="shared" si="4"/>
        <v>0</v>
      </c>
      <c r="BK4">
        <f t="shared" si="4"/>
        <v>2</v>
      </c>
      <c r="BL4">
        <f t="shared" si="4"/>
        <v>1.2</v>
      </c>
      <c r="BM4">
        <f t="shared" ref="BM4:BM21" si="12">SUM(AZ4)</f>
        <v>13</v>
      </c>
      <c r="BN4" s="24">
        <v>1.0</v>
      </c>
      <c r="BO4" s="50">
        <f t="shared" ref="BO4:BO21" si="13">SUM(BA4:BN4)</f>
        <v>74.2</v>
      </c>
      <c r="BP4" s="32">
        <v>1.0</v>
      </c>
    </row>
    <row r="5">
      <c r="A5" s="43">
        <v>465826.0</v>
      </c>
      <c r="B5" s="105" t="s">
        <v>107</v>
      </c>
      <c r="C5" s="24"/>
      <c r="D5" s="25" t="s">
        <v>55</v>
      </c>
      <c r="E5" s="27"/>
      <c r="F5" s="27">
        <v>1.0</v>
      </c>
      <c r="G5" s="27">
        <v>1.0</v>
      </c>
      <c r="H5" s="27" t="s">
        <v>56</v>
      </c>
      <c r="I5" s="27">
        <v>1.0</v>
      </c>
      <c r="J5" s="27" t="s">
        <v>56</v>
      </c>
      <c r="K5" s="27" t="s">
        <v>56</v>
      </c>
      <c r="L5" s="27" t="s">
        <v>55</v>
      </c>
      <c r="M5" s="27">
        <v>1.0</v>
      </c>
      <c r="N5" s="27" t="s">
        <v>55</v>
      </c>
      <c r="O5" s="27" t="s">
        <v>56</v>
      </c>
      <c r="P5" s="27">
        <v>1.0</v>
      </c>
      <c r="Q5" s="27">
        <v>1.0</v>
      </c>
      <c r="R5" s="27">
        <v>1.0</v>
      </c>
      <c r="S5" s="27">
        <v>1.0</v>
      </c>
      <c r="T5" s="27" t="s">
        <v>55</v>
      </c>
      <c r="U5" s="27"/>
      <c r="V5" s="27">
        <v>1.0</v>
      </c>
      <c r="W5" s="27"/>
      <c r="X5" s="27"/>
      <c r="Y5" s="27"/>
      <c r="Z5" s="27"/>
      <c r="AA5" s="54"/>
      <c r="AB5" s="43">
        <v>465826.0</v>
      </c>
      <c r="AC5" s="36">
        <v>8.7</v>
      </c>
      <c r="AD5" s="36">
        <v>2.0</v>
      </c>
      <c r="AE5" s="24">
        <v>26.09</v>
      </c>
      <c r="AF5" s="28">
        <v>9009.0</v>
      </c>
      <c r="AG5" s="36">
        <v>9.5</v>
      </c>
      <c r="AH5" s="36">
        <v>2.0</v>
      </c>
      <c r="AI5" s="103" t="s">
        <v>108</v>
      </c>
      <c r="AJ5" s="28">
        <v>96734.0</v>
      </c>
      <c r="AK5" s="36">
        <v>9.3</v>
      </c>
      <c r="AL5" s="36">
        <v>2.0</v>
      </c>
      <c r="AM5" s="104">
        <v>45624.0</v>
      </c>
      <c r="AN5" s="28">
        <v>75.0</v>
      </c>
      <c r="AO5" s="36">
        <v>8.0</v>
      </c>
      <c r="AP5" s="36">
        <v>2.0</v>
      </c>
      <c r="AQ5" s="106">
        <v>46028.0</v>
      </c>
      <c r="AR5" s="28">
        <v>1.8</v>
      </c>
      <c r="AX5" s="36">
        <v>6.0</v>
      </c>
      <c r="AY5" s="24">
        <v>9.0</v>
      </c>
      <c r="AZ5" s="28">
        <f t="shared" si="5"/>
        <v>15</v>
      </c>
      <c r="BA5" s="21">
        <f t="shared" ref="BA5:BB5" si="6">SUM(AX5)</f>
        <v>6</v>
      </c>
      <c r="BB5">
        <f t="shared" si="6"/>
        <v>9</v>
      </c>
      <c r="BC5">
        <f t="shared" si="7"/>
        <v>10.7</v>
      </c>
      <c r="BD5">
        <f t="shared" si="8"/>
        <v>11.5</v>
      </c>
      <c r="BE5">
        <f t="shared" si="9"/>
        <v>11.3</v>
      </c>
      <c r="BF5">
        <f t="shared" si="10"/>
        <v>10</v>
      </c>
      <c r="BG5">
        <f t="shared" ref="BG5:BL5" si="11">SUM(AR5)</f>
        <v>1.8</v>
      </c>
      <c r="BH5">
        <f t="shared" si="11"/>
        <v>0</v>
      </c>
      <c r="BI5">
        <f t="shared" si="11"/>
        <v>0</v>
      </c>
      <c r="BJ5">
        <f t="shared" si="11"/>
        <v>0</v>
      </c>
      <c r="BK5">
        <f t="shared" si="11"/>
        <v>0</v>
      </c>
      <c r="BL5">
        <f t="shared" si="11"/>
        <v>0</v>
      </c>
      <c r="BM5">
        <f t="shared" si="12"/>
        <v>15</v>
      </c>
      <c r="BN5" s="4"/>
      <c r="BO5" s="50">
        <f t="shared" si="13"/>
        <v>75.3</v>
      </c>
      <c r="BP5" s="32">
        <v>1.0</v>
      </c>
    </row>
    <row r="6">
      <c r="A6" s="43">
        <v>466049.0</v>
      </c>
      <c r="B6" s="105" t="s">
        <v>109</v>
      </c>
      <c r="C6" s="24"/>
      <c r="D6" s="25" t="s">
        <v>56</v>
      </c>
      <c r="E6" s="27"/>
      <c r="F6" s="27" t="s">
        <v>56</v>
      </c>
      <c r="G6" s="27" t="s">
        <v>56</v>
      </c>
      <c r="H6" s="27" t="s">
        <v>56</v>
      </c>
      <c r="I6" s="27" t="s">
        <v>56</v>
      </c>
      <c r="J6" s="27" t="s">
        <v>56</v>
      </c>
      <c r="K6" s="27" t="s">
        <v>56</v>
      </c>
      <c r="L6" s="36" t="s">
        <v>56</v>
      </c>
      <c r="M6" s="27" t="s">
        <v>56</v>
      </c>
      <c r="N6" s="27" t="s">
        <v>56</v>
      </c>
      <c r="O6" s="27">
        <v>1.0</v>
      </c>
      <c r="P6" s="27" t="s">
        <v>56</v>
      </c>
      <c r="Q6" s="27">
        <v>1.0</v>
      </c>
      <c r="R6" s="27"/>
      <c r="S6" s="27">
        <v>3.0</v>
      </c>
      <c r="T6" s="27" t="s">
        <v>55</v>
      </c>
      <c r="U6" s="27">
        <v>1.0</v>
      </c>
      <c r="V6" s="27">
        <v>1.0</v>
      </c>
      <c r="W6" s="27"/>
      <c r="X6" s="27">
        <v>1.0</v>
      </c>
      <c r="Y6" s="27"/>
      <c r="Z6" s="27"/>
      <c r="AA6" s="54">
        <v>1.0</v>
      </c>
      <c r="AB6" s="43">
        <v>466049.0</v>
      </c>
      <c r="AC6" s="36">
        <v>7.0</v>
      </c>
      <c r="AD6" s="36">
        <v>2.0</v>
      </c>
      <c r="AE6" s="24">
        <v>12.12</v>
      </c>
      <c r="AF6" s="28">
        <v>624.0</v>
      </c>
      <c r="AG6" s="36">
        <v>7.0</v>
      </c>
      <c r="AH6" s="36">
        <v>1.0</v>
      </c>
      <c r="AI6" s="106">
        <v>46028.0</v>
      </c>
      <c r="AJ6" s="28">
        <v>1865.0</v>
      </c>
      <c r="AK6" s="107">
        <v>6.0</v>
      </c>
      <c r="AL6" s="107">
        <v>0.0</v>
      </c>
      <c r="AM6" s="108">
        <v>10.02</v>
      </c>
      <c r="AN6" s="28">
        <v>6.0</v>
      </c>
      <c r="AO6" s="107">
        <v>5.9</v>
      </c>
      <c r="AP6" s="107">
        <v>0.0</v>
      </c>
      <c r="AQ6" s="108">
        <v>21.02</v>
      </c>
      <c r="AR6" s="28"/>
      <c r="AX6" s="36">
        <v>0.01</v>
      </c>
      <c r="AY6" s="24">
        <v>0.01</v>
      </c>
      <c r="AZ6" s="28"/>
      <c r="BA6" s="21">
        <f t="shared" ref="BA6:BB6" si="14">SUM(AX6)</f>
        <v>0.01</v>
      </c>
      <c r="BB6">
        <f t="shared" si="14"/>
        <v>0.01</v>
      </c>
      <c r="BC6">
        <f t="shared" si="7"/>
        <v>9</v>
      </c>
      <c r="BD6">
        <f t="shared" si="8"/>
        <v>8</v>
      </c>
      <c r="BE6">
        <f t="shared" si="9"/>
        <v>6</v>
      </c>
      <c r="BF6">
        <f t="shared" si="10"/>
        <v>5.9</v>
      </c>
      <c r="BG6">
        <f t="shared" ref="BG6:BL6" si="15">SUM(AR6)</f>
        <v>0</v>
      </c>
      <c r="BH6">
        <f t="shared" si="15"/>
        <v>0</v>
      </c>
      <c r="BI6">
        <f t="shared" si="15"/>
        <v>0</v>
      </c>
      <c r="BJ6">
        <f t="shared" si="15"/>
        <v>0</v>
      </c>
      <c r="BK6">
        <f t="shared" si="15"/>
        <v>0</v>
      </c>
      <c r="BL6">
        <f t="shared" si="15"/>
        <v>0</v>
      </c>
      <c r="BM6">
        <f t="shared" si="12"/>
        <v>0</v>
      </c>
      <c r="BN6" s="4"/>
      <c r="BO6" s="50">
        <f t="shared" si="13"/>
        <v>28.92</v>
      </c>
      <c r="BP6" s="32"/>
    </row>
    <row r="7">
      <c r="A7" s="43">
        <v>466084.0</v>
      </c>
      <c r="B7" s="105" t="s">
        <v>110</v>
      </c>
      <c r="C7" s="24"/>
      <c r="D7" s="25" t="s">
        <v>55</v>
      </c>
      <c r="E7" s="27">
        <v>1.0</v>
      </c>
      <c r="F7" s="27">
        <v>3.0</v>
      </c>
      <c r="G7" s="27">
        <v>1.0</v>
      </c>
      <c r="H7" s="27" t="s">
        <v>55</v>
      </c>
      <c r="I7" s="27">
        <v>2.0</v>
      </c>
      <c r="J7" s="27">
        <v>2.0</v>
      </c>
      <c r="K7" s="27" t="s">
        <v>56</v>
      </c>
      <c r="L7" s="27" t="s">
        <v>55</v>
      </c>
      <c r="M7" s="27">
        <v>1.0</v>
      </c>
      <c r="N7" s="27" t="s">
        <v>55</v>
      </c>
      <c r="O7" s="27">
        <v>2.0</v>
      </c>
      <c r="P7" s="27" t="s">
        <v>56</v>
      </c>
      <c r="Q7" s="27" t="s">
        <v>55</v>
      </c>
      <c r="R7" s="27">
        <v>1.0</v>
      </c>
      <c r="S7" s="27">
        <v>1.0</v>
      </c>
      <c r="T7" s="27">
        <v>1.0</v>
      </c>
      <c r="U7" s="27"/>
      <c r="V7" s="27"/>
      <c r="W7" s="27"/>
      <c r="X7" s="27"/>
      <c r="Y7" s="27"/>
      <c r="Z7" s="27"/>
      <c r="AA7" s="54"/>
      <c r="AB7" s="43">
        <v>466084.0</v>
      </c>
      <c r="AC7" s="36">
        <v>9.0</v>
      </c>
      <c r="AD7" s="36">
        <v>2.0</v>
      </c>
      <c r="AE7" s="24">
        <v>19.09</v>
      </c>
      <c r="AF7" s="28">
        <v>666.0</v>
      </c>
      <c r="AG7" s="36">
        <v>8.7</v>
      </c>
      <c r="AH7" s="36">
        <v>2.0</v>
      </c>
      <c r="AI7" s="103" t="s">
        <v>58</v>
      </c>
      <c r="AJ7" s="28">
        <v>616.0</v>
      </c>
      <c r="AK7" s="36">
        <v>8.5</v>
      </c>
      <c r="AL7" s="36">
        <v>2.0</v>
      </c>
      <c r="AM7" s="106">
        <v>45617.0</v>
      </c>
      <c r="AN7" s="28">
        <v>987.0</v>
      </c>
      <c r="AO7" s="36">
        <v>9.7</v>
      </c>
      <c r="AP7" s="36">
        <v>2.0</v>
      </c>
      <c r="AQ7" s="24">
        <v>19.12</v>
      </c>
      <c r="AR7" s="28">
        <v>1.2</v>
      </c>
      <c r="AS7" s="36">
        <v>1.0</v>
      </c>
      <c r="AU7" s="36">
        <v>1.2</v>
      </c>
      <c r="AX7" s="36">
        <v>6.0</v>
      </c>
      <c r="AY7" s="24">
        <v>7.88</v>
      </c>
      <c r="AZ7" s="28">
        <f t="shared" ref="AZ7:AZ11" si="18">SUM(AX7:AY7)</f>
        <v>13.88</v>
      </c>
      <c r="BA7" s="21">
        <f t="shared" ref="BA7:BB7" si="16">SUM(AX7)</f>
        <v>6</v>
      </c>
      <c r="BB7">
        <f t="shared" si="16"/>
        <v>7.88</v>
      </c>
      <c r="BC7">
        <f t="shared" si="7"/>
        <v>11</v>
      </c>
      <c r="BD7">
        <f t="shared" si="8"/>
        <v>10.7</v>
      </c>
      <c r="BE7">
        <f t="shared" si="9"/>
        <v>10.5</v>
      </c>
      <c r="BF7">
        <f t="shared" si="10"/>
        <v>11.7</v>
      </c>
      <c r="BG7">
        <f t="shared" ref="BG7:BL7" si="17">SUM(AR7)</f>
        <v>1.2</v>
      </c>
      <c r="BH7">
        <f t="shared" si="17"/>
        <v>1</v>
      </c>
      <c r="BI7">
        <f t="shared" si="17"/>
        <v>0</v>
      </c>
      <c r="BJ7">
        <f t="shared" si="17"/>
        <v>1.2</v>
      </c>
      <c r="BK7">
        <f t="shared" si="17"/>
        <v>0</v>
      </c>
      <c r="BL7">
        <f t="shared" si="17"/>
        <v>0</v>
      </c>
      <c r="BM7">
        <f t="shared" si="12"/>
        <v>13.88</v>
      </c>
      <c r="BN7" s="4"/>
      <c r="BO7" s="50">
        <f t="shared" si="13"/>
        <v>75.06</v>
      </c>
      <c r="BP7" s="32">
        <v>1.0</v>
      </c>
    </row>
    <row r="8">
      <c r="A8" s="43">
        <v>466088.0</v>
      </c>
      <c r="B8" s="105" t="s">
        <v>111</v>
      </c>
      <c r="C8" s="24"/>
      <c r="D8" s="25" t="s">
        <v>56</v>
      </c>
      <c r="F8" s="27">
        <v>1.0</v>
      </c>
      <c r="G8" s="27" t="s">
        <v>56</v>
      </c>
      <c r="H8" s="27" t="s">
        <v>56</v>
      </c>
      <c r="I8" s="27">
        <v>1.0</v>
      </c>
      <c r="J8" s="27">
        <v>3.0</v>
      </c>
      <c r="K8" s="27" t="s">
        <v>56</v>
      </c>
      <c r="L8" s="27" t="s">
        <v>55</v>
      </c>
      <c r="M8" s="27">
        <v>1.0</v>
      </c>
      <c r="N8" s="27" t="s">
        <v>56</v>
      </c>
      <c r="O8" s="27">
        <v>1.0</v>
      </c>
      <c r="P8" s="27">
        <v>2.0</v>
      </c>
      <c r="Q8" s="27" t="s">
        <v>56</v>
      </c>
      <c r="R8" s="27"/>
      <c r="S8" s="27">
        <v>1.0</v>
      </c>
      <c r="T8" s="27" t="s">
        <v>55</v>
      </c>
      <c r="U8" s="27"/>
      <c r="V8" s="27"/>
      <c r="W8" s="27">
        <v>1.0</v>
      </c>
      <c r="X8" s="27"/>
      <c r="Y8" s="27"/>
      <c r="Z8" s="27"/>
      <c r="AA8" s="54"/>
      <c r="AB8" s="43">
        <v>466088.0</v>
      </c>
      <c r="AC8" s="36">
        <v>7.0</v>
      </c>
      <c r="AD8" s="36">
        <v>2.0</v>
      </c>
      <c r="AE8" s="103" t="s">
        <v>58</v>
      </c>
      <c r="AF8" s="28">
        <v>4560.0</v>
      </c>
      <c r="AG8" s="36">
        <v>7.5</v>
      </c>
      <c r="AH8" s="36">
        <v>1.9</v>
      </c>
      <c r="AI8" s="24">
        <v>23.11</v>
      </c>
      <c r="AJ8" s="28">
        <v>411.0</v>
      </c>
      <c r="AK8" s="36">
        <v>6.0</v>
      </c>
      <c r="AL8" s="36">
        <v>1.5</v>
      </c>
      <c r="AM8" s="24">
        <v>13.01</v>
      </c>
      <c r="AN8" s="28">
        <v>5134.0</v>
      </c>
      <c r="AO8" s="36">
        <v>6.0</v>
      </c>
      <c r="AP8" s="36">
        <v>0.0</v>
      </c>
      <c r="AQ8" s="24">
        <v>13.01</v>
      </c>
      <c r="AR8" s="28">
        <v>1.4</v>
      </c>
      <c r="AU8" s="36">
        <v>1.2</v>
      </c>
      <c r="AX8" s="36">
        <v>7.5</v>
      </c>
      <c r="AY8" s="24">
        <v>6.75</v>
      </c>
      <c r="AZ8" s="28">
        <f t="shared" si="18"/>
        <v>14.25</v>
      </c>
      <c r="BA8" s="21">
        <f t="shared" ref="BA8:BB8" si="19">SUM(AX8)</f>
        <v>7.5</v>
      </c>
      <c r="BB8">
        <f t="shared" si="19"/>
        <v>6.75</v>
      </c>
      <c r="BC8">
        <f t="shared" si="7"/>
        <v>9</v>
      </c>
      <c r="BD8">
        <f t="shared" si="8"/>
        <v>9.4</v>
      </c>
      <c r="BE8">
        <f t="shared" si="9"/>
        <v>7.5</v>
      </c>
      <c r="BF8">
        <f t="shared" si="10"/>
        <v>6</v>
      </c>
      <c r="BG8">
        <f t="shared" ref="BG8:BL8" si="20">SUM(AR8)</f>
        <v>1.4</v>
      </c>
      <c r="BH8">
        <f t="shared" si="20"/>
        <v>0</v>
      </c>
      <c r="BI8">
        <f t="shared" si="20"/>
        <v>0</v>
      </c>
      <c r="BJ8">
        <f t="shared" si="20"/>
        <v>1.2</v>
      </c>
      <c r="BK8">
        <f t="shared" si="20"/>
        <v>0</v>
      </c>
      <c r="BL8">
        <f t="shared" si="20"/>
        <v>0</v>
      </c>
      <c r="BM8">
        <f t="shared" si="12"/>
        <v>14.25</v>
      </c>
      <c r="BN8" s="4"/>
      <c r="BO8" s="50">
        <f t="shared" si="13"/>
        <v>63</v>
      </c>
      <c r="BP8" s="32">
        <v>1.0</v>
      </c>
    </row>
    <row r="9">
      <c r="A9" s="43">
        <v>466369.0</v>
      </c>
      <c r="B9" s="105" t="s">
        <v>112</v>
      </c>
      <c r="C9" s="24"/>
      <c r="D9" s="25" t="s">
        <v>55</v>
      </c>
      <c r="E9" s="27"/>
      <c r="F9" s="27">
        <v>1.0</v>
      </c>
      <c r="G9" s="27">
        <v>1.0</v>
      </c>
      <c r="H9" s="27">
        <v>3.0</v>
      </c>
      <c r="I9" s="27">
        <v>1.0</v>
      </c>
      <c r="J9" s="27">
        <v>1.0</v>
      </c>
      <c r="K9" s="27">
        <v>1.0</v>
      </c>
      <c r="L9" s="27" t="s">
        <v>55</v>
      </c>
      <c r="M9" s="27">
        <v>1.0</v>
      </c>
      <c r="N9" s="27" t="s">
        <v>55</v>
      </c>
      <c r="O9" s="27" t="s">
        <v>56</v>
      </c>
      <c r="P9" s="27" t="s">
        <v>56</v>
      </c>
      <c r="Q9" s="27">
        <v>3.0</v>
      </c>
      <c r="R9" s="27"/>
      <c r="S9" s="27">
        <v>3.0</v>
      </c>
      <c r="T9" s="27" t="s">
        <v>55</v>
      </c>
      <c r="U9" s="27"/>
      <c r="V9" s="27"/>
      <c r="W9" s="27"/>
      <c r="X9" s="27"/>
      <c r="Y9" s="27"/>
      <c r="Z9" s="27"/>
      <c r="AA9" s="54"/>
      <c r="AB9" s="43">
        <v>466369.0</v>
      </c>
      <c r="AC9" s="36">
        <v>8.9</v>
      </c>
      <c r="AD9" s="36">
        <v>2.0</v>
      </c>
      <c r="AE9" s="103" t="s">
        <v>64</v>
      </c>
      <c r="AF9" s="28">
        <v>126.0</v>
      </c>
      <c r="AG9" s="36">
        <v>9.0</v>
      </c>
      <c r="AH9" s="36">
        <v>2.0</v>
      </c>
      <c r="AI9" s="103" t="s">
        <v>113</v>
      </c>
      <c r="AJ9" s="28">
        <v>77123.0</v>
      </c>
      <c r="AK9" s="36">
        <v>8.7</v>
      </c>
      <c r="AL9" s="36">
        <v>2.0</v>
      </c>
      <c r="AM9" s="104">
        <v>45624.0</v>
      </c>
      <c r="AN9" s="28">
        <v>547.0</v>
      </c>
      <c r="AO9" s="36">
        <v>9.5</v>
      </c>
      <c r="AP9" s="36">
        <v>2.0</v>
      </c>
      <c r="AQ9" s="24">
        <v>12.12</v>
      </c>
      <c r="AR9" s="28">
        <v>0.3</v>
      </c>
      <c r="AT9" s="36">
        <v>0.4</v>
      </c>
      <c r="AV9" s="36">
        <v>2.0</v>
      </c>
      <c r="AW9" s="36">
        <v>0.4</v>
      </c>
      <c r="AX9" s="36">
        <v>6.0</v>
      </c>
      <c r="AY9" s="24">
        <v>8.21</v>
      </c>
      <c r="AZ9" s="28">
        <f t="shared" si="18"/>
        <v>14.21</v>
      </c>
      <c r="BA9" s="21">
        <f t="shared" ref="BA9:BB9" si="21">SUM(AX9)</f>
        <v>6</v>
      </c>
      <c r="BB9">
        <f t="shared" si="21"/>
        <v>8.21</v>
      </c>
      <c r="BC9">
        <f t="shared" si="7"/>
        <v>10.9</v>
      </c>
      <c r="BD9">
        <f t="shared" si="8"/>
        <v>11</v>
      </c>
      <c r="BE9">
        <f t="shared" si="9"/>
        <v>10.7</v>
      </c>
      <c r="BF9">
        <f t="shared" si="10"/>
        <v>11.5</v>
      </c>
      <c r="BG9">
        <f t="shared" ref="BG9:BL9" si="22">SUM(AR9)</f>
        <v>0.3</v>
      </c>
      <c r="BH9">
        <f t="shared" si="22"/>
        <v>0</v>
      </c>
      <c r="BI9">
        <f t="shared" si="22"/>
        <v>0.4</v>
      </c>
      <c r="BJ9">
        <f t="shared" si="22"/>
        <v>0</v>
      </c>
      <c r="BK9">
        <f t="shared" si="22"/>
        <v>2</v>
      </c>
      <c r="BL9">
        <f t="shared" si="22"/>
        <v>0.4</v>
      </c>
      <c r="BM9">
        <f t="shared" si="12"/>
        <v>14.21</v>
      </c>
      <c r="BN9" s="4"/>
      <c r="BO9" s="50">
        <f t="shared" si="13"/>
        <v>75.62</v>
      </c>
      <c r="BP9" s="32">
        <v>1.0</v>
      </c>
    </row>
    <row r="10">
      <c r="A10" s="43">
        <v>466402.0</v>
      </c>
      <c r="B10" s="105" t="s">
        <v>114</v>
      </c>
      <c r="C10" s="4"/>
      <c r="D10" s="25" t="s">
        <v>55</v>
      </c>
      <c r="E10" s="27">
        <v>1.0</v>
      </c>
      <c r="F10" s="27">
        <v>2.0</v>
      </c>
      <c r="G10" s="27">
        <v>1.0</v>
      </c>
      <c r="H10" s="27">
        <v>1.0</v>
      </c>
      <c r="I10" s="27">
        <v>1.0</v>
      </c>
      <c r="J10" s="27" t="s">
        <v>55</v>
      </c>
      <c r="K10" s="27">
        <v>2.0</v>
      </c>
      <c r="L10" s="27" t="s">
        <v>55</v>
      </c>
      <c r="M10" s="27">
        <v>1.0</v>
      </c>
      <c r="N10" s="27">
        <v>1.0</v>
      </c>
      <c r="O10" s="27">
        <v>1.0</v>
      </c>
      <c r="P10" s="27" t="s">
        <v>56</v>
      </c>
      <c r="Q10" s="27">
        <v>1.0</v>
      </c>
      <c r="R10" s="26"/>
      <c r="S10" s="27">
        <v>2.0</v>
      </c>
      <c r="T10" s="27" t="s">
        <v>55</v>
      </c>
      <c r="U10" s="27"/>
      <c r="V10" s="27"/>
      <c r="W10" s="27"/>
      <c r="X10" s="27"/>
      <c r="Y10" s="27"/>
      <c r="Z10" s="27"/>
      <c r="AA10" s="54"/>
      <c r="AB10" s="43">
        <v>466402.0</v>
      </c>
      <c r="AC10" s="61">
        <v>9.7</v>
      </c>
      <c r="AD10" s="61">
        <v>2.0</v>
      </c>
      <c r="AE10" s="109">
        <v>19.09</v>
      </c>
      <c r="AF10" s="62">
        <v>1705.0</v>
      </c>
      <c r="AG10" s="61">
        <v>9.5</v>
      </c>
      <c r="AH10" s="61">
        <v>2.0</v>
      </c>
      <c r="AI10" s="103" t="s">
        <v>67</v>
      </c>
      <c r="AJ10" s="62">
        <v>13216.0</v>
      </c>
      <c r="AK10" s="36">
        <v>9.2</v>
      </c>
      <c r="AL10" s="36">
        <v>2.0</v>
      </c>
      <c r="AM10" s="106">
        <v>45617.0</v>
      </c>
      <c r="AN10" s="28">
        <v>478.0</v>
      </c>
      <c r="AO10" s="36">
        <v>10.0</v>
      </c>
      <c r="AP10" s="36">
        <v>2.0</v>
      </c>
      <c r="AQ10" s="24">
        <v>12.12</v>
      </c>
      <c r="AR10" s="28">
        <v>0.9</v>
      </c>
      <c r="AT10" s="36">
        <v>0.4</v>
      </c>
      <c r="AV10" s="36">
        <v>1.2</v>
      </c>
      <c r="AW10" s="36">
        <v>0.01</v>
      </c>
      <c r="AX10" s="36">
        <v>7.0</v>
      </c>
      <c r="AY10" s="24">
        <v>8.25</v>
      </c>
      <c r="AZ10" s="28">
        <f t="shared" si="18"/>
        <v>15.25</v>
      </c>
      <c r="BA10" s="21">
        <f t="shared" ref="BA10:BB10" si="23">SUM(AX10)</f>
        <v>7</v>
      </c>
      <c r="BB10">
        <f t="shared" si="23"/>
        <v>8.25</v>
      </c>
      <c r="BC10">
        <f t="shared" si="7"/>
        <v>11.7</v>
      </c>
      <c r="BD10">
        <f t="shared" si="8"/>
        <v>11.5</v>
      </c>
      <c r="BE10">
        <f t="shared" si="9"/>
        <v>11.2</v>
      </c>
      <c r="BF10">
        <f t="shared" si="10"/>
        <v>12</v>
      </c>
      <c r="BG10">
        <f t="shared" ref="BG10:BL10" si="24">SUM(AR10)</f>
        <v>0.9</v>
      </c>
      <c r="BH10">
        <f t="shared" si="24"/>
        <v>0</v>
      </c>
      <c r="BI10">
        <f t="shared" si="24"/>
        <v>0.4</v>
      </c>
      <c r="BJ10">
        <f t="shared" si="24"/>
        <v>0</v>
      </c>
      <c r="BK10">
        <f t="shared" si="24"/>
        <v>1.2</v>
      </c>
      <c r="BL10">
        <f t="shared" si="24"/>
        <v>0.01</v>
      </c>
      <c r="BM10">
        <f t="shared" si="12"/>
        <v>15.25</v>
      </c>
      <c r="BN10" s="4"/>
      <c r="BO10" s="50">
        <f t="shared" si="13"/>
        <v>79.41</v>
      </c>
      <c r="BP10" s="32">
        <v>1.0</v>
      </c>
    </row>
    <row r="11">
      <c r="A11" s="43">
        <v>466468.0</v>
      </c>
      <c r="B11" s="105" t="s">
        <v>115</v>
      </c>
      <c r="C11" s="24"/>
      <c r="D11" s="25" t="s">
        <v>55</v>
      </c>
      <c r="E11" s="27"/>
      <c r="F11" s="27">
        <v>1.0</v>
      </c>
      <c r="G11" s="27" t="s">
        <v>55</v>
      </c>
      <c r="H11" s="27">
        <v>1.0</v>
      </c>
      <c r="I11" s="27">
        <v>2.0</v>
      </c>
      <c r="J11" s="27" t="s">
        <v>56</v>
      </c>
      <c r="K11" s="27">
        <v>1.0</v>
      </c>
      <c r="L11" s="27" t="s">
        <v>55</v>
      </c>
      <c r="M11" s="27" t="s">
        <v>55</v>
      </c>
      <c r="N11" s="27">
        <v>2.0</v>
      </c>
      <c r="O11" s="27">
        <v>1.0</v>
      </c>
      <c r="P11" s="27">
        <v>2.0</v>
      </c>
      <c r="Q11" s="27">
        <v>1.0</v>
      </c>
      <c r="R11" s="27"/>
      <c r="S11" s="27">
        <v>2.0</v>
      </c>
      <c r="T11" s="27">
        <v>1.0</v>
      </c>
      <c r="U11" s="27" t="s">
        <v>55</v>
      </c>
      <c r="V11" s="27"/>
      <c r="W11" s="27"/>
      <c r="X11" s="27"/>
      <c r="Y11" s="27"/>
      <c r="Z11" s="27"/>
      <c r="AA11" s="54"/>
      <c r="AB11" s="43">
        <v>466468.0</v>
      </c>
      <c r="AC11" s="36">
        <v>9.4</v>
      </c>
      <c r="AD11" s="36">
        <v>2.0</v>
      </c>
      <c r="AE11" s="103" t="s">
        <v>67</v>
      </c>
      <c r="AF11" s="28">
        <v>745.0</v>
      </c>
      <c r="AG11" s="36">
        <v>8.9</v>
      </c>
      <c r="AH11" s="36">
        <v>2.0</v>
      </c>
      <c r="AI11" s="106">
        <v>45610.0</v>
      </c>
      <c r="AJ11" s="28">
        <v>613.0</v>
      </c>
      <c r="AK11" s="36">
        <v>9.0</v>
      </c>
      <c r="AL11" s="36">
        <v>2.0</v>
      </c>
      <c r="AM11" s="24">
        <v>23.11</v>
      </c>
      <c r="AN11" s="28">
        <v>254.0</v>
      </c>
      <c r="AO11" s="36">
        <v>9.5</v>
      </c>
      <c r="AP11" s="36">
        <v>2.0</v>
      </c>
      <c r="AQ11" s="24">
        <v>19.12</v>
      </c>
      <c r="AR11" s="28">
        <v>1.2</v>
      </c>
      <c r="AS11" s="36">
        <v>1.1</v>
      </c>
      <c r="AT11" s="36">
        <v>1.1</v>
      </c>
      <c r="AU11" s="36">
        <v>1.0</v>
      </c>
      <c r="AX11" s="36">
        <v>7.4</v>
      </c>
      <c r="AY11" s="24">
        <v>7.5</v>
      </c>
      <c r="AZ11" s="28">
        <f t="shared" si="18"/>
        <v>14.9</v>
      </c>
      <c r="BA11" s="21">
        <f t="shared" ref="BA11:BB11" si="25">SUM(AX11)</f>
        <v>7.4</v>
      </c>
      <c r="BB11">
        <f t="shared" si="25"/>
        <v>7.5</v>
      </c>
      <c r="BC11">
        <f t="shared" si="7"/>
        <v>11.4</v>
      </c>
      <c r="BD11">
        <f t="shared" si="8"/>
        <v>10.9</v>
      </c>
      <c r="BE11">
        <f t="shared" si="9"/>
        <v>11</v>
      </c>
      <c r="BF11">
        <f t="shared" si="10"/>
        <v>11.5</v>
      </c>
      <c r="BG11">
        <f t="shared" ref="BG11:BL11" si="26">SUM(AR11)</f>
        <v>1.2</v>
      </c>
      <c r="BH11">
        <f t="shared" si="26"/>
        <v>1.1</v>
      </c>
      <c r="BI11">
        <f t="shared" si="26"/>
        <v>1.1</v>
      </c>
      <c r="BJ11">
        <f t="shared" si="26"/>
        <v>1</v>
      </c>
      <c r="BK11">
        <f t="shared" si="26"/>
        <v>0</v>
      </c>
      <c r="BL11">
        <f t="shared" si="26"/>
        <v>0</v>
      </c>
      <c r="BM11">
        <f t="shared" si="12"/>
        <v>14.9</v>
      </c>
      <c r="BN11" s="4"/>
      <c r="BO11" s="50">
        <f t="shared" si="13"/>
        <v>79</v>
      </c>
      <c r="BP11" s="32">
        <v>1.0</v>
      </c>
    </row>
    <row r="12">
      <c r="A12" s="36">
        <v>409080.0</v>
      </c>
      <c r="B12" s="110" t="s">
        <v>116</v>
      </c>
      <c r="D12" s="28" t="s">
        <v>56</v>
      </c>
      <c r="F12" s="36" t="s">
        <v>56</v>
      </c>
      <c r="G12" s="36" t="s">
        <v>56</v>
      </c>
      <c r="H12" s="36" t="s">
        <v>56</v>
      </c>
      <c r="I12" s="27">
        <v>1.0</v>
      </c>
      <c r="J12" s="36" t="s">
        <v>56</v>
      </c>
      <c r="K12" s="36" t="s">
        <v>56</v>
      </c>
      <c r="L12" s="36" t="s">
        <v>56</v>
      </c>
      <c r="M12" s="36" t="s">
        <v>56</v>
      </c>
      <c r="N12" s="36" t="s">
        <v>56</v>
      </c>
      <c r="O12" s="36" t="s">
        <v>56</v>
      </c>
      <c r="P12" s="36" t="s">
        <v>56</v>
      </c>
      <c r="Q12" s="36" t="s">
        <v>56</v>
      </c>
      <c r="S12" s="36" t="s">
        <v>56</v>
      </c>
      <c r="T12" s="36" t="s">
        <v>56</v>
      </c>
      <c r="V12" s="36"/>
      <c r="X12" s="36"/>
      <c r="Y12" s="36"/>
      <c r="Z12" s="36"/>
      <c r="AA12" s="4"/>
      <c r="AB12" s="36">
        <v>409080.0</v>
      </c>
      <c r="AC12" s="36">
        <v>0.01</v>
      </c>
      <c r="AD12" s="36"/>
      <c r="AE12" s="38"/>
      <c r="AG12" s="36"/>
      <c r="AH12" s="36">
        <v>0.0</v>
      </c>
      <c r="AI12" s="38"/>
      <c r="AK12" s="36"/>
      <c r="AL12" s="36">
        <v>0.0</v>
      </c>
      <c r="AM12" s="38"/>
      <c r="AO12" s="36"/>
      <c r="AP12" s="36">
        <v>0.0</v>
      </c>
      <c r="AQ12" s="24"/>
      <c r="AR12" s="36"/>
      <c r="AY12" s="4"/>
      <c r="AZ12" s="28"/>
      <c r="BA12" s="21">
        <f t="shared" ref="BA12:BB12" si="27">SUM(AX12)</f>
        <v>0</v>
      </c>
      <c r="BB12">
        <f t="shared" si="27"/>
        <v>0</v>
      </c>
      <c r="BC12">
        <f t="shared" si="7"/>
        <v>0.01</v>
      </c>
      <c r="BD12">
        <f t="shared" si="8"/>
        <v>0</v>
      </c>
      <c r="BE12">
        <f t="shared" si="9"/>
        <v>0</v>
      </c>
      <c r="BF12">
        <f t="shared" si="10"/>
        <v>0</v>
      </c>
      <c r="BG12">
        <f t="shared" ref="BG12:BL12" si="28">SUM(AR12)</f>
        <v>0</v>
      </c>
      <c r="BH12">
        <f t="shared" si="28"/>
        <v>0</v>
      </c>
      <c r="BI12">
        <f t="shared" si="28"/>
        <v>0</v>
      </c>
      <c r="BJ12">
        <f t="shared" si="28"/>
        <v>0</v>
      </c>
      <c r="BK12">
        <f t="shared" si="28"/>
        <v>0</v>
      </c>
      <c r="BL12">
        <f t="shared" si="28"/>
        <v>0</v>
      </c>
      <c r="BM12">
        <f t="shared" si="12"/>
        <v>0</v>
      </c>
      <c r="BN12" s="4"/>
      <c r="BO12" s="50">
        <f t="shared" si="13"/>
        <v>0.01</v>
      </c>
      <c r="BP12" s="32"/>
    </row>
    <row r="13">
      <c r="A13" s="43">
        <v>375301.0</v>
      </c>
      <c r="B13" s="105" t="s">
        <v>117</v>
      </c>
      <c r="C13" s="24"/>
      <c r="D13" s="25" t="s">
        <v>55</v>
      </c>
      <c r="E13" s="27"/>
      <c r="F13" s="27">
        <v>1.0</v>
      </c>
      <c r="G13" s="27" t="s">
        <v>56</v>
      </c>
      <c r="H13" s="27" t="s">
        <v>56</v>
      </c>
      <c r="I13" s="27" t="s">
        <v>55</v>
      </c>
      <c r="J13" s="27">
        <v>2.0</v>
      </c>
      <c r="K13" s="27">
        <v>1.0</v>
      </c>
      <c r="L13" s="27" t="s">
        <v>55</v>
      </c>
      <c r="M13" s="27" t="s">
        <v>56</v>
      </c>
      <c r="N13" s="27" t="s">
        <v>56</v>
      </c>
      <c r="O13" s="27">
        <v>1.0</v>
      </c>
      <c r="P13" s="27">
        <v>1.0</v>
      </c>
      <c r="Q13" s="27" t="s">
        <v>56</v>
      </c>
      <c r="R13" s="27"/>
      <c r="S13" s="27">
        <v>3.0</v>
      </c>
      <c r="T13" s="27">
        <v>1.0</v>
      </c>
      <c r="U13" s="27" t="s">
        <v>55</v>
      </c>
      <c r="V13" s="27"/>
      <c r="W13" s="27">
        <v>1.0</v>
      </c>
      <c r="X13" s="27"/>
      <c r="Y13" s="27"/>
      <c r="Z13" s="27"/>
      <c r="AA13" s="54"/>
      <c r="AB13" s="43">
        <v>375301.0</v>
      </c>
      <c r="AC13" s="36">
        <v>9.1</v>
      </c>
      <c r="AD13" s="36">
        <v>2.0</v>
      </c>
      <c r="AE13" s="103" t="s">
        <v>58</v>
      </c>
      <c r="AF13" s="28">
        <v>6422.0</v>
      </c>
      <c r="AG13" s="36">
        <v>9.5</v>
      </c>
      <c r="AH13" s="36">
        <v>2.0</v>
      </c>
      <c r="AI13" s="106">
        <v>45617.0</v>
      </c>
      <c r="AJ13" s="28">
        <v>518.0</v>
      </c>
      <c r="AK13" s="36">
        <v>9.5</v>
      </c>
      <c r="AL13" s="36">
        <v>2.0</v>
      </c>
      <c r="AM13" s="24">
        <v>12.12</v>
      </c>
      <c r="AN13" s="28">
        <v>641.0</v>
      </c>
      <c r="AO13" s="36">
        <v>8.0</v>
      </c>
      <c r="AP13" s="36">
        <v>2.0</v>
      </c>
      <c r="AQ13" s="24">
        <v>13.01</v>
      </c>
      <c r="AR13" s="28"/>
      <c r="AV13" s="36">
        <v>1.6</v>
      </c>
      <c r="AX13" s="36">
        <v>6.0</v>
      </c>
      <c r="AY13" s="24">
        <v>9.5</v>
      </c>
      <c r="AZ13" s="28">
        <f t="shared" ref="AZ13:AZ14" si="31">SUM(AX13:AY13)</f>
        <v>15.5</v>
      </c>
      <c r="BA13" s="21">
        <f t="shared" ref="BA13:BB13" si="29">SUM(AX13)</f>
        <v>6</v>
      </c>
      <c r="BB13">
        <f t="shared" si="29"/>
        <v>9.5</v>
      </c>
      <c r="BC13">
        <f t="shared" si="7"/>
        <v>11.1</v>
      </c>
      <c r="BD13">
        <f t="shared" si="8"/>
        <v>11.5</v>
      </c>
      <c r="BE13">
        <f t="shared" si="9"/>
        <v>11.5</v>
      </c>
      <c r="BF13">
        <f t="shared" si="10"/>
        <v>10</v>
      </c>
      <c r="BG13">
        <f t="shared" ref="BG13:BL13" si="30">SUM(AR13)</f>
        <v>0</v>
      </c>
      <c r="BH13">
        <f t="shared" si="30"/>
        <v>0</v>
      </c>
      <c r="BI13">
        <f t="shared" si="30"/>
        <v>0</v>
      </c>
      <c r="BJ13">
        <f t="shared" si="30"/>
        <v>0</v>
      </c>
      <c r="BK13">
        <f t="shared" si="30"/>
        <v>1.6</v>
      </c>
      <c r="BL13">
        <f t="shared" si="30"/>
        <v>0</v>
      </c>
      <c r="BM13">
        <f t="shared" si="12"/>
        <v>15.5</v>
      </c>
      <c r="BN13" s="4"/>
      <c r="BO13" s="50">
        <f t="shared" si="13"/>
        <v>76.7</v>
      </c>
      <c r="BP13" s="32">
        <v>1.0</v>
      </c>
    </row>
    <row r="14">
      <c r="A14" s="43">
        <v>466824.0</v>
      </c>
      <c r="B14" s="105" t="s">
        <v>118</v>
      </c>
      <c r="C14" s="24"/>
      <c r="D14" s="25" t="s">
        <v>55</v>
      </c>
      <c r="E14" s="27"/>
      <c r="F14" s="27" t="s">
        <v>55</v>
      </c>
      <c r="G14" s="27" t="s">
        <v>56</v>
      </c>
      <c r="H14" s="27" t="s">
        <v>56</v>
      </c>
      <c r="I14" s="27" t="s">
        <v>56</v>
      </c>
      <c r="J14" s="27">
        <v>1.0</v>
      </c>
      <c r="K14" s="27" t="s">
        <v>56</v>
      </c>
      <c r="L14" s="27" t="s">
        <v>56</v>
      </c>
      <c r="M14" s="27">
        <v>1.0</v>
      </c>
      <c r="N14" s="27">
        <v>2.0</v>
      </c>
      <c r="O14" s="27">
        <v>2.0</v>
      </c>
      <c r="P14" s="27">
        <v>2.0</v>
      </c>
      <c r="Q14" s="27">
        <v>1.0</v>
      </c>
      <c r="R14" s="27">
        <v>1.0</v>
      </c>
      <c r="S14" s="27">
        <v>2.0</v>
      </c>
      <c r="T14" s="27" t="s">
        <v>55</v>
      </c>
      <c r="U14" s="27" t="s">
        <v>55</v>
      </c>
      <c r="V14" s="27"/>
      <c r="W14" s="27">
        <v>1.0</v>
      </c>
      <c r="X14" s="27"/>
      <c r="Y14" s="27"/>
      <c r="Z14" s="27"/>
      <c r="AA14" s="54"/>
      <c r="AB14" s="43">
        <v>466824.0</v>
      </c>
      <c r="AC14" s="36">
        <v>7.0</v>
      </c>
      <c r="AD14" s="36">
        <v>2.0</v>
      </c>
      <c r="AE14" s="106">
        <v>45610.0</v>
      </c>
      <c r="AF14" s="28">
        <v>431.0</v>
      </c>
      <c r="AG14" s="36">
        <v>7.0</v>
      </c>
      <c r="AH14" s="36">
        <v>2.0</v>
      </c>
      <c r="AI14" s="24">
        <v>23.11</v>
      </c>
      <c r="AJ14" s="28">
        <v>742.0</v>
      </c>
      <c r="AK14" s="36">
        <v>7.0</v>
      </c>
      <c r="AL14" s="36">
        <v>2.0</v>
      </c>
      <c r="AM14" s="24">
        <v>12.12</v>
      </c>
      <c r="AN14" s="28">
        <v>861.0</v>
      </c>
      <c r="AO14" s="36">
        <v>6.0</v>
      </c>
      <c r="AP14" s="36">
        <v>0.0</v>
      </c>
      <c r="AQ14" s="24">
        <v>13.01</v>
      </c>
      <c r="AR14" s="28"/>
      <c r="AS14" s="36">
        <v>0.4</v>
      </c>
      <c r="AT14" s="36">
        <v>0.3</v>
      </c>
      <c r="AX14" s="36">
        <v>6.0</v>
      </c>
      <c r="AY14" s="24">
        <v>6.0</v>
      </c>
      <c r="AZ14" s="28">
        <f t="shared" si="31"/>
        <v>12</v>
      </c>
      <c r="BA14" s="21">
        <f t="shared" ref="BA14:BB14" si="32">SUM(AX14)</f>
        <v>6</v>
      </c>
      <c r="BB14">
        <f t="shared" si="32"/>
        <v>6</v>
      </c>
      <c r="BC14">
        <f t="shared" si="7"/>
        <v>9</v>
      </c>
      <c r="BD14">
        <f t="shared" si="8"/>
        <v>9</v>
      </c>
      <c r="BE14">
        <f t="shared" si="9"/>
        <v>9</v>
      </c>
      <c r="BF14">
        <f t="shared" si="10"/>
        <v>6</v>
      </c>
      <c r="BG14">
        <f t="shared" ref="BG14:BL14" si="33">SUM(AR14)</f>
        <v>0</v>
      </c>
      <c r="BH14">
        <f t="shared" si="33"/>
        <v>0.4</v>
      </c>
      <c r="BI14">
        <f t="shared" si="33"/>
        <v>0.3</v>
      </c>
      <c r="BJ14">
        <f t="shared" si="33"/>
        <v>0</v>
      </c>
      <c r="BK14">
        <f t="shared" si="33"/>
        <v>0</v>
      </c>
      <c r="BL14">
        <f t="shared" si="33"/>
        <v>0</v>
      </c>
      <c r="BM14">
        <f t="shared" si="12"/>
        <v>12</v>
      </c>
      <c r="BN14" s="24">
        <v>3.0</v>
      </c>
      <c r="BO14" s="50">
        <f t="shared" si="13"/>
        <v>60.7</v>
      </c>
      <c r="BP14" s="32">
        <v>2.0</v>
      </c>
    </row>
    <row r="15">
      <c r="A15" s="43">
        <v>472302.0</v>
      </c>
      <c r="B15" s="105" t="s">
        <v>119</v>
      </c>
      <c r="D15" s="25" t="s">
        <v>55</v>
      </c>
      <c r="E15" s="27"/>
      <c r="F15" s="27" t="s">
        <v>56</v>
      </c>
      <c r="G15" s="27" t="s">
        <v>55</v>
      </c>
      <c r="H15" s="27" t="s">
        <v>55</v>
      </c>
      <c r="I15" s="27">
        <v>1.0</v>
      </c>
      <c r="J15" s="27" t="s">
        <v>56</v>
      </c>
      <c r="K15" s="27" t="s">
        <v>56</v>
      </c>
      <c r="L15" s="27" t="s">
        <v>55</v>
      </c>
      <c r="M15" s="27" t="s">
        <v>55</v>
      </c>
      <c r="N15" s="27" t="s">
        <v>55</v>
      </c>
      <c r="O15" s="27" t="s">
        <v>56</v>
      </c>
      <c r="P15" s="27" t="s">
        <v>56</v>
      </c>
      <c r="Q15" s="27">
        <v>1.0</v>
      </c>
      <c r="R15" s="27"/>
      <c r="S15" s="27">
        <v>2.0</v>
      </c>
      <c r="T15" s="27">
        <v>3.0</v>
      </c>
      <c r="U15" s="27"/>
      <c r="V15" s="27">
        <v>1.0</v>
      </c>
      <c r="W15" s="27"/>
      <c r="X15" s="27"/>
      <c r="Y15" s="27"/>
      <c r="Z15" s="27">
        <v>1.0</v>
      </c>
      <c r="AA15" s="54"/>
      <c r="AB15" s="43">
        <v>472302.0</v>
      </c>
      <c r="AC15" s="36">
        <v>7.0</v>
      </c>
      <c r="AD15" s="36">
        <v>1.5</v>
      </c>
      <c r="AE15" s="24">
        <v>12.12</v>
      </c>
      <c r="AF15" s="28">
        <v>856.0</v>
      </c>
      <c r="AG15" s="36">
        <v>7.0</v>
      </c>
      <c r="AH15" s="36">
        <v>2.0</v>
      </c>
      <c r="AI15" s="24">
        <v>19.12</v>
      </c>
      <c r="AJ15" s="28">
        <v>865.0</v>
      </c>
      <c r="AK15" s="36">
        <v>6.0</v>
      </c>
      <c r="AL15" s="36">
        <v>0.0</v>
      </c>
      <c r="AM15" s="106">
        <v>46028.0</v>
      </c>
      <c r="AN15" s="28">
        <v>5252.0</v>
      </c>
      <c r="AO15" s="107">
        <v>6.0</v>
      </c>
      <c r="AP15" s="107">
        <v>0.0</v>
      </c>
      <c r="AQ15" s="108">
        <v>17.02</v>
      </c>
      <c r="AR15" s="28"/>
      <c r="AV15" s="36">
        <v>0.01</v>
      </c>
      <c r="AX15" s="36">
        <v>6.0</v>
      </c>
      <c r="AY15" s="36">
        <v>6.13</v>
      </c>
      <c r="AZ15" s="28">
        <f>SUM(AX15:AY15)+4</f>
        <v>16.13</v>
      </c>
      <c r="BA15" s="21">
        <f t="shared" ref="BA15:BB15" si="34">SUM(AX15)</f>
        <v>6</v>
      </c>
      <c r="BB15">
        <f t="shared" si="34"/>
        <v>6.13</v>
      </c>
      <c r="BC15">
        <f t="shared" si="7"/>
        <v>8.5</v>
      </c>
      <c r="BD15">
        <f t="shared" si="8"/>
        <v>9</v>
      </c>
      <c r="BE15">
        <f t="shared" si="9"/>
        <v>6</v>
      </c>
      <c r="BF15">
        <f t="shared" si="10"/>
        <v>6</v>
      </c>
      <c r="BG15">
        <f t="shared" ref="BG15:BL15" si="35">SUM(AR15)</f>
        <v>0</v>
      </c>
      <c r="BH15">
        <f t="shared" si="35"/>
        <v>0</v>
      </c>
      <c r="BI15">
        <f t="shared" si="35"/>
        <v>0</v>
      </c>
      <c r="BJ15">
        <f t="shared" si="35"/>
        <v>0</v>
      </c>
      <c r="BK15">
        <f t="shared" si="35"/>
        <v>0.01</v>
      </c>
      <c r="BL15">
        <f t="shared" si="35"/>
        <v>0</v>
      </c>
      <c r="BM15">
        <f t="shared" si="12"/>
        <v>16.13</v>
      </c>
      <c r="BN15" s="24">
        <v>3.0</v>
      </c>
      <c r="BO15" s="50">
        <f t="shared" si="13"/>
        <v>60.77</v>
      </c>
      <c r="BP15" s="32">
        <v>2.0</v>
      </c>
    </row>
    <row r="16">
      <c r="A16" s="43">
        <v>467141.0</v>
      </c>
      <c r="B16" s="105" t="s">
        <v>120</v>
      </c>
      <c r="D16" s="25" t="s">
        <v>55</v>
      </c>
      <c r="E16" s="27"/>
      <c r="F16" s="27" t="s">
        <v>55</v>
      </c>
      <c r="G16" s="27">
        <v>1.0</v>
      </c>
      <c r="H16" s="27" t="s">
        <v>55</v>
      </c>
      <c r="I16" s="27">
        <v>1.0</v>
      </c>
      <c r="J16" s="27">
        <v>2.0</v>
      </c>
      <c r="K16" s="27">
        <v>1.0</v>
      </c>
      <c r="L16" s="27" t="s">
        <v>55</v>
      </c>
      <c r="M16" s="27" t="s">
        <v>56</v>
      </c>
      <c r="N16" s="27">
        <v>1.0</v>
      </c>
      <c r="O16" s="27" t="s">
        <v>56</v>
      </c>
      <c r="P16" s="27" t="s">
        <v>56</v>
      </c>
      <c r="Q16" s="27">
        <v>1.0</v>
      </c>
      <c r="R16" s="27">
        <v>1.0</v>
      </c>
      <c r="S16" s="27">
        <v>1.0</v>
      </c>
      <c r="T16" s="27" t="s">
        <v>55</v>
      </c>
      <c r="U16" s="27">
        <v>1.0</v>
      </c>
      <c r="V16" s="27">
        <v>1.0</v>
      </c>
      <c r="W16" s="27"/>
      <c r="X16" s="27"/>
      <c r="Y16" s="27"/>
      <c r="Z16" s="27"/>
      <c r="AA16" s="54"/>
      <c r="AB16" s="43">
        <v>467141.0</v>
      </c>
      <c r="AC16" s="36">
        <v>8.2</v>
      </c>
      <c r="AD16" s="36">
        <v>2.0</v>
      </c>
      <c r="AE16" s="103" t="s">
        <v>58</v>
      </c>
      <c r="AF16" s="28">
        <v>9812.0</v>
      </c>
      <c r="AG16" s="36">
        <v>9.0</v>
      </c>
      <c r="AH16" s="36">
        <v>2.0</v>
      </c>
      <c r="AI16" s="106">
        <v>45610.0</v>
      </c>
      <c r="AJ16" s="28">
        <v>412.0</v>
      </c>
      <c r="AK16" s="36">
        <v>9.0</v>
      </c>
      <c r="AL16" s="36">
        <v>2.0</v>
      </c>
      <c r="AM16" s="24">
        <v>12.12</v>
      </c>
      <c r="AN16" s="28">
        <v>2265.0</v>
      </c>
      <c r="AO16" s="36">
        <v>8.0</v>
      </c>
      <c r="AP16" s="36">
        <v>2.0</v>
      </c>
      <c r="AQ16" s="106">
        <v>46028.0</v>
      </c>
      <c r="AR16" s="28">
        <v>0.6</v>
      </c>
      <c r="AS16" s="36">
        <v>0.8</v>
      </c>
      <c r="AT16" s="36">
        <v>0.6</v>
      </c>
      <c r="AU16" s="36">
        <v>0.1</v>
      </c>
      <c r="AX16" s="36">
        <v>9.0</v>
      </c>
      <c r="AY16" s="36">
        <v>6.0</v>
      </c>
      <c r="AZ16" s="28">
        <f t="shared" ref="AZ16:AZ21" si="38">SUM(AX16:AY16)</f>
        <v>15</v>
      </c>
      <c r="BA16" s="21">
        <f t="shared" ref="BA16:BB16" si="36">SUM(AX16)</f>
        <v>9</v>
      </c>
      <c r="BB16">
        <f t="shared" si="36"/>
        <v>6</v>
      </c>
      <c r="BC16">
        <f t="shared" si="7"/>
        <v>10.2</v>
      </c>
      <c r="BD16">
        <f t="shared" si="8"/>
        <v>11</v>
      </c>
      <c r="BE16">
        <f t="shared" si="9"/>
        <v>11</v>
      </c>
      <c r="BF16">
        <f t="shared" si="10"/>
        <v>10</v>
      </c>
      <c r="BG16">
        <f t="shared" ref="BG16:BL16" si="37">SUM(AR16)</f>
        <v>0.6</v>
      </c>
      <c r="BH16">
        <f t="shared" si="37"/>
        <v>0.8</v>
      </c>
      <c r="BI16">
        <f t="shared" si="37"/>
        <v>0.6</v>
      </c>
      <c r="BJ16">
        <f t="shared" si="37"/>
        <v>0.1</v>
      </c>
      <c r="BK16">
        <f t="shared" si="37"/>
        <v>0</v>
      </c>
      <c r="BL16">
        <f t="shared" si="37"/>
        <v>0</v>
      </c>
      <c r="BM16">
        <f t="shared" si="12"/>
        <v>15</v>
      </c>
      <c r="BN16" s="4"/>
      <c r="BO16" s="50">
        <f t="shared" si="13"/>
        <v>74.3</v>
      </c>
      <c r="BP16" s="32">
        <v>1.0</v>
      </c>
    </row>
    <row r="17">
      <c r="A17" s="43">
        <v>467237.0</v>
      </c>
      <c r="B17" s="105" t="s">
        <v>121</v>
      </c>
      <c r="D17" s="25" t="s">
        <v>55</v>
      </c>
      <c r="E17" s="27" t="s">
        <v>55</v>
      </c>
      <c r="F17" s="27">
        <v>1.0</v>
      </c>
      <c r="G17" s="27">
        <v>2.0</v>
      </c>
      <c r="H17" s="27">
        <v>1.0</v>
      </c>
      <c r="I17" s="27">
        <v>1.0</v>
      </c>
      <c r="J17" s="27" t="s">
        <v>55</v>
      </c>
      <c r="K17" s="27">
        <v>2.0</v>
      </c>
      <c r="L17" s="27" t="s">
        <v>55</v>
      </c>
      <c r="M17" s="27" t="s">
        <v>55</v>
      </c>
      <c r="N17" s="27">
        <v>1.0</v>
      </c>
      <c r="O17" s="27">
        <v>1.0</v>
      </c>
      <c r="P17" s="27">
        <v>2.0</v>
      </c>
      <c r="Q17" s="27" t="s">
        <v>55</v>
      </c>
      <c r="R17" s="27">
        <v>1.0</v>
      </c>
      <c r="S17" s="27">
        <v>2.0</v>
      </c>
      <c r="T17" s="27" t="s">
        <v>55</v>
      </c>
      <c r="U17" s="27"/>
      <c r="V17" s="27"/>
      <c r="W17" s="27"/>
      <c r="X17" s="27"/>
      <c r="Y17" s="27"/>
      <c r="Z17" s="27"/>
      <c r="AA17" s="54"/>
      <c r="AB17" s="43">
        <v>467237.0</v>
      </c>
      <c r="AC17" s="36">
        <v>8.4</v>
      </c>
      <c r="AD17" s="36">
        <v>2.0</v>
      </c>
      <c r="AE17" s="103" t="s">
        <v>64</v>
      </c>
      <c r="AF17" s="28">
        <v>97456.0</v>
      </c>
      <c r="AG17" s="36">
        <v>8.0</v>
      </c>
      <c r="AH17" s="36">
        <v>2.0</v>
      </c>
      <c r="AI17" s="103" t="s">
        <v>113</v>
      </c>
      <c r="AJ17" s="28">
        <v>614.0</v>
      </c>
      <c r="AK17" s="36">
        <v>7.5</v>
      </c>
      <c r="AL17" s="36">
        <v>1.5</v>
      </c>
      <c r="AM17" s="24">
        <v>23.11</v>
      </c>
      <c r="AN17" s="28">
        <v>6324.0</v>
      </c>
      <c r="AO17" s="36">
        <v>8.7</v>
      </c>
      <c r="AP17" s="36">
        <v>2.0</v>
      </c>
      <c r="AQ17" s="24">
        <v>12.12</v>
      </c>
      <c r="AR17" s="28">
        <v>0.01</v>
      </c>
      <c r="AS17" s="36">
        <v>0.1</v>
      </c>
      <c r="AU17" s="36">
        <v>0.6</v>
      </c>
      <c r="AW17" s="36">
        <v>0.01</v>
      </c>
      <c r="AX17" s="36">
        <v>8.0</v>
      </c>
      <c r="AY17" s="36">
        <v>8.5</v>
      </c>
      <c r="AZ17" s="28">
        <f t="shared" si="38"/>
        <v>16.5</v>
      </c>
      <c r="BA17" s="21">
        <f t="shared" ref="BA17:BB17" si="39">SUM(AX17)</f>
        <v>8</v>
      </c>
      <c r="BB17">
        <f t="shared" si="39"/>
        <v>8.5</v>
      </c>
      <c r="BC17">
        <f t="shared" si="7"/>
        <v>10.4</v>
      </c>
      <c r="BD17">
        <f t="shared" si="8"/>
        <v>10</v>
      </c>
      <c r="BE17">
        <f t="shared" si="9"/>
        <v>9</v>
      </c>
      <c r="BF17">
        <f t="shared" si="10"/>
        <v>10.7</v>
      </c>
      <c r="BG17">
        <f t="shared" ref="BG17:BL17" si="40">SUM(AR17)</f>
        <v>0.01</v>
      </c>
      <c r="BH17">
        <f t="shared" si="40"/>
        <v>0.1</v>
      </c>
      <c r="BI17">
        <f t="shared" si="40"/>
        <v>0</v>
      </c>
      <c r="BJ17">
        <f t="shared" si="40"/>
        <v>0.6</v>
      </c>
      <c r="BK17">
        <f t="shared" si="40"/>
        <v>0</v>
      </c>
      <c r="BL17">
        <f t="shared" si="40"/>
        <v>0.01</v>
      </c>
      <c r="BM17">
        <f t="shared" si="12"/>
        <v>16.5</v>
      </c>
      <c r="BN17" s="24">
        <v>1.0</v>
      </c>
      <c r="BO17" s="50">
        <f t="shared" si="13"/>
        <v>74.82</v>
      </c>
      <c r="BP17" s="32">
        <v>1.0</v>
      </c>
    </row>
    <row r="18">
      <c r="A18" s="43">
        <v>467530.0</v>
      </c>
      <c r="B18" s="105" t="s">
        <v>122</v>
      </c>
      <c r="C18" s="24"/>
      <c r="D18" s="25" t="s">
        <v>55</v>
      </c>
      <c r="E18" s="27"/>
      <c r="F18" s="27">
        <v>1.0</v>
      </c>
      <c r="G18" s="27">
        <v>1.0</v>
      </c>
      <c r="H18" s="27">
        <v>1.0</v>
      </c>
      <c r="I18" s="27">
        <v>1.0</v>
      </c>
      <c r="J18" s="27" t="s">
        <v>56</v>
      </c>
      <c r="K18" s="27">
        <v>1.0</v>
      </c>
      <c r="L18" s="27" t="s">
        <v>55</v>
      </c>
      <c r="M18" s="27" t="s">
        <v>56</v>
      </c>
      <c r="N18" s="27" t="s">
        <v>56</v>
      </c>
      <c r="O18" s="27" t="s">
        <v>56</v>
      </c>
      <c r="P18" s="27">
        <v>2.0</v>
      </c>
      <c r="Q18" s="27" t="s">
        <v>56</v>
      </c>
      <c r="R18" s="27"/>
      <c r="S18" s="27">
        <v>1.0</v>
      </c>
      <c r="T18" s="27" t="s">
        <v>55</v>
      </c>
      <c r="U18" s="27">
        <v>2.0</v>
      </c>
      <c r="V18" s="27"/>
      <c r="W18" s="27"/>
      <c r="X18" s="27"/>
      <c r="Y18" s="27"/>
      <c r="Z18" s="27"/>
      <c r="AA18" s="54"/>
      <c r="AB18" s="43">
        <v>467530.0</v>
      </c>
      <c r="AC18" s="36">
        <v>7.0</v>
      </c>
      <c r="AD18" s="36">
        <v>2.0</v>
      </c>
      <c r="AE18" s="103" t="s">
        <v>64</v>
      </c>
      <c r="AF18" s="28">
        <v>13.0</v>
      </c>
      <c r="AG18" s="36">
        <v>9.01</v>
      </c>
      <c r="AH18" s="36">
        <v>2.0</v>
      </c>
      <c r="AI18" s="103" t="s">
        <v>113</v>
      </c>
      <c r="AJ18" s="28">
        <v>12515.0</v>
      </c>
      <c r="AK18" s="36">
        <v>8.5</v>
      </c>
      <c r="AL18" s="36">
        <v>2.0</v>
      </c>
      <c r="AM18" s="24">
        <v>23.11</v>
      </c>
      <c r="AN18" s="28">
        <v>524.0</v>
      </c>
      <c r="AO18" s="36">
        <v>8.5</v>
      </c>
      <c r="AP18" s="36">
        <v>2.0</v>
      </c>
      <c r="AQ18" s="24">
        <v>27.12</v>
      </c>
      <c r="AR18" s="28">
        <v>0.3</v>
      </c>
      <c r="AV18" s="36">
        <v>0.01</v>
      </c>
      <c r="AW18" s="36">
        <v>1.4</v>
      </c>
      <c r="AX18" s="36">
        <v>7.0</v>
      </c>
      <c r="AY18" s="24">
        <v>7.88</v>
      </c>
      <c r="AZ18" s="28">
        <f t="shared" si="38"/>
        <v>14.88</v>
      </c>
      <c r="BA18" s="21">
        <f t="shared" ref="BA18:BB18" si="41">SUM(AX18)</f>
        <v>7</v>
      </c>
      <c r="BB18">
        <f t="shared" si="41"/>
        <v>7.88</v>
      </c>
      <c r="BC18">
        <f t="shared" si="7"/>
        <v>9</v>
      </c>
      <c r="BD18">
        <f t="shared" si="8"/>
        <v>11.01</v>
      </c>
      <c r="BE18">
        <f t="shared" si="9"/>
        <v>10.5</v>
      </c>
      <c r="BF18">
        <f t="shared" si="10"/>
        <v>10.5</v>
      </c>
      <c r="BG18">
        <f t="shared" ref="BG18:BL18" si="42">SUM(AR18)</f>
        <v>0.3</v>
      </c>
      <c r="BH18">
        <f t="shared" si="42"/>
        <v>0</v>
      </c>
      <c r="BI18">
        <f t="shared" si="42"/>
        <v>0</v>
      </c>
      <c r="BJ18">
        <f t="shared" si="42"/>
        <v>0</v>
      </c>
      <c r="BK18">
        <f t="shared" si="42"/>
        <v>0.01</v>
      </c>
      <c r="BL18">
        <f t="shared" si="42"/>
        <v>1.4</v>
      </c>
      <c r="BM18">
        <f t="shared" si="12"/>
        <v>14.88</v>
      </c>
      <c r="BN18" s="24">
        <v>2.0</v>
      </c>
      <c r="BO18" s="50">
        <f t="shared" si="13"/>
        <v>74.48</v>
      </c>
      <c r="BP18" s="32">
        <v>1.0</v>
      </c>
    </row>
    <row r="19">
      <c r="A19" s="43">
        <v>467696.0</v>
      </c>
      <c r="B19" s="102" t="s">
        <v>123</v>
      </c>
      <c r="C19" s="24"/>
      <c r="D19" s="25" t="s">
        <v>55</v>
      </c>
      <c r="E19" s="27"/>
      <c r="F19" s="27" t="s">
        <v>55</v>
      </c>
      <c r="G19" s="27" t="s">
        <v>55</v>
      </c>
      <c r="H19" s="27">
        <v>1.0</v>
      </c>
      <c r="I19" s="27" t="s">
        <v>55</v>
      </c>
      <c r="J19" s="27" t="s">
        <v>55</v>
      </c>
      <c r="K19" s="27" t="s">
        <v>55</v>
      </c>
      <c r="L19" s="27" t="s">
        <v>55</v>
      </c>
      <c r="M19" s="27">
        <v>2.0</v>
      </c>
      <c r="N19" s="27" t="s">
        <v>56</v>
      </c>
      <c r="O19" s="27" t="s">
        <v>56</v>
      </c>
      <c r="P19" s="27" t="s">
        <v>56</v>
      </c>
      <c r="Q19" s="27">
        <v>1.0</v>
      </c>
      <c r="R19" s="27"/>
      <c r="S19" s="27">
        <v>1.0</v>
      </c>
      <c r="T19" s="27" t="s">
        <v>55</v>
      </c>
      <c r="U19" s="27">
        <v>1.0</v>
      </c>
      <c r="V19" s="27">
        <v>1.0</v>
      </c>
      <c r="W19" s="27">
        <v>1.0</v>
      </c>
      <c r="X19" s="27"/>
      <c r="Y19" s="27"/>
      <c r="Z19" s="27"/>
      <c r="AA19" s="54"/>
      <c r="AB19" s="43">
        <v>467696.0</v>
      </c>
      <c r="AC19" s="36">
        <v>7.5</v>
      </c>
      <c r="AD19" s="36">
        <v>2.0</v>
      </c>
      <c r="AE19" s="103" t="s">
        <v>108</v>
      </c>
      <c r="AF19" s="28">
        <v>143.0</v>
      </c>
      <c r="AG19" s="36">
        <v>8.5</v>
      </c>
      <c r="AH19" s="36">
        <v>2.0</v>
      </c>
      <c r="AI19" s="24">
        <v>19.12</v>
      </c>
      <c r="AJ19" s="28">
        <v>6245.0</v>
      </c>
      <c r="AK19" s="36">
        <v>9.3</v>
      </c>
      <c r="AL19" s="36">
        <v>2.0</v>
      </c>
      <c r="AM19" s="106">
        <v>46028.0</v>
      </c>
      <c r="AN19" s="28">
        <v>6315.0</v>
      </c>
      <c r="AO19" s="36">
        <v>6.0</v>
      </c>
      <c r="AP19" s="36">
        <v>0.0</v>
      </c>
      <c r="AQ19" s="24">
        <v>13.01</v>
      </c>
      <c r="AR19" s="28">
        <v>0.8</v>
      </c>
      <c r="AX19" s="36">
        <v>8.5</v>
      </c>
      <c r="AY19" s="24">
        <v>6.0</v>
      </c>
      <c r="AZ19" s="28">
        <f t="shared" si="38"/>
        <v>14.5</v>
      </c>
      <c r="BA19" s="21">
        <f t="shared" ref="BA19:BB19" si="43">SUM(AX19)</f>
        <v>8.5</v>
      </c>
      <c r="BB19">
        <f t="shared" si="43"/>
        <v>6</v>
      </c>
      <c r="BC19">
        <f t="shared" si="7"/>
        <v>9.5</v>
      </c>
      <c r="BD19">
        <f t="shared" si="8"/>
        <v>10.5</v>
      </c>
      <c r="BE19">
        <f t="shared" si="9"/>
        <v>11.3</v>
      </c>
      <c r="BF19">
        <f t="shared" si="10"/>
        <v>6</v>
      </c>
      <c r="BG19">
        <f t="shared" ref="BG19:BL19" si="44">SUM(AR19)</f>
        <v>0.8</v>
      </c>
      <c r="BH19">
        <f t="shared" si="44"/>
        <v>0</v>
      </c>
      <c r="BI19">
        <f t="shared" si="44"/>
        <v>0</v>
      </c>
      <c r="BJ19">
        <f t="shared" si="44"/>
        <v>0</v>
      </c>
      <c r="BK19">
        <f t="shared" si="44"/>
        <v>0</v>
      </c>
      <c r="BL19">
        <f t="shared" si="44"/>
        <v>0</v>
      </c>
      <c r="BM19">
        <f t="shared" si="12"/>
        <v>14.5</v>
      </c>
      <c r="BN19" s="4"/>
      <c r="BO19" s="50">
        <f t="shared" si="13"/>
        <v>67.1</v>
      </c>
      <c r="BP19" s="32">
        <v>2.0</v>
      </c>
    </row>
    <row r="20">
      <c r="A20" s="43">
        <v>467830.0</v>
      </c>
      <c r="B20" s="105" t="s">
        <v>124</v>
      </c>
      <c r="C20" s="4"/>
      <c r="D20" s="25" t="s">
        <v>55</v>
      </c>
      <c r="E20" s="27">
        <v>1.0</v>
      </c>
      <c r="F20" s="27">
        <v>2.0</v>
      </c>
      <c r="G20" s="27">
        <v>1.0</v>
      </c>
      <c r="H20" s="27">
        <v>1.0</v>
      </c>
      <c r="I20" s="27">
        <v>1.0</v>
      </c>
      <c r="J20" s="27">
        <v>1.0</v>
      </c>
      <c r="K20" s="27">
        <v>2.0</v>
      </c>
      <c r="L20" s="27" t="s">
        <v>55</v>
      </c>
      <c r="M20" s="27">
        <v>1.0</v>
      </c>
      <c r="N20" s="27">
        <v>1.0</v>
      </c>
      <c r="O20" s="27" t="s">
        <v>56</v>
      </c>
      <c r="P20" s="27" t="s">
        <v>56</v>
      </c>
      <c r="Q20" s="27" t="s">
        <v>55</v>
      </c>
      <c r="R20" s="27">
        <v>1.0</v>
      </c>
      <c r="S20" s="27" t="s">
        <v>55</v>
      </c>
      <c r="T20" s="27" t="s">
        <v>55</v>
      </c>
      <c r="U20" s="27" t="s">
        <v>55</v>
      </c>
      <c r="V20" s="27"/>
      <c r="W20" s="27"/>
      <c r="X20" s="27"/>
      <c r="Y20" s="27"/>
      <c r="Z20" s="27"/>
      <c r="AA20" s="54"/>
      <c r="AB20" s="43">
        <v>467830.0</v>
      </c>
      <c r="AC20" s="36">
        <v>9.5</v>
      </c>
      <c r="AD20" s="36">
        <v>2.0</v>
      </c>
      <c r="AE20" s="24">
        <v>19.09</v>
      </c>
      <c r="AF20" s="28">
        <v>12351.0</v>
      </c>
      <c r="AG20" s="36">
        <v>10.0</v>
      </c>
      <c r="AH20" s="36">
        <v>2.0</v>
      </c>
      <c r="AI20" s="103" t="s">
        <v>67</v>
      </c>
      <c r="AJ20" s="28">
        <v>987.0</v>
      </c>
      <c r="AK20" s="36">
        <v>10.0</v>
      </c>
      <c r="AL20" s="36">
        <v>2.0</v>
      </c>
      <c r="AM20" s="103" t="s">
        <v>108</v>
      </c>
      <c r="AN20" s="28">
        <v>1251.0</v>
      </c>
      <c r="AO20" s="36">
        <v>10.0</v>
      </c>
      <c r="AP20" s="36">
        <v>2.0</v>
      </c>
      <c r="AQ20" s="106">
        <v>45631.0</v>
      </c>
      <c r="AR20" s="28">
        <v>0.5</v>
      </c>
      <c r="AS20" s="36">
        <v>0.9</v>
      </c>
      <c r="AT20" s="36">
        <v>0.5</v>
      </c>
      <c r="AU20" s="36">
        <v>1.6</v>
      </c>
      <c r="AV20" s="36">
        <v>1.6</v>
      </c>
      <c r="AW20" s="36">
        <v>0.01</v>
      </c>
      <c r="AX20" s="36">
        <v>6.0</v>
      </c>
      <c r="AY20" s="24">
        <v>7.71</v>
      </c>
      <c r="AZ20" s="28">
        <f t="shared" si="38"/>
        <v>13.71</v>
      </c>
      <c r="BA20" s="21">
        <f t="shared" ref="BA20:BB20" si="45">SUM(AX20)</f>
        <v>6</v>
      </c>
      <c r="BB20">
        <f t="shared" si="45"/>
        <v>7.71</v>
      </c>
      <c r="BC20">
        <f t="shared" si="7"/>
        <v>11.5</v>
      </c>
      <c r="BD20">
        <f t="shared" si="8"/>
        <v>12</v>
      </c>
      <c r="BE20">
        <f t="shared" si="9"/>
        <v>12</v>
      </c>
      <c r="BF20">
        <f t="shared" si="10"/>
        <v>12</v>
      </c>
      <c r="BG20">
        <f t="shared" ref="BG20:BL20" si="46">SUM(AR20)</f>
        <v>0.5</v>
      </c>
      <c r="BH20">
        <f t="shared" si="46"/>
        <v>0.9</v>
      </c>
      <c r="BI20">
        <f t="shared" si="46"/>
        <v>0.5</v>
      </c>
      <c r="BJ20">
        <f t="shared" si="46"/>
        <v>1.6</v>
      </c>
      <c r="BK20">
        <f t="shared" si="46"/>
        <v>1.6</v>
      </c>
      <c r="BL20">
        <f t="shared" si="46"/>
        <v>0.01</v>
      </c>
      <c r="BM20">
        <f t="shared" si="12"/>
        <v>13.71</v>
      </c>
      <c r="BN20" s="24">
        <v>3.0</v>
      </c>
      <c r="BO20" s="50">
        <f t="shared" si="13"/>
        <v>83.03</v>
      </c>
      <c r="BP20" s="32">
        <v>1.0</v>
      </c>
    </row>
    <row r="21">
      <c r="A21" s="111">
        <v>468125.0</v>
      </c>
      <c r="B21" s="112" t="s">
        <v>125</v>
      </c>
      <c r="C21" s="113"/>
      <c r="D21" s="114" t="s">
        <v>55</v>
      </c>
      <c r="E21" s="115"/>
      <c r="F21" s="115">
        <v>1.0</v>
      </c>
      <c r="G21" s="115" t="s">
        <v>56</v>
      </c>
      <c r="H21" s="115" t="s">
        <v>56</v>
      </c>
      <c r="I21" s="115">
        <v>2.0</v>
      </c>
      <c r="J21" s="115">
        <v>1.0</v>
      </c>
      <c r="K21" s="115" t="s">
        <v>56</v>
      </c>
      <c r="L21" s="115" t="s">
        <v>55</v>
      </c>
      <c r="M21" s="115" t="s">
        <v>56</v>
      </c>
      <c r="N21" s="115">
        <v>1.0</v>
      </c>
      <c r="O21" s="115">
        <v>1.0</v>
      </c>
      <c r="P21" s="115" t="s">
        <v>56</v>
      </c>
      <c r="Q21" s="115" t="s">
        <v>56</v>
      </c>
      <c r="R21" s="115">
        <v>1.0</v>
      </c>
      <c r="S21" s="115">
        <v>1.0</v>
      </c>
      <c r="T21" s="115">
        <v>1.0</v>
      </c>
      <c r="U21" s="115"/>
      <c r="V21" s="115"/>
      <c r="W21" s="115">
        <v>1.0</v>
      </c>
      <c r="X21" s="115"/>
      <c r="Y21" s="115"/>
      <c r="Z21" s="115"/>
      <c r="AA21" s="116"/>
      <c r="AB21" s="111">
        <v>468125.0</v>
      </c>
      <c r="AC21" s="117">
        <v>10.0</v>
      </c>
      <c r="AD21" s="117">
        <v>2.0</v>
      </c>
      <c r="AE21" s="118" t="s">
        <v>67</v>
      </c>
      <c r="AF21" s="119">
        <v>83745.0</v>
      </c>
      <c r="AG21" s="117">
        <v>8.0</v>
      </c>
      <c r="AH21" s="117">
        <v>2.0</v>
      </c>
      <c r="AI21" s="120">
        <v>45610.0</v>
      </c>
      <c r="AJ21" s="119">
        <v>7645.0</v>
      </c>
      <c r="AK21" s="117">
        <v>9.0</v>
      </c>
      <c r="AL21" s="117">
        <v>2.0</v>
      </c>
      <c r="AM21" s="121">
        <v>12.12</v>
      </c>
      <c r="AN21" s="119">
        <v>98.0</v>
      </c>
      <c r="AO21" s="117">
        <v>9.21</v>
      </c>
      <c r="AP21" s="117">
        <v>2.0</v>
      </c>
      <c r="AQ21" s="121">
        <v>13.01</v>
      </c>
      <c r="AR21" s="119">
        <v>0.8</v>
      </c>
      <c r="AS21" s="122"/>
      <c r="AT21" s="122"/>
      <c r="AU21" s="122"/>
      <c r="AV21" s="122"/>
      <c r="AW21" s="122"/>
      <c r="AX21" s="117">
        <v>6.5</v>
      </c>
      <c r="AY21" s="121">
        <v>8.0</v>
      </c>
      <c r="AZ21" s="119">
        <f t="shared" si="38"/>
        <v>14.5</v>
      </c>
      <c r="BA21" s="123">
        <f t="shared" ref="BA21:BB21" si="47">SUM(AX21)</f>
        <v>6.5</v>
      </c>
      <c r="BB21" s="122">
        <f t="shared" si="47"/>
        <v>8</v>
      </c>
      <c r="BC21" s="122">
        <f t="shared" si="7"/>
        <v>12</v>
      </c>
      <c r="BD21" s="122">
        <f t="shared" si="8"/>
        <v>10</v>
      </c>
      <c r="BE21" s="122">
        <f t="shared" si="9"/>
        <v>11</v>
      </c>
      <c r="BF21" s="122">
        <f t="shared" si="10"/>
        <v>11.21</v>
      </c>
      <c r="BG21" s="122">
        <f t="shared" ref="BG21:BL21" si="48">SUM(AR21)</f>
        <v>0.8</v>
      </c>
      <c r="BH21" s="122">
        <f t="shared" si="48"/>
        <v>0</v>
      </c>
      <c r="BI21" s="122">
        <f t="shared" si="48"/>
        <v>0</v>
      </c>
      <c r="BJ21" s="122">
        <f t="shared" si="48"/>
        <v>0</v>
      </c>
      <c r="BK21" s="122">
        <f t="shared" si="48"/>
        <v>0</v>
      </c>
      <c r="BL21" s="122">
        <f t="shared" si="48"/>
        <v>0</v>
      </c>
      <c r="BM21" s="122">
        <f t="shared" si="12"/>
        <v>14.5</v>
      </c>
      <c r="BN21" s="113"/>
      <c r="BO21" s="50">
        <f t="shared" si="13"/>
        <v>74.01</v>
      </c>
      <c r="BP21" s="32">
        <v>1.0</v>
      </c>
    </row>
    <row r="22">
      <c r="A22" s="36"/>
      <c r="B22" s="36"/>
      <c r="D22" s="36"/>
      <c r="E22" s="36"/>
      <c r="F22" s="36"/>
      <c r="G22" s="36"/>
      <c r="H22" s="36"/>
      <c r="I22" s="27"/>
      <c r="J22" s="36"/>
      <c r="K22" s="36"/>
      <c r="L22" s="36"/>
      <c r="M22" s="36"/>
      <c r="AB22" s="36"/>
      <c r="AC22" s="36"/>
      <c r="AD22" s="36"/>
      <c r="AE22" s="37"/>
      <c r="AG22" s="36"/>
      <c r="AH22" s="36"/>
      <c r="AI22" s="37"/>
      <c r="AK22" s="36"/>
      <c r="AL22" s="36"/>
      <c r="AM22" s="37"/>
      <c r="AO22" s="36"/>
      <c r="AP22" s="36"/>
      <c r="AQ22" s="36"/>
      <c r="AR22" s="36"/>
      <c r="BA22" s="123" t="str">
        <f t="shared" ref="BA22:BF22" si="49">ROUND(COUNTIF(BA4:BA21, "&gt;=6") / COUNT(BA4:BA21) * 100,0) &amp; "%"</f>
        <v>89%</v>
      </c>
      <c r="BB22" s="113" t="str">
        <f t="shared" si="49"/>
        <v>89%</v>
      </c>
      <c r="BC22" s="123" t="str">
        <f t="shared" si="49"/>
        <v>94%</v>
      </c>
      <c r="BD22" s="122" t="str">
        <f t="shared" si="49"/>
        <v>94%</v>
      </c>
      <c r="BE22" s="122" t="str">
        <f t="shared" si="49"/>
        <v>94%</v>
      </c>
      <c r="BF22" s="113" t="str">
        <f t="shared" si="49"/>
        <v>89%</v>
      </c>
      <c r="BG22" s="123" t="str">
        <f t="shared" ref="BG22:BL22" si="50">ROUND(COUNTIF(BG4:BG21, "&gt;0.01") / COUNT(BG4:BG21) * 100,0) &amp; "%"</f>
        <v>67%</v>
      </c>
      <c r="BH22" s="122" t="str">
        <f t="shared" si="50"/>
        <v>39%</v>
      </c>
      <c r="BI22" s="122" t="str">
        <f t="shared" si="50"/>
        <v>39%</v>
      </c>
      <c r="BJ22" s="122" t="str">
        <f t="shared" si="50"/>
        <v>33%</v>
      </c>
      <c r="BK22" s="122" t="str">
        <f t="shared" si="50"/>
        <v>28%</v>
      </c>
      <c r="BL22" s="122" t="str">
        <f t="shared" si="50"/>
        <v>17%</v>
      </c>
      <c r="BM22" s="113" t="str">
        <f>ROUND(COUNTIF(BM4:BM21, "&gt;=12") / COUNT(BM4:BM21) * 100,0) &amp; "%"</f>
        <v>89%</v>
      </c>
      <c r="BO22" s="124" t="str">
        <f>ROUND(COUNTIF(BO4:BO21, "&gt;=60") / COUNT(BO4:BO21) * 100,0) &amp; "%"</f>
        <v>89%</v>
      </c>
      <c r="BP22" s="32"/>
    </row>
    <row r="23">
      <c r="A23" s="36"/>
      <c r="B23" s="36"/>
      <c r="D23" s="36"/>
      <c r="E23" s="36"/>
      <c r="F23" s="36"/>
      <c r="G23" s="36"/>
      <c r="H23" s="36"/>
      <c r="I23" s="27"/>
      <c r="J23" s="36"/>
      <c r="K23" s="36"/>
      <c r="L23" s="36"/>
      <c r="M23" s="36"/>
      <c r="AB23" s="36"/>
      <c r="AC23" s="36"/>
      <c r="AD23" s="36"/>
      <c r="AE23" s="37"/>
      <c r="AG23" s="36"/>
      <c r="AH23" s="36"/>
      <c r="AI23" s="37"/>
      <c r="AK23" s="36"/>
      <c r="AL23" s="36"/>
      <c r="AM23" s="37"/>
      <c r="AO23" s="36"/>
      <c r="AP23" s="36"/>
      <c r="AQ23" s="36"/>
      <c r="AR23" s="36"/>
      <c r="AX23" s="36">
        <f t="shared" ref="AX23:AY23" si="51">COUNTA($B$4:$B$21)-COUNTIF(AX4:AX21,"&gt;=6")</f>
        <v>2</v>
      </c>
      <c r="AY23" s="36">
        <f t="shared" si="51"/>
        <v>2</v>
      </c>
      <c r="BP23" s="32"/>
    </row>
    <row r="24">
      <c r="A24" s="36"/>
      <c r="B24" s="36"/>
      <c r="D24" s="36"/>
      <c r="E24" s="36"/>
      <c r="F24" s="36"/>
      <c r="G24" s="36"/>
      <c r="H24" s="36"/>
      <c r="I24" s="27"/>
      <c r="J24" s="36"/>
      <c r="K24" s="36"/>
      <c r="L24" s="36"/>
      <c r="M24" s="36"/>
      <c r="AB24" s="36"/>
      <c r="AC24" s="36"/>
      <c r="AD24" s="36"/>
      <c r="AE24" s="37"/>
      <c r="AG24" s="36"/>
      <c r="AH24" s="36"/>
      <c r="AI24" s="37"/>
      <c r="AM24" s="37"/>
      <c r="AO24" s="36"/>
      <c r="AP24" s="36"/>
      <c r="AQ24" s="36"/>
      <c r="AR24" s="36"/>
      <c r="BC24" s="125" t="s">
        <v>126</v>
      </c>
      <c r="BD24" s="125" t="s">
        <v>127</v>
      </c>
      <c r="BE24" s="125" t="s">
        <v>128</v>
      </c>
      <c r="BF24" s="125" t="s">
        <v>129</v>
      </c>
      <c r="BG24" s="125" t="s">
        <v>130</v>
      </c>
      <c r="BH24" s="125" t="s">
        <v>131</v>
      </c>
      <c r="BP24" s="32"/>
    </row>
    <row r="25">
      <c r="A25" s="36"/>
      <c r="B25" s="36"/>
      <c r="D25" s="36"/>
      <c r="E25" s="36"/>
      <c r="F25" s="36"/>
      <c r="G25" s="36"/>
      <c r="H25" s="36"/>
      <c r="I25" s="27"/>
      <c r="J25" s="36"/>
      <c r="K25" s="36"/>
      <c r="L25" s="36"/>
      <c r="M25" s="36"/>
      <c r="AB25" s="36"/>
      <c r="AC25" s="36"/>
      <c r="AD25" s="36"/>
      <c r="AE25" s="37"/>
      <c r="AG25" s="36"/>
      <c r="AH25" s="36"/>
      <c r="AI25" s="37"/>
      <c r="AO25" s="36"/>
      <c r="AP25" s="36"/>
      <c r="AQ25" s="36"/>
      <c r="AR25" s="36"/>
      <c r="BC25" s="126">
        <f>COUNTIF(BO4:BO21, "&lt;60")</f>
        <v>2</v>
      </c>
      <c r="BD25" s="126">
        <f>COUNTIFS(BO4:BO21, "&gt;=60", BO4:BO21, "&lt;=67")</f>
        <v>3</v>
      </c>
      <c r="BE25" s="126">
        <f>COUNTIFS(BO4:BO21, "&gt;67", BO4:BO21, "&lt;=74")</f>
        <v>1</v>
      </c>
      <c r="BF25" s="127">
        <f>COUNTIFS(BO4:BO21, "&gt;74", BO4:BO21, "&lt;=83")</f>
        <v>11</v>
      </c>
      <c r="BG25" s="126">
        <f>COUNTIFS(BO4:BO21, "&gt;83", BO4:BO21, "&lt;=90")</f>
        <v>1</v>
      </c>
      <c r="BH25" s="126">
        <f>COUNTIF(BO4:BO21, "&gt;90")</f>
        <v>0</v>
      </c>
      <c r="BI25" s="128">
        <f>COUNT(BO4:BO21)</f>
        <v>18</v>
      </c>
      <c r="BP25" s="32"/>
    </row>
  </sheetData>
  <mergeCells count="53">
    <mergeCell ref="AB2:AB3"/>
    <mergeCell ref="AE2:AE3"/>
    <mergeCell ref="A1:B1"/>
    <mergeCell ref="C1:C3"/>
    <mergeCell ref="D1:AA1"/>
    <mergeCell ref="AB1:AE1"/>
    <mergeCell ref="AF1:AI1"/>
    <mergeCell ref="AJ1:AM1"/>
    <mergeCell ref="AN1:AQ1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X2:AX3"/>
    <mergeCell ref="AY2:AY3"/>
    <mergeCell ref="AQ2:AQ3"/>
    <mergeCell ref="AR2:AR3"/>
    <mergeCell ref="AS2:AS3"/>
    <mergeCell ref="AT2:AT3"/>
    <mergeCell ref="AU2:AU3"/>
    <mergeCell ref="AV2:AV3"/>
    <mergeCell ref="AW2:AW3"/>
    <mergeCell ref="BA1:BM2"/>
    <mergeCell ref="BO1:BO3"/>
    <mergeCell ref="BP1:BP3"/>
    <mergeCell ref="AZ2:AZ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F2:AF3"/>
    <mergeCell ref="AI2:AI3"/>
    <mergeCell ref="AJ2:AJ3"/>
    <mergeCell ref="AM2:AM3"/>
    <mergeCell ref="AN2:AN3"/>
  </mergeCells>
  <conditionalFormatting sqref="BA4:BN21">
    <cfRule type="cellIs" dxfId="1" priority="1" operator="lessThan">
      <formula>0.1</formula>
    </cfRule>
  </conditionalFormatting>
  <conditionalFormatting sqref="BA4:BN21">
    <cfRule type="cellIs" dxfId="2" priority="2" operator="greaterThanOrEqual">
      <formula>0.1</formula>
    </cfRule>
  </conditionalFormatting>
  <conditionalFormatting sqref="BO4:BO21 BP4:BP25">
    <cfRule type="cellIs" dxfId="3" priority="3" operator="between">
      <formula>60</formula>
      <formula>68</formula>
    </cfRule>
  </conditionalFormatting>
  <conditionalFormatting sqref="BO4:BO21 BP4:BP25">
    <cfRule type="cellIs" dxfId="4" priority="4" operator="between">
      <formula>68</formula>
      <formula>74</formula>
    </cfRule>
  </conditionalFormatting>
  <conditionalFormatting sqref="BO4:BO21 BP4:BP25">
    <cfRule type="cellIs" dxfId="2" priority="5" operator="between">
      <formula>74</formula>
      <formula>81</formula>
    </cfRule>
  </conditionalFormatting>
  <conditionalFormatting sqref="BO4:BO21 BP4:BP25">
    <cfRule type="cellIs" dxfId="5" priority="6" operator="between">
      <formula>81</formula>
      <formula>90</formula>
    </cfRule>
  </conditionalFormatting>
  <conditionalFormatting sqref="BO4:BO21 BP4:BP25">
    <cfRule type="cellIs" dxfId="6" priority="7" operator="greaterThan">
      <formula>90</formula>
    </cfRule>
  </conditionalFormatting>
  <conditionalFormatting sqref="G4:G11 G13:G16 G18:G21">
    <cfRule type="containsText" dxfId="7" priority="8" operator="containsText" text="н">
      <formula>NOT(ISERROR(SEARCH(("н"),(G4))))</formula>
    </cfRule>
  </conditionalFormatting>
  <conditionalFormatting sqref="G4:G11 G13:G16 G18:G21">
    <cfRule type="containsText" dxfId="7" priority="9" operator="containsText" text="n">
      <formula>NOT(ISERROR(SEARCH(("n"),(G4))))</formula>
    </cfRule>
  </conditionalFormatting>
  <conditionalFormatting sqref="F4:F11 F13:F16 F18:F21">
    <cfRule type="containsText" dxfId="7" priority="10" operator="containsText" text="н">
      <formula>NOT(ISERROR(SEARCH(("н"),(F4))))</formula>
    </cfRule>
  </conditionalFormatting>
  <conditionalFormatting sqref="F4:F11 F13:F16 F18:F21">
    <cfRule type="containsText" dxfId="7" priority="11" operator="containsText" text="n">
      <formula>NOT(ISERROR(SEARCH(("n"),(F4))))</formula>
    </cfRule>
  </conditionalFormatting>
  <conditionalFormatting sqref="AC4:AD4">
    <cfRule type="cellIs" dxfId="8" priority="12" operator="equal">
      <formula>0</formula>
    </cfRule>
  </conditionalFormatting>
  <conditionalFormatting sqref="AG4:AH4">
    <cfRule type="cellIs" dxfId="8" priority="13" operator="equal">
      <formula>0</formula>
    </cfRule>
  </conditionalFormatting>
  <conditionalFormatting sqref="AK4:AL4">
    <cfRule type="cellIs" dxfId="8" priority="14" operator="equal">
      <formula>0</formula>
    </cfRule>
  </conditionalFormatting>
  <conditionalFormatting sqref="AO4:AP4">
    <cfRule type="cellIs" dxfId="8" priority="15" operator="equal">
      <formula>0</formula>
    </cfRule>
  </conditionalFormatting>
  <conditionalFormatting sqref="AR4:AY4">
    <cfRule type="cellIs" dxfId="8" priority="16" operator="equal">
      <formula>0</formula>
    </cfRule>
  </conditionalFormatting>
  <conditionalFormatting sqref="D1:AA25">
    <cfRule type="containsText" dxfId="7" priority="17" operator="containsText" text="н">
      <formula>NOT(ISERROR(SEARCH(("н"),(D1))))</formula>
    </cfRule>
  </conditionalFormatting>
  <conditionalFormatting sqref="D1:AA25">
    <cfRule type="containsText" dxfId="7" priority="18" operator="containsText" text="n">
      <formula>NOT(ISERROR(SEARCH(("n"),(D1))))</formula>
    </cfRule>
  </conditionalFormatting>
  <conditionalFormatting sqref="AQ4">
    <cfRule type="timePeriod" dxfId="0" priority="19" timePeriod="last7Days"/>
  </conditionalFormatting>
  <conditionalFormatting sqref="BO1:BO21 BP1:BP25">
    <cfRule type="cellIs" dxfId="3" priority="20" operator="between">
      <formula>60</formula>
      <formula>68</formula>
    </cfRule>
  </conditionalFormatting>
  <conditionalFormatting sqref="AZ4:AZ25">
    <cfRule type="cellIs" dxfId="6" priority="21" operator="between">
      <formula>12</formula>
      <formula>1000</formula>
    </cfRule>
  </conditionalFormatting>
  <conditionalFormatting sqref="BO1:BO21 BP1:BP25">
    <cfRule type="cellIs" dxfId="4" priority="22" operator="between">
      <formula>68</formula>
      <formula>74</formula>
    </cfRule>
  </conditionalFormatting>
  <conditionalFormatting sqref="BO1:BO21 BP1:BP25">
    <cfRule type="cellIs" dxfId="2" priority="23" operator="between">
      <formula>74</formula>
      <formula>81</formula>
    </cfRule>
  </conditionalFormatting>
  <conditionalFormatting sqref="BO1:BO21 BP1:BP25">
    <cfRule type="cellIs" dxfId="5" priority="24" operator="between">
      <formula>81</formula>
      <formula>90</formula>
    </cfRule>
  </conditionalFormatting>
  <conditionalFormatting sqref="BO1:BO21 BP1:BP25">
    <cfRule type="cellIs" dxfId="6" priority="25" operator="greaterThan">
      <formula>90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14" width="2.88"/>
    <col customWidth="1" min="15" max="20" width="6.5"/>
    <col customWidth="1" min="21" max="21" width="5.0"/>
    <col customWidth="1" min="22" max="22" width="3.88"/>
    <col customWidth="1" min="23" max="23" width="4.63"/>
    <col customWidth="1" min="24" max="24" width="6.5"/>
    <col customWidth="1" min="25" max="25" width="5.13"/>
    <col customWidth="1" min="26" max="26" width="4.0"/>
    <col customWidth="1" min="27" max="27" width="5.0"/>
    <col customWidth="1" min="28" max="28" width="6.38"/>
    <col customWidth="1" min="29" max="29" width="5.13"/>
    <col customWidth="1" min="30" max="30" width="4.0"/>
    <col customWidth="1" min="31" max="31" width="5.0"/>
    <col customWidth="1" min="32" max="32" width="7.63"/>
    <col customWidth="1" min="33" max="33" width="5.0"/>
    <col customWidth="1" min="34" max="34" width="4.5"/>
    <col customWidth="1" min="35" max="35" width="5.0"/>
    <col customWidth="1" min="36" max="36" width="5.63"/>
    <col customWidth="1" min="37" max="37" width="5.13"/>
    <col customWidth="1" min="38" max="38" width="5.38"/>
    <col customWidth="1" min="39" max="39" width="5.0"/>
    <col customWidth="1" min="40" max="41" width="5.38"/>
    <col customWidth="1" min="42" max="43" width="5.88"/>
    <col customWidth="1" min="44" max="44" width="5.63"/>
    <col customWidth="1" min="45" max="45" width="4.5"/>
    <col customWidth="1" min="46" max="46" width="4.38"/>
    <col customWidth="1" min="47" max="51" width="4.25"/>
    <col customWidth="1" min="52" max="52" width="4.63"/>
    <col customWidth="1" min="53" max="53" width="4.5"/>
    <col customWidth="1" min="54" max="55" width="4.63"/>
    <col customWidth="1" min="56" max="56" width="4.5"/>
    <col customWidth="1" min="57" max="58" width="4.38"/>
    <col customWidth="1" min="59" max="59" width="6.63"/>
    <col customWidth="1" min="60" max="60" width="3.25"/>
  </cols>
  <sheetData>
    <row r="1">
      <c r="A1" s="1" t="s">
        <v>132</v>
      </c>
      <c r="C1" s="2" t="s">
        <v>1</v>
      </c>
      <c r="D1" s="3" t="s">
        <v>2</v>
      </c>
      <c r="N1" s="4"/>
      <c r="O1" s="129"/>
      <c r="P1" s="129"/>
      <c r="Q1" s="129"/>
      <c r="R1" s="129"/>
      <c r="S1" s="129"/>
      <c r="T1" s="5" t="s">
        <v>3</v>
      </c>
      <c r="W1" s="4"/>
      <c r="X1" s="5" t="s">
        <v>4</v>
      </c>
      <c r="AA1" s="4"/>
      <c r="AB1" s="5" t="s">
        <v>5</v>
      </c>
      <c r="AE1" s="4"/>
      <c r="AF1" s="5" t="s">
        <v>6</v>
      </c>
      <c r="AI1" s="4"/>
      <c r="AJ1" s="3" t="s">
        <v>7</v>
      </c>
      <c r="AK1" s="6" t="s">
        <v>8</v>
      </c>
      <c r="AL1" s="6" t="s">
        <v>9</v>
      </c>
      <c r="AM1" s="6" t="s">
        <v>10</v>
      </c>
      <c r="AN1" s="6" t="s">
        <v>11</v>
      </c>
      <c r="AO1" s="6" t="s">
        <v>12</v>
      </c>
      <c r="AP1" s="6" t="s">
        <v>13</v>
      </c>
      <c r="AQ1" s="7" t="s">
        <v>14</v>
      </c>
      <c r="AR1" s="3" t="s">
        <v>15</v>
      </c>
      <c r="AS1" s="6" t="s">
        <v>16</v>
      </c>
      <c r="BF1" s="7"/>
      <c r="BG1" s="41" t="s">
        <v>17</v>
      </c>
      <c r="BH1" s="10" t="s">
        <v>18</v>
      </c>
    </row>
    <row r="2">
      <c r="A2" s="11" t="s">
        <v>19</v>
      </c>
      <c r="B2" s="11" t="s">
        <v>20</v>
      </c>
      <c r="C2" s="4"/>
      <c r="D2" s="12">
        <v>45538.0</v>
      </c>
      <c r="E2" s="12">
        <f t="shared" ref="E2:K2" si="1">D2+14</f>
        <v>45552</v>
      </c>
      <c r="F2" s="12">
        <f t="shared" si="1"/>
        <v>45566</v>
      </c>
      <c r="G2" s="12">
        <f t="shared" si="1"/>
        <v>45580</v>
      </c>
      <c r="H2" s="12">
        <f t="shared" si="1"/>
        <v>45594</v>
      </c>
      <c r="I2" s="12">
        <f t="shared" si="1"/>
        <v>45608</v>
      </c>
      <c r="J2" s="12">
        <f t="shared" si="1"/>
        <v>45622</v>
      </c>
      <c r="K2" s="12">
        <f t="shared" si="1"/>
        <v>45636</v>
      </c>
      <c r="L2" s="13">
        <v>27.1</v>
      </c>
      <c r="M2" s="13">
        <v>11.11</v>
      </c>
      <c r="N2" s="13">
        <v>18.11</v>
      </c>
      <c r="O2" s="15"/>
      <c r="P2" s="15"/>
      <c r="Q2" s="15"/>
      <c r="R2" s="15"/>
      <c r="S2" s="15"/>
      <c r="T2" s="14" t="s">
        <v>21</v>
      </c>
      <c r="U2" s="15" t="s">
        <v>22</v>
      </c>
      <c r="V2" s="15" t="s">
        <v>23</v>
      </c>
      <c r="W2" s="16" t="s">
        <v>24</v>
      </c>
      <c r="X2" s="14" t="s">
        <v>21</v>
      </c>
      <c r="Y2" s="15" t="s">
        <v>22</v>
      </c>
      <c r="Z2" s="15" t="s">
        <v>23</v>
      </c>
      <c r="AA2" s="16" t="s">
        <v>24</v>
      </c>
      <c r="AB2" s="14" t="s">
        <v>21</v>
      </c>
      <c r="AC2" s="15" t="s">
        <v>22</v>
      </c>
      <c r="AD2" s="15" t="s">
        <v>23</v>
      </c>
      <c r="AE2" s="16" t="s">
        <v>24</v>
      </c>
      <c r="AF2" s="14" t="s">
        <v>21</v>
      </c>
      <c r="AG2" s="15" t="s">
        <v>22</v>
      </c>
      <c r="AH2" s="15" t="s">
        <v>23</v>
      </c>
      <c r="AI2" s="16" t="s">
        <v>24</v>
      </c>
      <c r="AJ2" s="17" t="s">
        <v>25</v>
      </c>
      <c r="AK2" s="18" t="s">
        <v>25</v>
      </c>
      <c r="AL2" s="18" t="s">
        <v>25</v>
      </c>
      <c r="AM2" s="18" t="s">
        <v>25</v>
      </c>
      <c r="AN2" s="18" t="s">
        <v>25</v>
      </c>
      <c r="AO2" s="18" t="s">
        <v>25</v>
      </c>
      <c r="AP2" s="15" t="s">
        <v>26</v>
      </c>
      <c r="AQ2" s="19" t="s">
        <v>26</v>
      </c>
      <c r="AR2" s="14" t="s">
        <v>27</v>
      </c>
      <c r="BF2" s="7"/>
      <c r="BG2" s="4"/>
    </row>
    <row r="3">
      <c r="C3" s="4"/>
      <c r="O3" s="15"/>
      <c r="P3" s="15"/>
      <c r="Q3" s="15"/>
      <c r="R3" s="15"/>
      <c r="S3" s="15"/>
      <c r="T3" s="21"/>
      <c r="U3" s="15" t="s">
        <v>26</v>
      </c>
      <c r="V3" s="15" t="s">
        <v>28</v>
      </c>
      <c r="W3" s="4"/>
      <c r="X3" s="21"/>
      <c r="Y3" s="15" t="s">
        <v>26</v>
      </c>
      <c r="Z3" s="15" t="s">
        <v>28</v>
      </c>
      <c r="AA3" s="4"/>
      <c r="AB3" s="21"/>
      <c r="AC3" s="15" t="s">
        <v>26</v>
      </c>
      <c r="AD3" s="15" t="s">
        <v>28</v>
      </c>
      <c r="AE3" s="4"/>
      <c r="AF3" s="21"/>
      <c r="AG3" s="15" t="s">
        <v>26</v>
      </c>
      <c r="AH3" s="15" t="s">
        <v>28</v>
      </c>
      <c r="AI3" s="4"/>
      <c r="AJ3" s="21"/>
      <c r="AQ3" s="4"/>
      <c r="AR3" s="21"/>
      <c r="AS3" s="17" t="s">
        <v>29</v>
      </c>
      <c r="AT3" s="18" t="s">
        <v>30</v>
      </c>
      <c r="AU3" s="18" t="s">
        <v>3</v>
      </c>
      <c r="AV3" s="18" t="s">
        <v>4</v>
      </c>
      <c r="AW3" s="18" t="s">
        <v>5</v>
      </c>
      <c r="AX3" s="18" t="s">
        <v>6</v>
      </c>
      <c r="AY3" s="18" t="s">
        <v>7</v>
      </c>
      <c r="AZ3" s="18" t="s">
        <v>8</v>
      </c>
      <c r="BA3" s="18" t="s">
        <v>9</v>
      </c>
      <c r="BB3" s="18" t="s">
        <v>10</v>
      </c>
      <c r="BC3" s="18" t="s">
        <v>11</v>
      </c>
      <c r="BD3" s="18" t="s">
        <v>12</v>
      </c>
      <c r="BE3" s="18" t="s">
        <v>31</v>
      </c>
      <c r="BF3" s="23" t="s">
        <v>23</v>
      </c>
      <c r="BG3" s="4"/>
    </row>
    <row r="4">
      <c r="A4" s="43">
        <v>476150.0</v>
      </c>
      <c r="B4" s="55" t="s">
        <v>133</v>
      </c>
      <c r="C4" s="24"/>
      <c r="D4" s="25" t="s">
        <v>91</v>
      </c>
      <c r="E4" s="27" t="s">
        <v>84</v>
      </c>
      <c r="F4" s="27" t="s">
        <v>91</v>
      </c>
      <c r="G4" s="27" t="s">
        <v>91</v>
      </c>
      <c r="H4" s="27" t="s">
        <v>84</v>
      </c>
      <c r="I4" s="27" t="s">
        <v>91</v>
      </c>
      <c r="J4" s="27" t="s">
        <v>84</v>
      </c>
      <c r="K4" s="27" t="s">
        <v>84</v>
      </c>
      <c r="L4" s="27" t="s">
        <v>84</v>
      </c>
      <c r="M4" s="27" t="s">
        <v>84</v>
      </c>
      <c r="N4" s="27" t="s">
        <v>91</v>
      </c>
      <c r="O4" s="49" t="s">
        <v>91</v>
      </c>
      <c r="P4" s="49" t="s">
        <v>84</v>
      </c>
      <c r="Q4" s="49" t="s">
        <v>84</v>
      </c>
      <c r="R4" s="49" t="s">
        <v>91</v>
      </c>
      <c r="S4" s="49" t="s">
        <v>84</v>
      </c>
      <c r="T4" s="43">
        <v>476150.0</v>
      </c>
      <c r="U4" s="36">
        <v>8.6</v>
      </c>
      <c r="W4" s="24" t="s">
        <v>134</v>
      </c>
      <c r="X4" s="28">
        <v>77.0</v>
      </c>
      <c r="Y4" s="36">
        <v>8.8</v>
      </c>
      <c r="AA4" s="24">
        <v>11.11</v>
      </c>
      <c r="AB4" s="28">
        <v>88.0</v>
      </c>
      <c r="AC4" s="36">
        <v>8.6</v>
      </c>
      <c r="AE4" s="24">
        <v>9.12</v>
      </c>
      <c r="AF4" s="28">
        <v>89.0</v>
      </c>
      <c r="AG4" s="36">
        <v>9.0</v>
      </c>
      <c r="AH4" s="36">
        <v>2.0</v>
      </c>
      <c r="AI4" s="24">
        <v>23.12</v>
      </c>
      <c r="AJ4" s="28"/>
      <c r="AP4" s="36">
        <v>8.0</v>
      </c>
      <c r="AQ4" s="24">
        <v>8.33</v>
      </c>
      <c r="AR4" s="28">
        <f t="shared" ref="AR4:AR7" si="4">SUM(AP4:AQ4)</f>
        <v>16.33</v>
      </c>
      <c r="AS4" s="21">
        <f t="shared" ref="AS4:AT4" si="2">SUM(AP4)</f>
        <v>8</v>
      </c>
      <c r="AT4">
        <f t="shared" si="2"/>
        <v>8.33</v>
      </c>
      <c r="AU4">
        <f t="shared" ref="AU4:AU19" si="6">SUM(U4,V4)</f>
        <v>8.6</v>
      </c>
      <c r="AV4">
        <f t="shared" ref="AV4:AV10" si="7">SUM(Y4,Z4)</f>
        <v>8.8</v>
      </c>
      <c r="AW4">
        <f t="shared" ref="AW4:AW19" si="8">SUM(AC4,AD4)</f>
        <v>8.6</v>
      </c>
      <c r="AX4">
        <f t="shared" ref="AX4:AX19" si="9">SUM(AG4,AH4)</f>
        <v>11</v>
      </c>
      <c r="AY4">
        <f t="shared" ref="AY4:BD4" si="3">SUM(AJ4)</f>
        <v>0</v>
      </c>
      <c r="AZ4">
        <f t="shared" si="3"/>
        <v>0</v>
      </c>
      <c r="BA4">
        <f t="shared" si="3"/>
        <v>0</v>
      </c>
      <c r="BB4">
        <f t="shared" si="3"/>
        <v>0</v>
      </c>
      <c r="BC4">
        <f t="shared" si="3"/>
        <v>0</v>
      </c>
      <c r="BD4">
        <f t="shared" si="3"/>
        <v>0</v>
      </c>
      <c r="BE4">
        <f t="shared" ref="BE4:BE19" si="11">SUM(AR4)</f>
        <v>16.33</v>
      </c>
      <c r="BF4" s="4"/>
      <c r="BG4" s="50">
        <f t="shared" ref="BG4:BG19" si="12">SUM(AS4:BF4)</f>
        <v>69.66</v>
      </c>
      <c r="BH4" s="32">
        <v>1.0</v>
      </c>
    </row>
    <row r="5">
      <c r="A5" s="43">
        <v>465142.0</v>
      </c>
      <c r="B5" s="55" t="s">
        <v>135</v>
      </c>
      <c r="C5" s="24"/>
      <c r="D5" s="25" t="s">
        <v>84</v>
      </c>
      <c r="E5" s="27" t="s">
        <v>91</v>
      </c>
      <c r="F5" s="27" t="s">
        <v>91</v>
      </c>
      <c r="G5" s="27" t="s">
        <v>91</v>
      </c>
      <c r="H5" s="27" t="s">
        <v>91</v>
      </c>
      <c r="I5" s="27" t="s">
        <v>84</v>
      </c>
      <c r="J5" s="27" t="s">
        <v>84</v>
      </c>
      <c r="K5" s="27" t="s">
        <v>84</v>
      </c>
      <c r="L5" s="36" t="s">
        <v>84</v>
      </c>
      <c r="M5" s="27" t="s">
        <v>91</v>
      </c>
      <c r="N5" s="27" t="s">
        <v>84</v>
      </c>
      <c r="O5" s="49" t="s">
        <v>84</v>
      </c>
      <c r="P5" s="49" t="s">
        <v>84</v>
      </c>
      <c r="Q5" s="49" t="s">
        <v>91</v>
      </c>
      <c r="R5" s="49" t="s">
        <v>84</v>
      </c>
      <c r="S5" s="49" t="s">
        <v>91</v>
      </c>
      <c r="T5" s="43">
        <v>465142.0</v>
      </c>
      <c r="U5" s="36">
        <v>8.6</v>
      </c>
      <c r="W5" s="24">
        <v>28.1</v>
      </c>
      <c r="X5" s="28">
        <v>2152.0</v>
      </c>
      <c r="Y5" s="36">
        <v>9.0</v>
      </c>
      <c r="AA5" s="24">
        <v>2.12</v>
      </c>
      <c r="AB5" s="28">
        <v>11.0</v>
      </c>
      <c r="AC5" s="36">
        <v>9.0</v>
      </c>
      <c r="AE5" s="24">
        <v>16.12</v>
      </c>
      <c r="AF5" s="28">
        <v>123.0</v>
      </c>
      <c r="AG5" s="36">
        <v>9.0</v>
      </c>
      <c r="AI5" s="38"/>
      <c r="AJ5" s="28">
        <v>0.5</v>
      </c>
      <c r="AK5" s="36">
        <v>0.2</v>
      </c>
      <c r="AN5" s="36">
        <v>1.2</v>
      </c>
      <c r="AP5" s="36">
        <v>6.0</v>
      </c>
      <c r="AQ5" s="24">
        <v>6.0</v>
      </c>
      <c r="AR5" s="28">
        <f t="shared" si="4"/>
        <v>12</v>
      </c>
      <c r="AS5" s="21">
        <f t="shared" ref="AS5:AT5" si="5">SUM(AP5)</f>
        <v>6</v>
      </c>
      <c r="AT5">
        <f t="shared" si="5"/>
        <v>6</v>
      </c>
      <c r="AU5">
        <f t="shared" si="6"/>
        <v>8.6</v>
      </c>
      <c r="AV5">
        <f t="shared" si="7"/>
        <v>9</v>
      </c>
      <c r="AW5">
        <f t="shared" si="8"/>
        <v>9</v>
      </c>
      <c r="AX5">
        <f t="shared" si="9"/>
        <v>9</v>
      </c>
      <c r="AY5">
        <f t="shared" ref="AY5:BD5" si="10">SUM(AJ5)</f>
        <v>0.5</v>
      </c>
      <c r="AZ5">
        <f t="shared" si="10"/>
        <v>0.2</v>
      </c>
      <c r="BA5">
        <f t="shared" si="10"/>
        <v>0</v>
      </c>
      <c r="BB5">
        <f t="shared" si="10"/>
        <v>0</v>
      </c>
      <c r="BC5">
        <f t="shared" si="10"/>
        <v>1.2</v>
      </c>
      <c r="BD5">
        <f t="shared" si="10"/>
        <v>0</v>
      </c>
      <c r="BE5">
        <f t="shared" si="11"/>
        <v>12</v>
      </c>
      <c r="BF5" s="4"/>
      <c r="BG5" s="50">
        <f t="shared" si="12"/>
        <v>61.5</v>
      </c>
      <c r="BH5" s="32">
        <v>1.0</v>
      </c>
    </row>
    <row r="6">
      <c r="A6" s="36">
        <v>408449.0</v>
      </c>
      <c r="B6" s="36" t="s">
        <v>136</v>
      </c>
      <c r="E6" s="36" t="s">
        <v>84</v>
      </c>
      <c r="F6" s="36" t="s">
        <v>84</v>
      </c>
      <c r="G6" s="36" t="s">
        <v>84</v>
      </c>
      <c r="H6" s="36" t="s">
        <v>91</v>
      </c>
      <c r="I6" s="36" t="s">
        <v>91</v>
      </c>
      <c r="J6" s="36" t="s">
        <v>84</v>
      </c>
      <c r="K6" s="36" t="s">
        <v>91</v>
      </c>
      <c r="L6" s="36" t="s">
        <v>91</v>
      </c>
      <c r="M6" s="36" t="s">
        <v>91</v>
      </c>
      <c r="N6" s="36" t="s">
        <v>91</v>
      </c>
      <c r="O6" s="36" t="s">
        <v>91</v>
      </c>
      <c r="P6" s="36" t="s">
        <v>91</v>
      </c>
      <c r="Q6" s="36" t="s">
        <v>91</v>
      </c>
      <c r="R6" s="36" t="s">
        <v>91</v>
      </c>
      <c r="S6" s="36" t="s">
        <v>84</v>
      </c>
      <c r="T6" s="36">
        <v>408449.0</v>
      </c>
      <c r="U6" s="36">
        <v>8.8</v>
      </c>
      <c r="V6" s="36">
        <v>1.0</v>
      </c>
      <c r="W6" s="36">
        <v>23.09</v>
      </c>
      <c r="X6" s="36">
        <v>15.0</v>
      </c>
      <c r="Y6" s="36">
        <v>9.5</v>
      </c>
      <c r="Z6" s="36">
        <v>1.5</v>
      </c>
      <c r="AA6" s="36" t="s">
        <v>137</v>
      </c>
      <c r="AB6" s="36">
        <v>91.0</v>
      </c>
      <c r="AC6" s="36">
        <v>10.0</v>
      </c>
      <c r="AD6" s="36">
        <v>2.0</v>
      </c>
      <c r="AE6" s="36">
        <v>21.1</v>
      </c>
      <c r="AF6" s="36">
        <v>98.0</v>
      </c>
      <c r="AG6" s="36">
        <v>9.5</v>
      </c>
      <c r="AH6" s="36">
        <v>2.0</v>
      </c>
      <c r="AI6" s="36">
        <v>23.12</v>
      </c>
      <c r="AJ6" s="36">
        <v>2.0</v>
      </c>
      <c r="AL6" s="36">
        <v>0.7</v>
      </c>
      <c r="AP6" s="36">
        <v>6.0</v>
      </c>
      <c r="AQ6" s="36">
        <v>6.0</v>
      </c>
      <c r="AR6" s="28">
        <f t="shared" si="4"/>
        <v>12</v>
      </c>
      <c r="AS6" s="21">
        <f t="shared" ref="AS6:AT6" si="13">SUM(AP6)</f>
        <v>6</v>
      </c>
      <c r="AT6">
        <f t="shared" si="13"/>
        <v>6</v>
      </c>
      <c r="AU6">
        <f t="shared" si="6"/>
        <v>9.8</v>
      </c>
      <c r="AV6">
        <f t="shared" si="7"/>
        <v>11</v>
      </c>
      <c r="AW6">
        <f t="shared" si="8"/>
        <v>12</v>
      </c>
      <c r="AX6">
        <f t="shared" si="9"/>
        <v>11.5</v>
      </c>
      <c r="AY6">
        <f t="shared" ref="AY6:BD6" si="14">SUM(AJ6)</f>
        <v>2</v>
      </c>
      <c r="AZ6">
        <f t="shared" si="14"/>
        <v>0</v>
      </c>
      <c r="BA6">
        <f t="shared" si="14"/>
        <v>0.7</v>
      </c>
      <c r="BB6">
        <f t="shared" si="14"/>
        <v>0</v>
      </c>
      <c r="BC6">
        <f t="shared" si="14"/>
        <v>0</v>
      </c>
      <c r="BD6">
        <f t="shared" si="14"/>
        <v>0</v>
      </c>
      <c r="BE6">
        <f t="shared" si="11"/>
        <v>12</v>
      </c>
      <c r="BF6" s="4"/>
      <c r="BG6" s="50">
        <f t="shared" si="12"/>
        <v>71</v>
      </c>
      <c r="BH6" s="32">
        <v>1.0</v>
      </c>
    </row>
    <row r="7">
      <c r="A7" s="43">
        <v>471848.0</v>
      </c>
      <c r="B7" s="55" t="s">
        <v>138</v>
      </c>
      <c r="C7" s="24"/>
      <c r="D7" s="25" t="s">
        <v>91</v>
      </c>
      <c r="E7" s="27" t="s">
        <v>91</v>
      </c>
      <c r="F7" s="27" t="s">
        <v>91</v>
      </c>
      <c r="G7" s="27" t="s">
        <v>91</v>
      </c>
      <c r="H7" s="27" t="s">
        <v>84</v>
      </c>
      <c r="I7" s="27" t="s">
        <v>91</v>
      </c>
      <c r="J7" s="27" t="s">
        <v>91</v>
      </c>
      <c r="K7" s="27" t="s">
        <v>91</v>
      </c>
      <c r="L7" s="27" t="s">
        <v>84</v>
      </c>
      <c r="M7" s="27" t="s">
        <v>91</v>
      </c>
      <c r="N7" s="27" t="s">
        <v>91</v>
      </c>
      <c r="O7" s="49" t="s">
        <v>84</v>
      </c>
      <c r="P7" s="49" t="s">
        <v>84</v>
      </c>
      <c r="Q7" s="49" t="s">
        <v>84</v>
      </c>
      <c r="R7" s="49" t="s">
        <v>91</v>
      </c>
      <c r="S7" s="49" t="s">
        <v>84</v>
      </c>
      <c r="T7" s="43">
        <v>471848.0</v>
      </c>
      <c r="U7" s="36">
        <v>8.7</v>
      </c>
      <c r="W7" s="24">
        <v>28.1</v>
      </c>
      <c r="X7" s="28">
        <v>921.0</v>
      </c>
      <c r="Y7" s="36">
        <v>8.8</v>
      </c>
      <c r="AA7" s="24">
        <v>9.12</v>
      </c>
      <c r="AB7" s="28">
        <v>77.0</v>
      </c>
      <c r="AC7" s="36">
        <v>8.8</v>
      </c>
      <c r="AE7" s="24"/>
      <c r="AF7" s="28"/>
      <c r="AG7" s="36">
        <v>8.0</v>
      </c>
      <c r="AI7" s="24"/>
      <c r="AJ7" s="28">
        <v>0.1</v>
      </c>
      <c r="AK7" s="36">
        <v>0.3</v>
      </c>
      <c r="AP7" s="36">
        <v>6.0</v>
      </c>
      <c r="AQ7" s="24">
        <v>6.25</v>
      </c>
      <c r="AR7" s="28">
        <f t="shared" si="4"/>
        <v>12.25</v>
      </c>
      <c r="AS7" s="21">
        <f t="shared" ref="AS7:AT7" si="15">SUM(AP7)</f>
        <v>6</v>
      </c>
      <c r="AT7">
        <f t="shared" si="15"/>
        <v>6.25</v>
      </c>
      <c r="AU7">
        <f t="shared" si="6"/>
        <v>8.7</v>
      </c>
      <c r="AV7">
        <f t="shared" si="7"/>
        <v>8.8</v>
      </c>
      <c r="AW7">
        <f t="shared" si="8"/>
        <v>8.8</v>
      </c>
      <c r="AX7">
        <f t="shared" si="9"/>
        <v>8</v>
      </c>
      <c r="AY7">
        <f t="shared" ref="AY7:BD7" si="16">SUM(AJ7)</f>
        <v>0.1</v>
      </c>
      <c r="AZ7">
        <f t="shared" si="16"/>
        <v>0.3</v>
      </c>
      <c r="BA7">
        <f t="shared" si="16"/>
        <v>0</v>
      </c>
      <c r="BB7">
        <f t="shared" si="16"/>
        <v>0</v>
      </c>
      <c r="BC7">
        <f t="shared" si="16"/>
        <v>0</v>
      </c>
      <c r="BD7">
        <f t="shared" si="16"/>
        <v>0</v>
      </c>
      <c r="BE7">
        <f t="shared" si="11"/>
        <v>12.25</v>
      </c>
      <c r="BF7" s="24">
        <v>1.0</v>
      </c>
      <c r="BG7" s="50">
        <f t="shared" si="12"/>
        <v>60.2</v>
      </c>
      <c r="BH7" s="32">
        <v>1.0</v>
      </c>
    </row>
    <row r="8">
      <c r="A8" s="36"/>
      <c r="B8" s="36" t="s">
        <v>139</v>
      </c>
      <c r="E8" s="36"/>
      <c r="F8" s="36"/>
      <c r="G8" s="36"/>
      <c r="H8" s="36" t="s">
        <v>84</v>
      </c>
      <c r="I8" s="36" t="s">
        <v>91</v>
      </c>
      <c r="J8" s="36" t="s">
        <v>91</v>
      </c>
      <c r="K8" s="36" t="s">
        <v>91</v>
      </c>
      <c r="L8" s="36" t="s">
        <v>91</v>
      </c>
      <c r="M8" s="36" t="s">
        <v>91</v>
      </c>
      <c r="N8" s="36" t="s">
        <v>91</v>
      </c>
      <c r="O8" s="36" t="s">
        <v>84</v>
      </c>
      <c r="P8" s="36" t="s">
        <v>84</v>
      </c>
      <c r="Q8" s="36" t="s">
        <v>91</v>
      </c>
      <c r="R8" s="36" t="s">
        <v>84</v>
      </c>
      <c r="S8" s="36" t="s">
        <v>84</v>
      </c>
      <c r="T8" s="36"/>
      <c r="U8" s="36">
        <v>8.8</v>
      </c>
      <c r="V8" s="36"/>
      <c r="W8" s="36">
        <v>16.12</v>
      </c>
      <c r="X8" s="36">
        <v>47.0</v>
      </c>
      <c r="Y8" s="36">
        <v>9.0</v>
      </c>
      <c r="Z8" s="36"/>
      <c r="AA8" s="36">
        <v>23.12</v>
      </c>
      <c r="AB8" s="36">
        <v>99.0</v>
      </c>
      <c r="AC8" s="36"/>
      <c r="AD8" s="36"/>
      <c r="AE8" s="37"/>
      <c r="AF8" s="36">
        <v>15.0</v>
      </c>
      <c r="AG8" s="36"/>
      <c r="AH8" s="36"/>
      <c r="AI8" s="36"/>
      <c r="AJ8" s="36"/>
      <c r="AN8" s="36">
        <v>0.8</v>
      </c>
      <c r="AO8" s="36">
        <v>0.01</v>
      </c>
      <c r="AP8" s="36">
        <v>9.5</v>
      </c>
      <c r="AQ8" s="36">
        <v>6.0</v>
      </c>
      <c r="AS8" s="21">
        <f t="shared" ref="AS8:AT8" si="17">SUM(AP8)</f>
        <v>9.5</v>
      </c>
      <c r="AT8">
        <f t="shared" si="17"/>
        <v>6</v>
      </c>
      <c r="AU8">
        <f t="shared" si="6"/>
        <v>8.8</v>
      </c>
      <c r="AV8">
        <f t="shared" si="7"/>
        <v>9</v>
      </c>
      <c r="AW8">
        <f t="shared" si="8"/>
        <v>0</v>
      </c>
      <c r="AX8">
        <f t="shared" si="9"/>
        <v>0</v>
      </c>
      <c r="AY8">
        <f t="shared" ref="AY8:BD8" si="18">SUM(AJ8)</f>
        <v>0</v>
      </c>
      <c r="AZ8">
        <f t="shared" si="18"/>
        <v>0</v>
      </c>
      <c r="BA8">
        <f t="shared" si="18"/>
        <v>0</v>
      </c>
      <c r="BB8">
        <f t="shared" si="18"/>
        <v>0</v>
      </c>
      <c r="BC8">
        <f t="shared" si="18"/>
        <v>0.8</v>
      </c>
      <c r="BD8">
        <f t="shared" si="18"/>
        <v>0.01</v>
      </c>
      <c r="BE8">
        <f t="shared" si="11"/>
        <v>0</v>
      </c>
      <c r="BF8" s="4"/>
      <c r="BG8" s="50">
        <f t="shared" si="12"/>
        <v>34.11</v>
      </c>
      <c r="BH8" s="32"/>
    </row>
    <row r="9">
      <c r="A9" s="43">
        <v>465722.0</v>
      </c>
      <c r="B9" s="55" t="s">
        <v>140</v>
      </c>
      <c r="C9" s="24">
        <v>3002.0</v>
      </c>
      <c r="D9" s="25" t="s">
        <v>57</v>
      </c>
      <c r="E9" s="27" t="s">
        <v>84</v>
      </c>
      <c r="F9" s="27" t="s">
        <v>84</v>
      </c>
      <c r="G9" s="27" t="s">
        <v>91</v>
      </c>
      <c r="H9" s="27" t="s">
        <v>91</v>
      </c>
      <c r="I9" s="27" t="s">
        <v>91</v>
      </c>
      <c r="J9" s="27" t="s">
        <v>91</v>
      </c>
      <c r="K9" s="27" t="s">
        <v>91</v>
      </c>
      <c r="L9" s="27" t="s">
        <v>91</v>
      </c>
      <c r="M9" s="27" t="s">
        <v>91</v>
      </c>
      <c r="N9" s="27" t="s">
        <v>91</v>
      </c>
      <c r="O9" s="49" t="s">
        <v>91</v>
      </c>
      <c r="P9" s="49" t="s">
        <v>91</v>
      </c>
      <c r="Q9" s="49" t="s">
        <v>91</v>
      </c>
      <c r="R9" s="49" t="s">
        <v>91</v>
      </c>
      <c r="S9" s="49" t="s">
        <v>91</v>
      </c>
      <c r="T9" s="43">
        <v>465722.0</v>
      </c>
      <c r="U9" s="36">
        <v>9.3</v>
      </c>
      <c r="V9" s="36">
        <v>2.0</v>
      </c>
      <c r="W9" s="33">
        <v>45902.0</v>
      </c>
      <c r="X9" s="28">
        <v>1917.0</v>
      </c>
      <c r="Y9" s="36">
        <v>10.0</v>
      </c>
      <c r="Z9" s="36">
        <v>2.0</v>
      </c>
      <c r="AA9" s="24">
        <v>16.09</v>
      </c>
      <c r="AB9" s="28">
        <v>13.0</v>
      </c>
      <c r="AC9" s="36">
        <v>9.5</v>
      </c>
      <c r="AD9" s="36">
        <v>2.0</v>
      </c>
      <c r="AE9" s="24">
        <v>30.09</v>
      </c>
      <c r="AF9" s="28">
        <v>11.0</v>
      </c>
      <c r="AG9" s="36">
        <v>10.0</v>
      </c>
      <c r="AH9" s="36">
        <v>2.0</v>
      </c>
      <c r="AI9" s="24">
        <v>28.1</v>
      </c>
      <c r="AJ9" s="28">
        <v>1.2</v>
      </c>
      <c r="AP9" s="36">
        <v>9.0</v>
      </c>
      <c r="AQ9" s="24">
        <v>8.75</v>
      </c>
      <c r="AR9" s="28">
        <f t="shared" ref="AR9:AR18" si="21">SUM(AP9:AQ9)</f>
        <v>17.75</v>
      </c>
      <c r="AS9" s="21">
        <f t="shared" ref="AS9:AT9" si="19">SUM(AP9)</f>
        <v>9</v>
      </c>
      <c r="AT9">
        <f t="shared" si="19"/>
        <v>8.75</v>
      </c>
      <c r="AU9">
        <f t="shared" si="6"/>
        <v>11.3</v>
      </c>
      <c r="AV9">
        <f t="shared" si="7"/>
        <v>12</v>
      </c>
      <c r="AW9">
        <f t="shared" si="8"/>
        <v>11.5</v>
      </c>
      <c r="AX9">
        <f t="shared" si="9"/>
        <v>12</v>
      </c>
      <c r="AY9">
        <f t="shared" ref="AY9:BD9" si="20">SUM(AJ9)</f>
        <v>1.2</v>
      </c>
      <c r="AZ9">
        <f t="shared" si="20"/>
        <v>0</v>
      </c>
      <c r="BA9">
        <f t="shared" si="20"/>
        <v>0</v>
      </c>
      <c r="BB9">
        <f t="shared" si="20"/>
        <v>0</v>
      </c>
      <c r="BC9">
        <f t="shared" si="20"/>
        <v>0</v>
      </c>
      <c r="BD9">
        <f t="shared" si="20"/>
        <v>0</v>
      </c>
      <c r="BE9">
        <f t="shared" si="11"/>
        <v>17.75</v>
      </c>
      <c r="BF9" s="4"/>
      <c r="BG9" s="50">
        <f t="shared" si="12"/>
        <v>83.5</v>
      </c>
      <c r="BH9" s="32">
        <v>1.0</v>
      </c>
    </row>
    <row r="10" ht="16.5" customHeight="1">
      <c r="A10" s="43">
        <v>466042.0</v>
      </c>
      <c r="B10" s="55" t="s">
        <v>141</v>
      </c>
      <c r="C10" s="24"/>
      <c r="D10" s="25" t="s">
        <v>91</v>
      </c>
      <c r="E10" s="27" t="s">
        <v>84</v>
      </c>
      <c r="F10" s="27" t="s">
        <v>91</v>
      </c>
      <c r="G10" s="27" t="s">
        <v>91</v>
      </c>
      <c r="H10" s="27" t="s">
        <v>91</v>
      </c>
      <c r="I10" s="27" t="s">
        <v>84</v>
      </c>
      <c r="J10" s="27" t="s">
        <v>84</v>
      </c>
      <c r="K10" s="27" t="s">
        <v>84</v>
      </c>
      <c r="L10" s="27" t="s">
        <v>91</v>
      </c>
      <c r="M10" s="27" t="s">
        <v>91</v>
      </c>
      <c r="N10" s="27" t="s">
        <v>91</v>
      </c>
      <c r="O10" s="49" t="s">
        <v>84</v>
      </c>
      <c r="P10" s="49" t="s">
        <v>84</v>
      </c>
      <c r="Q10" s="49" t="s">
        <v>91</v>
      </c>
      <c r="R10" s="49" t="s">
        <v>91</v>
      </c>
      <c r="S10" s="49" t="s">
        <v>91</v>
      </c>
      <c r="T10" s="43">
        <v>466042.0</v>
      </c>
      <c r="U10" s="36">
        <v>8.8</v>
      </c>
      <c r="W10" s="24" t="s">
        <v>134</v>
      </c>
      <c r="X10" s="28">
        <v>19.0</v>
      </c>
      <c r="Y10" s="36">
        <v>8.9</v>
      </c>
      <c r="Z10" s="36">
        <v>1.0</v>
      </c>
      <c r="AA10" s="24">
        <v>28.1</v>
      </c>
      <c r="AB10" s="28">
        <v>99.0</v>
      </c>
      <c r="AC10" s="36">
        <v>9.0</v>
      </c>
      <c r="AE10" s="24">
        <v>2.12</v>
      </c>
      <c r="AF10" s="28">
        <v>77.0</v>
      </c>
      <c r="AG10" s="36">
        <v>8.5</v>
      </c>
      <c r="AI10" s="63"/>
      <c r="AJ10" s="28">
        <v>0.4</v>
      </c>
      <c r="AK10" s="36">
        <v>0.9</v>
      </c>
      <c r="AP10" s="36">
        <v>6.0</v>
      </c>
      <c r="AQ10" s="24">
        <v>6.0</v>
      </c>
      <c r="AR10" s="28">
        <f t="shared" si="21"/>
        <v>12</v>
      </c>
      <c r="AS10" s="21">
        <f t="shared" ref="AS10:AT10" si="22">SUM(AP10)</f>
        <v>6</v>
      </c>
      <c r="AT10">
        <f t="shared" si="22"/>
        <v>6</v>
      </c>
      <c r="AU10">
        <f t="shared" si="6"/>
        <v>8.8</v>
      </c>
      <c r="AV10">
        <f t="shared" si="7"/>
        <v>9.9</v>
      </c>
      <c r="AW10">
        <f t="shared" si="8"/>
        <v>9</v>
      </c>
      <c r="AX10">
        <f t="shared" si="9"/>
        <v>8.5</v>
      </c>
      <c r="AY10">
        <f t="shared" ref="AY10:BD10" si="23">SUM(AJ10)</f>
        <v>0.4</v>
      </c>
      <c r="AZ10">
        <f t="shared" si="23"/>
        <v>0.9</v>
      </c>
      <c r="BA10">
        <f t="shared" si="23"/>
        <v>0</v>
      </c>
      <c r="BB10">
        <f t="shared" si="23"/>
        <v>0</v>
      </c>
      <c r="BC10">
        <f t="shared" si="23"/>
        <v>0</v>
      </c>
      <c r="BD10">
        <f t="shared" si="23"/>
        <v>0</v>
      </c>
      <c r="BE10">
        <f t="shared" si="11"/>
        <v>12</v>
      </c>
      <c r="BF10" s="4"/>
      <c r="BG10" s="50">
        <f t="shared" si="12"/>
        <v>61.5</v>
      </c>
      <c r="BH10" s="32">
        <v>1.0</v>
      </c>
    </row>
    <row r="11">
      <c r="A11" s="43">
        <v>466113.0</v>
      </c>
      <c r="B11" s="55" t="s">
        <v>142</v>
      </c>
      <c r="C11" s="24"/>
      <c r="D11" s="25" t="s">
        <v>84</v>
      </c>
      <c r="E11" s="27" t="s">
        <v>91</v>
      </c>
      <c r="F11" s="27" t="s">
        <v>84</v>
      </c>
      <c r="G11" s="27" t="s">
        <v>84</v>
      </c>
      <c r="H11" s="27" t="s">
        <v>84</v>
      </c>
      <c r="I11" s="27" t="s">
        <v>91</v>
      </c>
      <c r="J11" s="27" t="s">
        <v>91</v>
      </c>
      <c r="K11" s="27" t="s">
        <v>84</v>
      </c>
      <c r="L11" s="27" t="s">
        <v>91</v>
      </c>
      <c r="M11" s="27" t="s">
        <v>91</v>
      </c>
      <c r="N11" s="27" t="s">
        <v>91</v>
      </c>
      <c r="O11" s="49" t="s">
        <v>84</v>
      </c>
      <c r="P11" s="49" t="s">
        <v>91</v>
      </c>
      <c r="Q11" s="49" t="s">
        <v>84</v>
      </c>
      <c r="R11" s="49" t="s">
        <v>91</v>
      </c>
      <c r="S11" s="49" t="s">
        <v>91</v>
      </c>
      <c r="T11" s="43">
        <v>466113.0</v>
      </c>
      <c r="U11" s="36">
        <v>8.8</v>
      </c>
      <c r="V11" s="36">
        <v>1.0</v>
      </c>
      <c r="W11" s="24">
        <v>30.09</v>
      </c>
      <c r="X11" s="28">
        <v>2003.0</v>
      </c>
      <c r="Y11" s="36">
        <v>9.0</v>
      </c>
      <c r="Z11" s="36">
        <v>1.0</v>
      </c>
      <c r="AA11" s="24">
        <v>28.1</v>
      </c>
      <c r="AB11" s="28">
        <v>8765.0</v>
      </c>
      <c r="AC11" s="36">
        <v>9.5</v>
      </c>
      <c r="AD11" s="36">
        <v>1.5</v>
      </c>
      <c r="AE11" s="24">
        <v>25.11</v>
      </c>
      <c r="AF11" s="28">
        <v>1723.0</v>
      </c>
      <c r="AG11" s="36">
        <v>9.0</v>
      </c>
      <c r="AH11" s="36">
        <v>2.0</v>
      </c>
      <c r="AI11" s="24">
        <v>9.12</v>
      </c>
      <c r="AJ11" s="28">
        <v>1.7</v>
      </c>
      <c r="AN11" s="36">
        <v>0.01</v>
      </c>
      <c r="AO11" s="36">
        <v>0.01</v>
      </c>
      <c r="AP11" s="36">
        <v>8.0</v>
      </c>
      <c r="AQ11" s="24">
        <v>7.25</v>
      </c>
      <c r="AR11" s="28">
        <f t="shared" si="21"/>
        <v>15.25</v>
      </c>
      <c r="AS11" s="21">
        <f t="shared" ref="AS11:AT11" si="24">SUM(AP11)</f>
        <v>8</v>
      </c>
      <c r="AT11">
        <f t="shared" si="24"/>
        <v>7.25</v>
      </c>
      <c r="AU11">
        <f t="shared" si="6"/>
        <v>9.8</v>
      </c>
      <c r="AV11">
        <f t="shared" ref="AV11:AV12" si="27">SUM(Y11,Z12)</f>
        <v>10.5</v>
      </c>
      <c r="AW11">
        <f t="shared" si="8"/>
        <v>11</v>
      </c>
      <c r="AX11">
        <f t="shared" si="9"/>
        <v>11</v>
      </c>
      <c r="AY11">
        <f t="shared" ref="AY11:BD11" si="25">SUM(AJ11)</f>
        <v>1.7</v>
      </c>
      <c r="AZ11">
        <f t="shared" si="25"/>
        <v>0</v>
      </c>
      <c r="BA11">
        <f t="shared" si="25"/>
        <v>0</v>
      </c>
      <c r="BB11">
        <f t="shared" si="25"/>
        <v>0</v>
      </c>
      <c r="BC11">
        <f t="shared" si="25"/>
        <v>0.01</v>
      </c>
      <c r="BD11">
        <f t="shared" si="25"/>
        <v>0.01</v>
      </c>
      <c r="BE11">
        <f t="shared" si="11"/>
        <v>15.25</v>
      </c>
      <c r="BF11" s="4"/>
      <c r="BG11" s="50">
        <f t="shared" si="12"/>
        <v>74.52</v>
      </c>
      <c r="BH11" s="32">
        <v>1.0</v>
      </c>
    </row>
    <row r="12">
      <c r="A12" s="43">
        <v>466441.0</v>
      </c>
      <c r="B12" s="55" t="s">
        <v>143</v>
      </c>
      <c r="C12" s="24"/>
      <c r="D12" s="25" t="s">
        <v>84</v>
      </c>
      <c r="E12" s="27" t="s">
        <v>84</v>
      </c>
      <c r="F12" s="27" t="s">
        <v>84</v>
      </c>
      <c r="G12" s="27" t="s">
        <v>84</v>
      </c>
      <c r="H12" s="27" t="s">
        <v>91</v>
      </c>
      <c r="I12" s="27" t="s">
        <v>91</v>
      </c>
      <c r="J12" s="27" t="s">
        <v>84</v>
      </c>
      <c r="K12" s="27" t="s">
        <v>91</v>
      </c>
      <c r="L12" s="27" t="s">
        <v>91</v>
      </c>
      <c r="M12" s="27" t="s">
        <v>84</v>
      </c>
      <c r="N12" s="27" t="s">
        <v>84</v>
      </c>
      <c r="O12" s="49" t="s">
        <v>84</v>
      </c>
      <c r="P12" s="49" t="s">
        <v>91</v>
      </c>
      <c r="Q12" s="49" t="s">
        <v>84</v>
      </c>
      <c r="R12" s="49" t="s">
        <v>91</v>
      </c>
      <c r="S12" s="49" t="s">
        <v>91</v>
      </c>
      <c r="T12" s="43">
        <v>466441.0</v>
      </c>
      <c r="U12" s="36">
        <v>8.5</v>
      </c>
      <c r="V12" s="36">
        <v>1.0</v>
      </c>
      <c r="W12" s="24">
        <v>23.09</v>
      </c>
      <c r="X12" s="28">
        <v>1100.0</v>
      </c>
      <c r="Y12" s="36">
        <v>8.8</v>
      </c>
      <c r="Z12" s="36">
        <v>1.5</v>
      </c>
      <c r="AA12" s="24" t="s">
        <v>137</v>
      </c>
      <c r="AB12" s="28">
        <v>7654.0</v>
      </c>
      <c r="AC12" s="36">
        <v>9.0</v>
      </c>
      <c r="AD12" s="36">
        <v>2.0</v>
      </c>
      <c r="AE12" s="24">
        <v>18.11</v>
      </c>
      <c r="AF12" s="28">
        <v>910.0</v>
      </c>
      <c r="AG12" s="36">
        <v>10.0</v>
      </c>
      <c r="AH12" s="36">
        <v>2.0</v>
      </c>
      <c r="AI12" s="24">
        <v>9.12</v>
      </c>
      <c r="AJ12" s="28">
        <v>0.6</v>
      </c>
      <c r="AK12" s="36">
        <v>0.6</v>
      </c>
      <c r="AL12" s="36">
        <v>0.3</v>
      </c>
      <c r="AN12" s="36">
        <v>1.6</v>
      </c>
      <c r="AO12" s="36">
        <v>0.01</v>
      </c>
      <c r="AP12" s="36">
        <v>7.5</v>
      </c>
      <c r="AQ12" s="24">
        <v>7.5</v>
      </c>
      <c r="AR12" s="28">
        <f t="shared" si="21"/>
        <v>15</v>
      </c>
      <c r="AS12" s="21">
        <f t="shared" ref="AS12:AT12" si="26">SUM(AP12)</f>
        <v>7.5</v>
      </c>
      <c r="AT12">
        <f t="shared" si="26"/>
        <v>7.5</v>
      </c>
      <c r="AU12">
        <f t="shared" si="6"/>
        <v>9.5</v>
      </c>
      <c r="AV12">
        <f t="shared" si="27"/>
        <v>8.8</v>
      </c>
      <c r="AW12">
        <f t="shared" si="8"/>
        <v>11</v>
      </c>
      <c r="AX12">
        <f t="shared" si="9"/>
        <v>12</v>
      </c>
      <c r="AY12">
        <f t="shared" ref="AY12:BD12" si="28">SUM(AJ12)</f>
        <v>0.6</v>
      </c>
      <c r="AZ12">
        <f t="shared" si="28"/>
        <v>0.6</v>
      </c>
      <c r="BA12">
        <f t="shared" si="28"/>
        <v>0.3</v>
      </c>
      <c r="BB12">
        <f t="shared" si="28"/>
        <v>0</v>
      </c>
      <c r="BC12">
        <f t="shared" si="28"/>
        <v>1.6</v>
      </c>
      <c r="BD12">
        <f t="shared" si="28"/>
        <v>0.01</v>
      </c>
      <c r="BE12">
        <f t="shared" si="11"/>
        <v>15</v>
      </c>
      <c r="BF12" s="4"/>
      <c r="BG12" s="50">
        <f t="shared" si="12"/>
        <v>74.41</v>
      </c>
      <c r="BH12" s="32">
        <v>1.0</v>
      </c>
    </row>
    <row r="13">
      <c r="A13" s="43">
        <v>466815.0</v>
      </c>
      <c r="B13" s="55" t="s">
        <v>144</v>
      </c>
      <c r="D13" s="25" t="s">
        <v>84</v>
      </c>
      <c r="E13" s="27" t="s">
        <v>84</v>
      </c>
      <c r="F13" s="27" t="s">
        <v>91</v>
      </c>
      <c r="G13" s="27" t="s">
        <v>91</v>
      </c>
      <c r="H13" s="27" t="s">
        <v>91</v>
      </c>
      <c r="I13" s="27" t="s">
        <v>84</v>
      </c>
      <c r="J13" s="27" t="s">
        <v>91</v>
      </c>
      <c r="K13" s="27" t="s">
        <v>84</v>
      </c>
      <c r="L13" s="27" t="s">
        <v>91</v>
      </c>
      <c r="M13" s="27" t="s">
        <v>91</v>
      </c>
      <c r="N13" s="27" t="s">
        <v>84</v>
      </c>
      <c r="O13" s="49" t="s">
        <v>91</v>
      </c>
      <c r="P13" s="49" t="s">
        <v>84</v>
      </c>
      <c r="Q13" s="49" t="s">
        <v>91</v>
      </c>
      <c r="R13" s="49" t="s">
        <v>91</v>
      </c>
      <c r="S13" s="49" t="s">
        <v>91</v>
      </c>
      <c r="T13" s="43">
        <v>466815.0</v>
      </c>
      <c r="U13" s="130">
        <v>8.6</v>
      </c>
      <c r="W13" s="36" t="s">
        <v>145</v>
      </c>
      <c r="X13" s="28">
        <v>10123.0</v>
      </c>
      <c r="Y13" s="36">
        <v>9.0</v>
      </c>
      <c r="AA13" s="36">
        <v>18.11</v>
      </c>
      <c r="AB13" s="28">
        <v>2340.0</v>
      </c>
      <c r="AC13" s="36">
        <v>9.0</v>
      </c>
      <c r="AE13" s="36">
        <v>2.12</v>
      </c>
      <c r="AF13" s="28">
        <v>82.0</v>
      </c>
      <c r="AG13" s="36">
        <v>8.8</v>
      </c>
      <c r="AI13" s="36">
        <v>27.12</v>
      </c>
      <c r="AJ13" s="28">
        <v>1.0</v>
      </c>
      <c r="AK13" s="36">
        <v>0.8</v>
      </c>
      <c r="AP13" s="36">
        <v>7.5</v>
      </c>
      <c r="AQ13" s="36">
        <v>8.0</v>
      </c>
      <c r="AR13" s="28">
        <f t="shared" si="21"/>
        <v>15.5</v>
      </c>
      <c r="AS13" s="21">
        <f t="shared" ref="AS13:AT13" si="29">SUM(AP13)</f>
        <v>7.5</v>
      </c>
      <c r="AT13">
        <f t="shared" si="29"/>
        <v>8</v>
      </c>
      <c r="AU13" s="131">
        <f t="shared" si="6"/>
        <v>8.6</v>
      </c>
      <c r="AV13">
        <f t="shared" ref="AV13:AV19" si="32">SUM(Y13,Z13)</f>
        <v>9</v>
      </c>
      <c r="AW13">
        <f t="shared" si="8"/>
        <v>9</v>
      </c>
      <c r="AX13">
        <f t="shared" si="9"/>
        <v>8.8</v>
      </c>
      <c r="AY13">
        <f t="shared" ref="AY13:BD13" si="30">SUM(AJ13)</f>
        <v>1</v>
      </c>
      <c r="AZ13">
        <f t="shared" si="30"/>
        <v>0.8</v>
      </c>
      <c r="BA13">
        <f t="shared" si="30"/>
        <v>0</v>
      </c>
      <c r="BB13">
        <f t="shared" si="30"/>
        <v>0</v>
      </c>
      <c r="BC13">
        <f t="shared" si="30"/>
        <v>0</v>
      </c>
      <c r="BD13">
        <f t="shared" si="30"/>
        <v>0</v>
      </c>
      <c r="BE13">
        <f t="shared" si="11"/>
        <v>15.5</v>
      </c>
      <c r="BF13" s="4"/>
      <c r="BG13" s="50">
        <f t="shared" si="12"/>
        <v>68.2</v>
      </c>
      <c r="BH13" s="32">
        <v>1.0</v>
      </c>
    </row>
    <row r="14">
      <c r="A14" s="43">
        <v>467139.0</v>
      </c>
      <c r="B14" s="55" t="s">
        <v>146</v>
      </c>
      <c r="C14" s="36">
        <v>3000.0</v>
      </c>
      <c r="D14" s="25" t="s">
        <v>61</v>
      </c>
      <c r="E14" s="27" t="s">
        <v>84</v>
      </c>
      <c r="F14" s="27" t="s">
        <v>91</v>
      </c>
      <c r="G14" s="27" t="s">
        <v>84</v>
      </c>
      <c r="H14" s="27" t="s">
        <v>91</v>
      </c>
      <c r="I14" s="27" t="s">
        <v>84</v>
      </c>
      <c r="J14" s="27" t="s">
        <v>91</v>
      </c>
      <c r="K14" s="27" t="s">
        <v>91</v>
      </c>
      <c r="L14" s="27" t="s">
        <v>91</v>
      </c>
      <c r="M14" s="27" t="s">
        <v>91</v>
      </c>
      <c r="N14" s="27" t="s">
        <v>84</v>
      </c>
      <c r="O14" s="49" t="s">
        <v>91</v>
      </c>
      <c r="P14" s="49" t="s">
        <v>84</v>
      </c>
      <c r="Q14" s="49" t="s">
        <v>84</v>
      </c>
      <c r="R14" s="49" t="s">
        <v>91</v>
      </c>
      <c r="S14" s="49" t="s">
        <v>91</v>
      </c>
      <c r="T14" s="43">
        <v>467139.0</v>
      </c>
      <c r="U14" s="36">
        <v>9.3</v>
      </c>
      <c r="V14" s="36">
        <v>2.0</v>
      </c>
      <c r="W14" s="70">
        <v>45909.0</v>
      </c>
      <c r="X14" s="28">
        <v>1861.0</v>
      </c>
      <c r="Y14" s="36">
        <v>9.0</v>
      </c>
      <c r="Z14" s="36">
        <v>2.0</v>
      </c>
      <c r="AA14" s="71">
        <v>45848.0</v>
      </c>
      <c r="AB14" s="28">
        <v>2120.0</v>
      </c>
      <c r="AC14" s="36">
        <v>9.0</v>
      </c>
      <c r="AD14" s="36">
        <v>2.0</v>
      </c>
      <c r="AE14" s="36">
        <v>18.11</v>
      </c>
      <c r="AF14" s="28">
        <v>91.0</v>
      </c>
      <c r="AG14" s="36">
        <v>10.0</v>
      </c>
      <c r="AH14" s="36">
        <v>2.0</v>
      </c>
      <c r="AI14" s="36">
        <v>13.12</v>
      </c>
      <c r="AJ14" s="28">
        <v>1.2</v>
      </c>
      <c r="AK14" s="36">
        <v>0.6</v>
      </c>
      <c r="AL14" s="36">
        <v>0.01</v>
      </c>
      <c r="AM14" s="36">
        <v>0.8</v>
      </c>
      <c r="AP14" s="36">
        <v>7.0</v>
      </c>
      <c r="AQ14" s="36">
        <v>6.0</v>
      </c>
      <c r="AR14" s="28">
        <f t="shared" si="21"/>
        <v>13</v>
      </c>
      <c r="AS14" s="21">
        <f t="shared" ref="AS14:AT14" si="31">SUM(AP14)</f>
        <v>7</v>
      </c>
      <c r="AT14">
        <f t="shared" si="31"/>
        <v>6</v>
      </c>
      <c r="AU14">
        <f t="shared" si="6"/>
        <v>11.3</v>
      </c>
      <c r="AV14">
        <f t="shared" si="32"/>
        <v>11</v>
      </c>
      <c r="AW14">
        <f t="shared" si="8"/>
        <v>11</v>
      </c>
      <c r="AX14">
        <f t="shared" si="9"/>
        <v>12</v>
      </c>
      <c r="AY14">
        <f t="shared" ref="AY14:BD14" si="33">SUM(AJ14)</f>
        <v>1.2</v>
      </c>
      <c r="AZ14">
        <f t="shared" si="33"/>
        <v>0.6</v>
      </c>
      <c r="BA14">
        <f t="shared" si="33"/>
        <v>0.01</v>
      </c>
      <c r="BB14">
        <f t="shared" si="33"/>
        <v>0.8</v>
      </c>
      <c r="BC14">
        <f t="shared" si="33"/>
        <v>0</v>
      </c>
      <c r="BD14">
        <f t="shared" si="33"/>
        <v>0</v>
      </c>
      <c r="BE14">
        <f t="shared" si="11"/>
        <v>13</v>
      </c>
      <c r="BF14" s="24">
        <v>1.0</v>
      </c>
      <c r="BG14" s="50">
        <f t="shared" si="12"/>
        <v>74.91</v>
      </c>
      <c r="BH14" s="32">
        <v>1.0</v>
      </c>
    </row>
    <row r="15">
      <c r="A15" s="43">
        <v>424309.0</v>
      </c>
      <c r="B15" s="55" t="s">
        <v>147</v>
      </c>
      <c r="D15" s="25" t="s">
        <v>84</v>
      </c>
      <c r="E15" s="27" t="s">
        <v>91</v>
      </c>
      <c r="F15" s="27" t="s">
        <v>91</v>
      </c>
      <c r="G15" s="27" t="s">
        <v>91</v>
      </c>
      <c r="H15" s="27" t="s">
        <v>84</v>
      </c>
      <c r="I15" s="27" t="s">
        <v>91</v>
      </c>
      <c r="J15" s="27" t="s">
        <v>91</v>
      </c>
      <c r="K15" s="27" t="s">
        <v>91</v>
      </c>
      <c r="L15" s="27" t="s">
        <v>91</v>
      </c>
      <c r="M15" s="27" t="s">
        <v>91</v>
      </c>
      <c r="N15" s="27" t="s">
        <v>91</v>
      </c>
      <c r="O15" s="49" t="s">
        <v>84</v>
      </c>
      <c r="P15" s="49" t="s">
        <v>84</v>
      </c>
      <c r="Q15" s="49" t="s">
        <v>91</v>
      </c>
      <c r="R15" s="49" t="s">
        <v>91</v>
      </c>
      <c r="S15" s="49" t="s">
        <v>84</v>
      </c>
      <c r="T15" s="43">
        <v>424309.0</v>
      </c>
      <c r="U15" s="36">
        <v>8.5</v>
      </c>
      <c r="W15" s="36">
        <v>7.1</v>
      </c>
      <c r="X15" s="28">
        <v>1013.0</v>
      </c>
      <c r="Y15" s="36">
        <v>9.0</v>
      </c>
      <c r="Z15" s="36">
        <v>1.0</v>
      </c>
      <c r="AA15" s="36">
        <v>28.1</v>
      </c>
      <c r="AB15" s="28">
        <v>1298.0</v>
      </c>
      <c r="AC15" s="36">
        <v>9.0</v>
      </c>
      <c r="AE15" s="36">
        <v>2.12</v>
      </c>
      <c r="AF15" s="28">
        <v>743985.0</v>
      </c>
      <c r="AG15" s="36">
        <v>9.0</v>
      </c>
      <c r="AH15" s="36">
        <v>2.0</v>
      </c>
      <c r="AI15" s="36">
        <v>23.12</v>
      </c>
      <c r="AJ15" s="28">
        <v>1.0</v>
      </c>
      <c r="AP15" s="36">
        <v>6.0</v>
      </c>
      <c r="AQ15" s="36">
        <v>7.0</v>
      </c>
      <c r="AR15" s="28">
        <f t="shared" si="21"/>
        <v>13</v>
      </c>
      <c r="AS15" s="21">
        <f t="shared" ref="AS15:AT15" si="34">SUM(AP15)</f>
        <v>6</v>
      </c>
      <c r="AT15">
        <f t="shared" si="34"/>
        <v>7</v>
      </c>
      <c r="AU15">
        <f t="shared" si="6"/>
        <v>8.5</v>
      </c>
      <c r="AV15">
        <f t="shared" si="32"/>
        <v>10</v>
      </c>
      <c r="AW15">
        <f t="shared" si="8"/>
        <v>9</v>
      </c>
      <c r="AX15">
        <f t="shared" si="9"/>
        <v>11</v>
      </c>
      <c r="AY15">
        <f t="shared" ref="AY15:BD15" si="35">SUM(AJ15)</f>
        <v>1</v>
      </c>
      <c r="AZ15">
        <f t="shared" si="35"/>
        <v>0</v>
      </c>
      <c r="BA15">
        <f t="shared" si="35"/>
        <v>0</v>
      </c>
      <c r="BB15">
        <f t="shared" si="35"/>
        <v>0</v>
      </c>
      <c r="BC15">
        <f t="shared" si="35"/>
        <v>0</v>
      </c>
      <c r="BD15">
        <f t="shared" si="35"/>
        <v>0</v>
      </c>
      <c r="BE15">
        <f t="shared" si="11"/>
        <v>13</v>
      </c>
      <c r="BF15" s="4"/>
      <c r="BG15" s="50">
        <f t="shared" si="12"/>
        <v>65.5</v>
      </c>
      <c r="BH15" s="32">
        <v>1.0</v>
      </c>
    </row>
    <row r="16">
      <c r="A16" s="43">
        <v>467351.0</v>
      </c>
      <c r="B16" s="55" t="s">
        <v>148</v>
      </c>
      <c r="C16" s="24"/>
      <c r="D16" s="25" t="s">
        <v>84</v>
      </c>
      <c r="E16" s="27" t="s">
        <v>84</v>
      </c>
      <c r="F16" s="27" t="s">
        <v>91</v>
      </c>
      <c r="G16" s="27" t="s">
        <v>84</v>
      </c>
      <c r="H16" s="27" t="s">
        <v>84</v>
      </c>
      <c r="I16" s="27" t="s">
        <v>91</v>
      </c>
      <c r="J16" s="27" t="s">
        <v>91</v>
      </c>
      <c r="K16" s="27" t="s">
        <v>91</v>
      </c>
      <c r="L16" s="27" t="s">
        <v>91</v>
      </c>
      <c r="M16" s="27" t="s">
        <v>91</v>
      </c>
      <c r="N16" s="27" t="s">
        <v>84</v>
      </c>
      <c r="O16" s="49" t="s">
        <v>84</v>
      </c>
      <c r="P16" s="49" t="s">
        <v>84</v>
      </c>
      <c r="Q16" s="49" t="s">
        <v>91</v>
      </c>
      <c r="R16" s="49" t="s">
        <v>84</v>
      </c>
      <c r="S16" s="49" t="s">
        <v>91</v>
      </c>
      <c r="T16" s="43">
        <v>467351.0</v>
      </c>
      <c r="U16" s="36">
        <v>9.5</v>
      </c>
      <c r="V16" s="36">
        <v>1.0</v>
      </c>
      <c r="W16" s="24">
        <v>30.09</v>
      </c>
      <c r="X16" s="28">
        <v>1010.0</v>
      </c>
      <c r="Y16" s="36">
        <v>9.5</v>
      </c>
      <c r="Z16" s="36">
        <v>1.5</v>
      </c>
      <c r="AA16" s="24">
        <v>18.11</v>
      </c>
      <c r="AB16" s="28">
        <v>19.0</v>
      </c>
      <c r="AC16" s="36">
        <v>9.0</v>
      </c>
      <c r="AE16" s="24">
        <v>2.12</v>
      </c>
      <c r="AF16" s="28">
        <v>47.0</v>
      </c>
      <c r="AG16" s="36">
        <v>9.0</v>
      </c>
      <c r="AH16" s="36">
        <v>2.0</v>
      </c>
      <c r="AI16" s="24">
        <v>16.12</v>
      </c>
      <c r="AJ16" s="28">
        <v>2.0</v>
      </c>
      <c r="AP16" s="36">
        <v>8.0</v>
      </c>
      <c r="AQ16" s="24">
        <v>7.5</v>
      </c>
      <c r="AR16" s="28">
        <f t="shared" si="21"/>
        <v>15.5</v>
      </c>
      <c r="AS16" s="21">
        <f t="shared" ref="AS16:AT16" si="36">SUM(AP16)</f>
        <v>8</v>
      </c>
      <c r="AT16">
        <f t="shared" si="36"/>
        <v>7.5</v>
      </c>
      <c r="AU16">
        <f t="shared" si="6"/>
        <v>10.5</v>
      </c>
      <c r="AV16">
        <f t="shared" si="32"/>
        <v>11</v>
      </c>
      <c r="AW16">
        <f t="shared" si="8"/>
        <v>9</v>
      </c>
      <c r="AX16">
        <f t="shared" si="9"/>
        <v>11</v>
      </c>
      <c r="AY16">
        <f t="shared" ref="AY16:BD16" si="37">SUM(AJ16)</f>
        <v>2</v>
      </c>
      <c r="AZ16">
        <f t="shared" si="37"/>
        <v>0</v>
      </c>
      <c r="BA16">
        <f t="shared" si="37"/>
        <v>0</v>
      </c>
      <c r="BB16">
        <f t="shared" si="37"/>
        <v>0</v>
      </c>
      <c r="BC16">
        <f t="shared" si="37"/>
        <v>0</v>
      </c>
      <c r="BD16">
        <f t="shared" si="37"/>
        <v>0</v>
      </c>
      <c r="BE16">
        <f t="shared" si="11"/>
        <v>15.5</v>
      </c>
      <c r="BF16" s="4"/>
      <c r="BG16" s="50">
        <f t="shared" si="12"/>
        <v>74.5</v>
      </c>
      <c r="BH16" s="32">
        <v>1.0</v>
      </c>
    </row>
    <row r="17">
      <c r="A17" s="43">
        <v>467889.0</v>
      </c>
      <c r="B17" s="55" t="s">
        <v>149</v>
      </c>
      <c r="C17" s="24"/>
      <c r="D17" s="25" t="s">
        <v>91</v>
      </c>
      <c r="E17" s="27" t="s">
        <v>84</v>
      </c>
      <c r="F17" s="27" t="s">
        <v>84</v>
      </c>
      <c r="G17" s="27" t="s">
        <v>84</v>
      </c>
      <c r="H17" s="27" t="s">
        <v>84</v>
      </c>
      <c r="I17" s="27" t="s">
        <v>84</v>
      </c>
      <c r="J17" s="27" t="s">
        <v>84</v>
      </c>
      <c r="K17" s="27" t="s">
        <v>84</v>
      </c>
      <c r="L17" s="27" t="s">
        <v>84</v>
      </c>
      <c r="M17" s="27" t="s">
        <v>84</v>
      </c>
      <c r="N17" s="27" t="s">
        <v>84</v>
      </c>
      <c r="O17" s="49" t="s">
        <v>91</v>
      </c>
      <c r="P17" s="49" t="s">
        <v>91</v>
      </c>
      <c r="Q17" s="49" t="s">
        <v>91</v>
      </c>
      <c r="R17" s="49" t="s">
        <v>84</v>
      </c>
      <c r="S17" s="49" t="s">
        <v>91</v>
      </c>
      <c r="T17" s="43">
        <v>467889.0</v>
      </c>
      <c r="U17" s="36">
        <v>9.0</v>
      </c>
      <c r="V17" s="36">
        <v>1.5</v>
      </c>
      <c r="W17" s="33">
        <v>45909.0</v>
      </c>
      <c r="X17" s="28">
        <v>2000.0</v>
      </c>
      <c r="Y17" s="36">
        <v>9.5</v>
      </c>
      <c r="Z17" s="36">
        <v>2.0</v>
      </c>
      <c r="AA17" s="24" t="s">
        <v>150</v>
      </c>
      <c r="AB17" s="28">
        <v>1705.0</v>
      </c>
      <c r="AC17" s="36">
        <v>9.5</v>
      </c>
      <c r="AD17" s="36">
        <v>2.0</v>
      </c>
      <c r="AE17" s="24">
        <v>7.1</v>
      </c>
      <c r="AF17" s="28">
        <v>1234.0</v>
      </c>
      <c r="AG17" s="36">
        <v>10.0</v>
      </c>
      <c r="AH17" s="36">
        <v>2.0</v>
      </c>
      <c r="AI17" s="24">
        <v>21.1</v>
      </c>
      <c r="AJ17" s="28">
        <v>1.7</v>
      </c>
      <c r="AP17" s="36">
        <v>9.5</v>
      </c>
      <c r="AQ17" s="24">
        <v>7.5</v>
      </c>
      <c r="AR17" s="28">
        <f t="shared" si="21"/>
        <v>17</v>
      </c>
      <c r="AS17" s="21">
        <f t="shared" ref="AS17:AT17" si="38">SUM(AP17)</f>
        <v>9.5</v>
      </c>
      <c r="AT17">
        <f t="shared" si="38"/>
        <v>7.5</v>
      </c>
      <c r="AU17">
        <f t="shared" si="6"/>
        <v>10.5</v>
      </c>
      <c r="AV17">
        <f t="shared" si="32"/>
        <v>11.5</v>
      </c>
      <c r="AW17">
        <f t="shared" si="8"/>
        <v>11.5</v>
      </c>
      <c r="AX17">
        <f t="shared" si="9"/>
        <v>12</v>
      </c>
      <c r="AY17">
        <f t="shared" ref="AY17:BD17" si="39">SUM(AJ17)</f>
        <v>1.7</v>
      </c>
      <c r="AZ17">
        <f t="shared" si="39"/>
        <v>0</v>
      </c>
      <c r="BA17">
        <f t="shared" si="39"/>
        <v>0</v>
      </c>
      <c r="BB17">
        <f t="shared" si="39"/>
        <v>0</v>
      </c>
      <c r="BC17">
        <f t="shared" si="39"/>
        <v>0</v>
      </c>
      <c r="BD17">
        <f t="shared" si="39"/>
        <v>0</v>
      </c>
      <c r="BE17">
        <f t="shared" si="11"/>
        <v>17</v>
      </c>
      <c r="BF17" s="4"/>
      <c r="BG17" s="50">
        <f t="shared" si="12"/>
        <v>81.2</v>
      </c>
      <c r="BH17" s="32">
        <v>1.0</v>
      </c>
    </row>
    <row r="18">
      <c r="A18" s="43">
        <v>407959.0</v>
      </c>
      <c r="B18" s="55" t="s">
        <v>151</v>
      </c>
      <c r="C18" s="4"/>
      <c r="D18" s="25" t="s">
        <v>91</v>
      </c>
      <c r="E18" s="27" t="s">
        <v>84</v>
      </c>
      <c r="F18" s="27" t="s">
        <v>91</v>
      </c>
      <c r="G18" s="27" t="s">
        <v>84</v>
      </c>
      <c r="H18" s="27" t="s">
        <v>91</v>
      </c>
      <c r="I18" s="27" t="s">
        <v>91</v>
      </c>
      <c r="J18" s="27" t="s">
        <v>91</v>
      </c>
      <c r="K18" s="27" t="s">
        <v>84</v>
      </c>
      <c r="L18" s="27" t="s">
        <v>91</v>
      </c>
      <c r="M18" s="27" t="s">
        <v>91</v>
      </c>
      <c r="N18" s="27" t="s">
        <v>91</v>
      </c>
      <c r="O18" s="49" t="s">
        <v>91</v>
      </c>
      <c r="P18" s="49" t="s">
        <v>84</v>
      </c>
      <c r="Q18" s="49" t="s">
        <v>84</v>
      </c>
      <c r="R18" s="49" t="s">
        <v>84</v>
      </c>
      <c r="S18" s="49" t="s">
        <v>91</v>
      </c>
      <c r="T18" s="43">
        <v>407959.0</v>
      </c>
      <c r="U18" s="36">
        <v>8.8</v>
      </c>
      <c r="V18" s="36">
        <v>1.0</v>
      </c>
      <c r="W18" s="24">
        <v>30.09</v>
      </c>
      <c r="X18" s="28">
        <v>1891.0</v>
      </c>
      <c r="Y18" s="36">
        <v>9.0</v>
      </c>
      <c r="Z18" s="36">
        <v>1.0</v>
      </c>
      <c r="AA18" s="24">
        <v>28.1</v>
      </c>
      <c r="AB18" s="28">
        <v>6599.0</v>
      </c>
      <c r="AC18" s="36">
        <v>9.0</v>
      </c>
      <c r="AE18" s="24">
        <v>16.12</v>
      </c>
      <c r="AF18" s="28">
        <v>2222.0</v>
      </c>
      <c r="AG18" s="36">
        <v>9.0</v>
      </c>
      <c r="AI18" s="24">
        <v>27.12</v>
      </c>
      <c r="AJ18" s="21"/>
      <c r="AP18" s="36">
        <v>6.0</v>
      </c>
      <c r="AQ18" s="24">
        <v>6.0</v>
      </c>
      <c r="AR18" s="28">
        <f t="shared" si="21"/>
        <v>12</v>
      </c>
      <c r="AS18" s="21">
        <f t="shared" ref="AS18:AT18" si="40">SUM(AP18)</f>
        <v>6</v>
      </c>
      <c r="AT18">
        <f t="shared" si="40"/>
        <v>6</v>
      </c>
      <c r="AU18">
        <f t="shared" si="6"/>
        <v>9.8</v>
      </c>
      <c r="AV18">
        <f t="shared" si="32"/>
        <v>10</v>
      </c>
      <c r="AW18">
        <f t="shared" si="8"/>
        <v>9</v>
      </c>
      <c r="AX18">
        <f t="shared" si="9"/>
        <v>9</v>
      </c>
      <c r="AY18">
        <f t="shared" ref="AY18:BD18" si="41">SUM(AJ18)</f>
        <v>0</v>
      </c>
      <c r="AZ18">
        <f t="shared" si="41"/>
        <v>0</v>
      </c>
      <c r="BA18">
        <f t="shared" si="41"/>
        <v>0</v>
      </c>
      <c r="BB18">
        <f t="shared" si="41"/>
        <v>0</v>
      </c>
      <c r="BC18">
        <f t="shared" si="41"/>
        <v>0</v>
      </c>
      <c r="BD18">
        <f t="shared" si="41"/>
        <v>0</v>
      </c>
      <c r="BE18">
        <f t="shared" si="11"/>
        <v>12</v>
      </c>
      <c r="BF18" s="4"/>
      <c r="BG18" s="50">
        <f t="shared" si="12"/>
        <v>61.8</v>
      </c>
      <c r="BH18" s="32">
        <v>1.0</v>
      </c>
    </row>
    <row r="19">
      <c r="A19" s="43">
        <v>468127.0</v>
      </c>
      <c r="B19" s="55" t="s">
        <v>152</v>
      </c>
      <c r="C19" s="4"/>
      <c r="D19" s="25" t="s">
        <v>91</v>
      </c>
      <c r="E19" s="27" t="s">
        <v>91</v>
      </c>
      <c r="F19" s="27" t="s">
        <v>84</v>
      </c>
      <c r="G19" s="27" t="s">
        <v>84</v>
      </c>
      <c r="H19" s="27" t="s">
        <v>91</v>
      </c>
      <c r="I19" s="27" t="s">
        <v>84</v>
      </c>
      <c r="J19" s="27" t="s">
        <v>91</v>
      </c>
      <c r="K19" s="27" t="s">
        <v>91</v>
      </c>
      <c r="L19" s="27" t="s">
        <v>91</v>
      </c>
      <c r="M19" s="27" t="s">
        <v>91</v>
      </c>
      <c r="N19" s="27" t="s">
        <v>91</v>
      </c>
      <c r="O19" s="49" t="s">
        <v>91</v>
      </c>
      <c r="P19" s="49" t="s">
        <v>84</v>
      </c>
      <c r="Q19" s="49" t="s">
        <v>91</v>
      </c>
      <c r="R19" s="49" t="s">
        <v>91</v>
      </c>
      <c r="S19" s="49" t="s">
        <v>91</v>
      </c>
      <c r="T19" s="49">
        <v>468127.0</v>
      </c>
      <c r="U19" s="36">
        <v>8.8</v>
      </c>
      <c r="V19" s="36">
        <v>1.0</v>
      </c>
      <c r="W19" s="24">
        <v>23.09</v>
      </c>
      <c r="X19" s="28">
        <v>11.0</v>
      </c>
      <c r="Y19" s="36">
        <v>9.5</v>
      </c>
      <c r="Z19" s="36">
        <v>2.0</v>
      </c>
      <c r="AA19" s="63">
        <v>45848.0</v>
      </c>
      <c r="AB19" s="28">
        <v>21.0</v>
      </c>
      <c r="AC19" s="36">
        <v>9.3</v>
      </c>
      <c r="AD19" s="36">
        <v>2.0</v>
      </c>
      <c r="AE19" s="24">
        <v>21.1</v>
      </c>
      <c r="AF19" s="28">
        <v>1100.0</v>
      </c>
      <c r="AG19" s="36">
        <v>9.0</v>
      </c>
      <c r="AH19" s="36">
        <v>2.0</v>
      </c>
      <c r="AI19" s="24">
        <v>2.12</v>
      </c>
      <c r="AJ19" s="28">
        <v>1.2</v>
      </c>
      <c r="AP19" s="36">
        <v>7.0</v>
      </c>
      <c r="AQ19" s="24">
        <v>6.0</v>
      </c>
      <c r="AR19" s="28">
        <f>SUM(AP19:AQ19)+1</f>
        <v>14</v>
      </c>
      <c r="AS19" s="21">
        <f t="shared" ref="AS19:AT19" si="42">SUM(AP19)</f>
        <v>7</v>
      </c>
      <c r="AT19">
        <f t="shared" si="42"/>
        <v>6</v>
      </c>
      <c r="AU19">
        <f t="shared" si="6"/>
        <v>9.8</v>
      </c>
      <c r="AV19">
        <f t="shared" si="32"/>
        <v>11.5</v>
      </c>
      <c r="AW19">
        <f t="shared" si="8"/>
        <v>11.3</v>
      </c>
      <c r="AX19">
        <f t="shared" si="9"/>
        <v>11</v>
      </c>
      <c r="AY19">
        <f t="shared" ref="AY19:BD19" si="43">SUM(AJ19)</f>
        <v>1.2</v>
      </c>
      <c r="AZ19">
        <f t="shared" si="43"/>
        <v>0</v>
      </c>
      <c r="BA19">
        <f t="shared" si="43"/>
        <v>0</v>
      </c>
      <c r="BB19">
        <f t="shared" si="43"/>
        <v>0</v>
      </c>
      <c r="BC19">
        <f t="shared" si="43"/>
        <v>0</v>
      </c>
      <c r="BD19">
        <f t="shared" si="43"/>
        <v>0</v>
      </c>
      <c r="BE19">
        <f t="shared" si="11"/>
        <v>14</v>
      </c>
      <c r="BF19" s="24">
        <v>3.0</v>
      </c>
      <c r="BG19" s="50">
        <f t="shared" si="12"/>
        <v>74.8</v>
      </c>
      <c r="BH19" s="32">
        <v>1.0</v>
      </c>
    </row>
    <row r="20">
      <c r="A20" s="36"/>
      <c r="B20" s="36"/>
      <c r="E20" s="36"/>
      <c r="F20" s="36"/>
      <c r="G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7"/>
      <c r="AC20" s="36"/>
      <c r="AD20" s="36"/>
      <c r="AE20" s="37"/>
      <c r="AG20" s="36"/>
      <c r="AH20" s="36"/>
      <c r="AI20" s="36"/>
      <c r="AJ20" s="36"/>
      <c r="BG20" s="39"/>
      <c r="BH20" s="32"/>
    </row>
    <row r="21">
      <c r="A21" s="36"/>
      <c r="B21" s="36"/>
      <c r="E21" s="36"/>
      <c r="F21" s="36"/>
      <c r="G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7"/>
      <c r="AC21" s="36"/>
      <c r="AD21" s="36"/>
      <c r="AE21" s="37"/>
      <c r="AG21" s="36"/>
      <c r="AH21" s="36"/>
      <c r="AI21" s="36"/>
      <c r="AJ21" s="36"/>
      <c r="AP21" s="36">
        <f t="shared" ref="AP21:AQ21" si="44">COUNTA($B$4:$B$19)-COUNTIF(AP4:AP19,"&gt;=6")</f>
        <v>0</v>
      </c>
      <c r="AQ21" s="36">
        <f t="shared" si="44"/>
        <v>0</v>
      </c>
      <c r="BG21" s="39"/>
      <c r="BH21" s="32"/>
    </row>
    <row r="22">
      <c r="A22" s="43">
        <v>464985.0</v>
      </c>
      <c r="B22" s="69" t="s">
        <v>153</v>
      </c>
      <c r="C22" s="24"/>
      <c r="D22" s="25" t="s">
        <v>91</v>
      </c>
      <c r="E22" s="27" t="s">
        <v>91</v>
      </c>
      <c r="F22" s="27" t="s">
        <v>91</v>
      </c>
      <c r="G22" s="27" t="s">
        <v>91</v>
      </c>
      <c r="H22" s="27" t="s">
        <v>91</v>
      </c>
      <c r="I22" s="27" t="s">
        <v>91</v>
      </c>
      <c r="J22" s="27" t="s">
        <v>91</v>
      </c>
      <c r="K22" s="27" t="s">
        <v>91</v>
      </c>
      <c r="L22" s="27" t="s">
        <v>91</v>
      </c>
      <c r="M22" s="27" t="s">
        <v>91</v>
      </c>
      <c r="N22" s="27" t="s">
        <v>91</v>
      </c>
      <c r="O22" s="49" t="s">
        <v>91</v>
      </c>
      <c r="P22" s="49" t="s">
        <v>91</v>
      </c>
      <c r="Q22" s="49" t="s">
        <v>91</v>
      </c>
      <c r="R22" s="49" t="s">
        <v>91</v>
      </c>
      <c r="S22" s="43"/>
      <c r="T22" s="43">
        <v>464985.0</v>
      </c>
      <c r="W22" s="68"/>
      <c r="X22" s="28"/>
      <c r="AA22" s="24"/>
      <c r="AB22" s="28"/>
      <c r="AE22" s="24"/>
      <c r="AF22" s="28"/>
      <c r="AG22" s="29"/>
      <c r="AI22" s="68"/>
      <c r="AJ22" s="28"/>
      <c r="AQ22" s="24"/>
      <c r="AR22" s="30"/>
      <c r="AS22">
        <f t="shared" ref="AS22:AT22" si="45">SUM(AP22)</f>
        <v>0</v>
      </c>
      <c r="AT22">
        <f t="shared" si="45"/>
        <v>0</v>
      </c>
      <c r="AU22" s="21">
        <f t="shared" ref="AU22:AU24" si="48">SUM(U22,V22)</f>
        <v>0</v>
      </c>
      <c r="AV22">
        <f t="shared" ref="AV22:AV24" si="49">SUM(Y22,Z22)</f>
        <v>0</v>
      </c>
      <c r="AW22">
        <f t="shared" ref="AW22:AW24" si="50">SUM(AC22,AD22)</f>
        <v>0</v>
      </c>
      <c r="AX22">
        <f t="shared" ref="AX22:AX24" si="51">SUM(AG22,AH22)</f>
        <v>0</v>
      </c>
      <c r="AY22">
        <f t="shared" ref="AY22:BD22" si="46">SUM(AJ22)</f>
        <v>0</v>
      </c>
      <c r="AZ22">
        <f t="shared" si="46"/>
        <v>0</v>
      </c>
      <c r="BA22">
        <f t="shared" si="46"/>
        <v>0</v>
      </c>
      <c r="BB22">
        <f t="shared" si="46"/>
        <v>0</v>
      </c>
      <c r="BC22">
        <f t="shared" si="46"/>
        <v>0</v>
      </c>
      <c r="BD22">
        <f t="shared" si="46"/>
        <v>0</v>
      </c>
      <c r="BE22">
        <f t="shared" ref="BE22:BE24" si="53">SUM(AR22)</f>
        <v>0</v>
      </c>
      <c r="BG22" s="31">
        <f t="shared" ref="BG22:BG24" si="54">SUM(AU22:BF22)</f>
        <v>0</v>
      </c>
      <c r="BH22" s="32"/>
    </row>
    <row r="23" ht="16.5" customHeight="1">
      <c r="A23" s="43">
        <v>465303.0</v>
      </c>
      <c r="B23" s="69" t="s">
        <v>154</v>
      </c>
      <c r="C23" s="24"/>
      <c r="D23" s="25" t="s">
        <v>84</v>
      </c>
      <c r="E23" s="27" t="s">
        <v>91</v>
      </c>
      <c r="F23" s="27" t="s">
        <v>91</v>
      </c>
      <c r="G23" s="27" t="s">
        <v>91</v>
      </c>
      <c r="H23" s="27" t="s">
        <v>91</v>
      </c>
      <c r="I23" s="27" t="s">
        <v>91</v>
      </c>
      <c r="J23" s="27" t="s">
        <v>91</v>
      </c>
      <c r="K23" s="27" t="s">
        <v>91</v>
      </c>
      <c r="L23" s="27" t="s">
        <v>91</v>
      </c>
      <c r="M23" s="27" t="s">
        <v>91</v>
      </c>
      <c r="N23" s="27" t="s">
        <v>91</v>
      </c>
      <c r="O23" s="49" t="s">
        <v>91</v>
      </c>
      <c r="P23" s="49" t="s">
        <v>91</v>
      </c>
      <c r="Q23" s="49" t="s">
        <v>91</v>
      </c>
      <c r="R23" s="49" t="s">
        <v>91</v>
      </c>
      <c r="S23" s="49" t="s">
        <v>91</v>
      </c>
      <c r="T23" s="43">
        <v>465303.0</v>
      </c>
      <c r="W23" s="24"/>
      <c r="X23" s="28"/>
      <c r="AA23" s="68"/>
      <c r="AB23" s="28"/>
      <c r="AE23" s="33"/>
      <c r="AF23" s="28"/>
      <c r="AI23" s="24"/>
      <c r="AJ23" s="28"/>
      <c r="AQ23" s="24"/>
      <c r="AR23" s="30"/>
      <c r="AS23">
        <f t="shared" ref="AS23:AT23" si="47">SUM(AP23)</f>
        <v>0</v>
      </c>
      <c r="AT23">
        <f t="shared" si="47"/>
        <v>0</v>
      </c>
      <c r="AU23" s="21">
        <f t="shared" si="48"/>
        <v>0</v>
      </c>
      <c r="AV23">
        <f t="shared" si="49"/>
        <v>0</v>
      </c>
      <c r="AW23">
        <f t="shared" si="50"/>
        <v>0</v>
      </c>
      <c r="AX23">
        <f t="shared" si="51"/>
        <v>0</v>
      </c>
      <c r="AY23">
        <f t="shared" ref="AY23:BD23" si="52">SUM(AJ23)</f>
        <v>0</v>
      </c>
      <c r="AZ23">
        <f t="shared" si="52"/>
        <v>0</v>
      </c>
      <c r="BA23">
        <f t="shared" si="52"/>
        <v>0</v>
      </c>
      <c r="BB23">
        <f t="shared" si="52"/>
        <v>0</v>
      </c>
      <c r="BC23">
        <f t="shared" si="52"/>
        <v>0</v>
      </c>
      <c r="BD23">
        <f t="shared" si="52"/>
        <v>0</v>
      </c>
      <c r="BE23">
        <f t="shared" si="53"/>
        <v>0</v>
      </c>
      <c r="BG23" s="31">
        <f t="shared" si="54"/>
        <v>0</v>
      </c>
      <c r="BH23" s="32"/>
    </row>
    <row r="24">
      <c r="A24" s="43">
        <v>412940.0</v>
      </c>
      <c r="B24" s="69" t="s">
        <v>155</v>
      </c>
      <c r="C24" s="4"/>
      <c r="D24" s="25" t="s">
        <v>84</v>
      </c>
      <c r="E24" s="27" t="s">
        <v>91</v>
      </c>
      <c r="F24" s="27" t="s">
        <v>91</v>
      </c>
      <c r="G24" s="27" t="s">
        <v>91</v>
      </c>
      <c r="H24" s="27" t="s">
        <v>91</v>
      </c>
      <c r="I24" s="27" t="s">
        <v>91</v>
      </c>
      <c r="J24" s="27" t="s">
        <v>91</v>
      </c>
      <c r="K24" s="27" t="s">
        <v>91</v>
      </c>
      <c r="L24" s="27" t="s">
        <v>91</v>
      </c>
      <c r="M24" s="27" t="s">
        <v>91</v>
      </c>
      <c r="N24" s="27" t="s">
        <v>91</v>
      </c>
      <c r="O24" s="49" t="s">
        <v>91</v>
      </c>
      <c r="P24" s="49" t="s">
        <v>91</v>
      </c>
      <c r="Q24" s="49" t="s">
        <v>91</v>
      </c>
      <c r="R24" s="49" t="s">
        <v>91</v>
      </c>
      <c r="S24" s="49" t="s">
        <v>91</v>
      </c>
      <c r="T24" s="43">
        <v>412940.0</v>
      </c>
      <c r="U24" s="58"/>
      <c r="V24" s="58"/>
      <c r="W24" s="132"/>
      <c r="X24" s="60"/>
      <c r="Y24" s="58"/>
      <c r="Z24" s="58"/>
      <c r="AA24" s="132"/>
      <c r="AB24" s="60"/>
      <c r="AE24" s="24"/>
      <c r="AF24" s="28"/>
      <c r="AI24" s="63"/>
      <c r="AJ24" s="21"/>
      <c r="AQ24" s="24"/>
      <c r="AR24" s="30"/>
      <c r="AS24">
        <f t="shared" ref="AS24:AT24" si="55">SUM(AP24)</f>
        <v>0</v>
      </c>
      <c r="AT24">
        <f t="shared" si="55"/>
        <v>0</v>
      </c>
      <c r="AU24" s="21">
        <f t="shared" si="48"/>
        <v>0</v>
      </c>
      <c r="AV24">
        <f t="shared" si="49"/>
        <v>0</v>
      </c>
      <c r="AW24">
        <f t="shared" si="50"/>
        <v>0</v>
      </c>
      <c r="AX24">
        <f t="shared" si="51"/>
        <v>0</v>
      </c>
      <c r="AY24">
        <f t="shared" ref="AY24:BD24" si="56">SUM(AJ24)</f>
        <v>0</v>
      </c>
      <c r="AZ24">
        <f t="shared" si="56"/>
        <v>0</v>
      </c>
      <c r="BA24">
        <f t="shared" si="56"/>
        <v>0</v>
      </c>
      <c r="BB24">
        <f t="shared" si="56"/>
        <v>0</v>
      </c>
      <c r="BC24">
        <f t="shared" si="56"/>
        <v>0</v>
      </c>
      <c r="BD24">
        <f t="shared" si="56"/>
        <v>0</v>
      </c>
      <c r="BE24">
        <f t="shared" si="53"/>
        <v>0</v>
      </c>
      <c r="BG24" s="31">
        <f t="shared" si="54"/>
        <v>0</v>
      </c>
      <c r="BH24" s="32"/>
    </row>
    <row r="25">
      <c r="A25" s="36"/>
      <c r="B25" s="36"/>
      <c r="E25" s="36"/>
      <c r="F25" s="36"/>
      <c r="G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7"/>
      <c r="AC25" s="36"/>
      <c r="AD25" s="36"/>
      <c r="AE25" s="37"/>
      <c r="AG25" s="36"/>
      <c r="AH25" s="36"/>
      <c r="AI25" s="36"/>
      <c r="AJ25" s="36"/>
      <c r="BG25" s="39"/>
      <c r="BH25" s="32"/>
    </row>
    <row r="26">
      <c r="A26" s="36"/>
      <c r="B26" s="36"/>
      <c r="E26" s="36"/>
      <c r="F26" s="36"/>
      <c r="G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7"/>
      <c r="AC26" s="36"/>
      <c r="AD26" s="36"/>
      <c r="AE26" s="37"/>
      <c r="AG26" s="36"/>
      <c r="AH26" s="36"/>
      <c r="AI26" s="36"/>
      <c r="AJ26" s="36"/>
      <c r="BG26" s="39"/>
      <c r="BH26" s="32"/>
    </row>
    <row r="27">
      <c r="A27" s="36"/>
      <c r="B27" s="36"/>
      <c r="E27" s="36"/>
      <c r="F27" s="36"/>
      <c r="G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C27" s="36"/>
      <c r="AD27" s="36"/>
      <c r="AE27" s="37"/>
      <c r="AG27" s="36"/>
      <c r="AH27" s="36"/>
      <c r="AI27" s="36"/>
      <c r="AJ27" s="36"/>
      <c r="BG27" s="39"/>
      <c r="BH27" s="32"/>
    </row>
    <row r="28">
      <c r="A28" s="36"/>
      <c r="B28" s="36"/>
      <c r="E28" s="36"/>
      <c r="F28" s="36"/>
      <c r="G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7"/>
      <c r="AC28" s="36"/>
      <c r="AD28" s="36"/>
      <c r="AE28" s="37"/>
      <c r="AG28" s="36"/>
      <c r="AH28" s="36"/>
      <c r="AI28" s="36"/>
      <c r="AJ28" s="36"/>
      <c r="BG28" s="39"/>
      <c r="BH28" s="32"/>
    </row>
    <row r="29">
      <c r="A29" s="36"/>
      <c r="B29" s="36"/>
      <c r="E29" s="36"/>
      <c r="F29" s="36"/>
      <c r="G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  <c r="AC29" s="36"/>
      <c r="AD29" s="36"/>
      <c r="AE29" s="37"/>
      <c r="AG29" s="36"/>
      <c r="AH29" s="36"/>
      <c r="AI29" s="36"/>
      <c r="AJ29" s="36"/>
      <c r="BG29" s="39"/>
      <c r="BH29" s="32"/>
    </row>
    <row r="30">
      <c r="A30" s="36"/>
      <c r="B30" s="36"/>
      <c r="E30" s="36"/>
      <c r="F30" s="36"/>
      <c r="G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7"/>
      <c r="AC30" s="36"/>
      <c r="AD30" s="36"/>
      <c r="AE30" s="37"/>
      <c r="AG30" s="36"/>
      <c r="AH30" s="36"/>
      <c r="AI30" s="36"/>
      <c r="AJ30" s="36"/>
      <c r="BG30" s="39"/>
      <c r="BH30" s="32"/>
    </row>
    <row r="31">
      <c r="A31" s="36"/>
      <c r="B31" s="36"/>
      <c r="E31" s="36"/>
      <c r="F31" s="36"/>
      <c r="G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7"/>
      <c r="AC31" s="36"/>
      <c r="AD31" s="36"/>
      <c r="AE31" s="37"/>
      <c r="AG31" s="36"/>
      <c r="AH31" s="36"/>
      <c r="AI31" s="36"/>
      <c r="AJ31" s="36"/>
      <c r="BG31" s="39"/>
      <c r="BH31" s="32"/>
    </row>
    <row r="32">
      <c r="A32" s="36"/>
      <c r="B32" s="36"/>
      <c r="E32" s="36"/>
      <c r="F32" s="36"/>
      <c r="G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7"/>
      <c r="AC32" s="36"/>
      <c r="AD32" s="36"/>
      <c r="AE32" s="37"/>
      <c r="AG32" s="36"/>
      <c r="AH32" s="36"/>
      <c r="AI32" s="36"/>
      <c r="AJ32" s="36"/>
      <c r="BG32" s="39"/>
      <c r="BH32" s="32"/>
    </row>
    <row r="33">
      <c r="A33" s="36"/>
      <c r="B33" s="36"/>
      <c r="E33" s="36"/>
      <c r="F33" s="36"/>
      <c r="G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7"/>
      <c r="AC33" s="36"/>
      <c r="AD33" s="36"/>
      <c r="AE33" s="37"/>
      <c r="AG33" s="36"/>
      <c r="AH33" s="36"/>
      <c r="AI33" s="36"/>
      <c r="AJ33" s="36"/>
      <c r="BG33" s="39"/>
      <c r="BH33" s="32"/>
    </row>
    <row r="34">
      <c r="A34" s="36"/>
      <c r="B34" s="36"/>
      <c r="E34" s="36"/>
      <c r="F34" s="36"/>
      <c r="G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7"/>
      <c r="AC34" s="36"/>
      <c r="AD34" s="36"/>
      <c r="AE34" s="37"/>
      <c r="AG34" s="36"/>
      <c r="AH34" s="36"/>
      <c r="AI34" s="36"/>
      <c r="AJ34" s="36"/>
      <c r="BG34" s="39"/>
      <c r="BH34" s="32"/>
    </row>
    <row r="35">
      <c r="A35" s="36"/>
      <c r="B35" s="36"/>
      <c r="E35" s="36"/>
      <c r="F35" s="36"/>
      <c r="G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7"/>
      <c r="AC35" s="36"/>
      <c r="AD35" s="36"/>
      <c r="AE35" s="37"/>
      <c r="AG35" s="36"/>
      <c r="AH35" s="36"/>
      <c r="AI35" s="36"/>
      <c r="AJ35" s="36"/>
      <c r="BG35" s="39"/>
      <c r="BH35" s="32"/>
    </row>
    <row r="36">
      <c r="A36" s="36"/>
      <c r="B36" s="36"/>
      <c r="E36" s="36"/>
      <c r="F36" s="36"/>
      <c r="G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7"/>
      <c r="AC36" s="36"/>
      <c r="AD36" s="36"/>
      <c r="AE36" s="37"/>
      <c r="AG36" s="36"/>
      <c r="AH36" s="36"/>
      <c r="AI36" s="36"/>
      <c r="AJ36" s="36"/>
      <c r="BG36" s="39"/>
      <c r="BH36" s="32"/>
    </row>
    <row r="37">
      <c r="A37" s="36"/>
      <c r="B37" s="36"/>
      <c r="E37" s="36"/>
      <c r="F37" s="36"/>
      <c r="G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7"/>
      <c r="AC37" s="36"/>
      <c r="AD37" s="36"/>
      <c r="AE37" s="37"/>
      <c r="AG37" s="36"/>
      <c r="AH37" s="36"/>
      <c r="AI37" s="36"/>
      <c r="AJ37" s="36"/>
      <c r="BG37" s="39"/>
      <c r="BH37" s="32"/>
    </row>
    <row r="38">
      <c r="A38" s="36"/>
      <c r="B38" s="36"/>
      <c r="E38" s="36"/>
      <c r="F38" s="36"/>
      <c r="G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7"/>
      <c r="AC38" s="36"/>
      <c r="AD38" s="36"/>
      <c r="AE38" s="37"/>
      <c r="AG38" s="36"/>
      <c r="AH38" s="36"/>
      <c r="AI38" s="36"/>
      <c r="AJ38" s="36"/>
      <c r="BG38" s="39"/>
      <c r="BH38" s="32"/>
    </row>
    <row r="39">
      <c r="A39" s="36"/>
      <c r="B39" s="36"/>
      <c r="E39" s="36"/>
      <c r="F39" s="36"/>
      <c r="G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7"/>
      <c r="AC39" s="36"/>
      <c r="AD39" s="36"/>
      <c r="AE39" s="37"/>
      <c r="AG39" s="36"/>
      <c r="AH39" s="36"/>
      <c r="AI39" s="36"/>
      <c r="AJ39" s="36"/>
      <c r="BG39" s="39"/>
      <c r="BH39" s="32"/>
    </row>
    <row r="40">
      <c r="A40" s="36"/>
      <c r="B40" s="36"/>
      <c r="E40" s="36"/>
      <c r="F40" s="36"/>
      <c r="G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7"/>
      <c r="AC40" s="36"/>
      <c r="AD40" s="36"/>
      <c r="AE40" s="37"/>
      <c r="AG40" s="36"/>
      <c r="AH40" s="36"/>
      <c r="AI40" s="36"/>
      <c r="AJ40" s="36"/>
      <c r="BG40" s="39"/>
      <c r="BH40" s="32"/>
    </row>
    <row r="41">
      <c r="A41" s="36"/>
      <c r="B41" s="36"/>
      <c r="E41" s="36"/>
      <c r="F41" s="36"/>
      <c r="G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7"/>
      <c r="AC41" s="36"/>
      <c r="AD41" s="36"/>
      <c r="AE41" s="37"/>
      <c r="AG41" s="36"/>
      <c r="AH41" s="36"/>
      <c r="AI41" s="36"/>
      <c r="AJ41" s="36"/>
      <c r="BG41" s="39"/>
      <c r="BH41" s="32"/>
    </row>
    <row r="42">
      <c r="A42" s="36"/>
      <c r="B42" s="36"/>
      <c r="E42" s="36"/>
      <c r="F42" s="36"/>
      <c r="G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7"/>
      <c r="AC42" s="36"/>
      <c r="AD42" s="36"/>
      <c r="AE42" s="37"/>
      <c r="AG42" s="36"/>
      <c r="AH42" s="36"/>
      <c r="AI42" s="36"/>
      <c r="AJ42" s="36"/>
      <c r="BG42" s="39"/>
      <c r="BH42" s="32"/>
    </row>
    <row r="43">
      <c r="A43" s="36"/>
      <c r="B43" s="36"/>
      <c r="E43" s="36"/>
      <c r="F43" s="36"/>
      <c r="G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7"/>
      <c r="AC43" s="36"/>
      <c r="AD43" s="36"/>
      <c r="AE43" s="37"/>
      <c r="AG43" s="36"/>
      <c r="AH43" s="36"/>
      <c r="AI43" s="36"/>
      <c r="AJ43" s="36"/>
      <c r="BG43" s="39"/>
      <c r="BH43" s="32"/>
    </row>
    <row r="44">
      <c r="A44" s="36"/>
      <c r="B44" s="36"/>
      <c r="E44" s="36"/>
      <c r="F44" s="36"/>
      <c r="G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7"/>
      <c r="AC44" s="36"/>
      <c r="AD44" s="36"/>
      <c r="AE44" s="37"/>
      <c r="AG44" s="36"/>
      <c r="AH44" s="36"/>
      <c r="AI44" s="36"/>
      <c r="AJ44" s="36"/>
      <c r="BG44" s="39"/>
      <c r="BH44" s="32"/>
    </row>
    <row r="45">
      <c r="A45" s="36"/>
      <c r="B45" s="36"/>
      <c r="E45" s="36"/>
      <c r="F45" s="36"/>
      <c r="G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7"/>
      <c r="AC45" s="36"/>
      <c r="AD45" s="36"/>
      <c r="AE45" s="37"/>
      <c r="AG45" s="36"/>
      <c r="AH45" s="36"/>
      <c r="AI45" s="36"/>
      <c r="AJ45" s="36"/>
      <c r="BG45" s="39"/>
      <c r="BH45" s="32"/>
    </row>
    <row r="46">
      <c r="A46" s="36"/>
      <c r="B46" s="36"/>
      <c r="E46" s="36"/>
      <c r="F46" s="36"/>
      <c r="G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7"/>
      <c r="AC46" s="36"/>
      <c r="AD46" s="36"/>
      <c r="AE46" s="37"/>
      <c r="AG46" s="36"/>
      <c r="AH46" s="36"/>
      <c r="AI46" s="36"/>
      <c r="AJ46" s="36"/>
      <c r="BG46" s="39"/>
      <c r="BH46" s="32"/>
    </row>
    <row r="47">
      <c r="A47" s="36"/>
      <c r="B47" s="36"/>
      <c r="E47" s="36"/>
      <c r="F47" s="36"/>
      <c r="G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7"/>
      <c r="AC47" s="36"/>
      <c r="AD47" s="36"/>
      <c r="AE47" s="37"/>
      <c r="AG47" s="36"/>
      <c r="AH47" s="36"/>
      <c r="AI47" s="36"/>
      <c r="AJ47" s="36"/>
      <c r="BG47" s="39"/>
      <c r="BH47" s="32"/>
    </row>
    <row r="48">
      <c r="A48" s="36"/>
      <c r="B48" s="36"/>
      <c r="E48" s="36"/>
      <c r="F48" s="36"/>
      <c r="G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7"/>
      <c r="AC48" s="36"/>
      <c r="AD48" s="36"/>
      <c r="AE48" s="37"/>
      <c r="AG48" s="36"/>
      <c r="AH48" s="36"/>
      <c r="AI48" s="36"/>
      <c r="AJ48" s="36"/>
      <c r="BG48" s="39"/>
      <c r="BH48" s="32"/>
    </row>
    <row r="49">
      <c r="A49" s="36"/>
      <c r="B49" s="36"/>
      <c r="E49" s="36"/>
      <c r="F49" s="36"/>
      <c r="G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7"/>
      <c r="AC49" s="36"/>
      <c r="AD49" s="36"/>
      <c r="AE49" s="37"/>
      <c r="AG49" s="36"/>
      <c r="AH49" s="36"/>
      <c r="AI49" s="36"/>
      <c r="AJ49" s="36"/>
      <c r="BG49" s="39"/>
      <c r="BH49" s="32"/>
    </row>
    <row r="50">
      <c r="A50" s="36"/>
      <c r="B50" s="36"/>
      <c r="E50" s="36"/>
      <c r="F50" s="36"/>
      <c r="G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7"/>
      <c r="AC50" s="36"/>
      <c r="AD50" s="36"/>
      <c r="AE50" s="37"/>
      <c r="AG50" s="36"/>
      <c r="AH50" s="36"/>
      <c r="AI50" s="36"/>
      <c r="AJ50" s="36"/>
      <c r="BG50" s="39"/>
      <c r="BH50" s="32"/>
    </row>
    <row r="51">
      <c r="A51" s="36"/>
      <c r="B51" s="36"/>
      <c r="E51" s="36"/>
      <c r="F51" s="36"/>
      <c r="G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7"/>
      <c r="AC51" s="36"/>
      <c r="AD51" s="36"/>
      <c r="AE51" s="37"/>
      <c r="AG51" s="36"/>
      <c r="AH51" s="36"/>
      <c r="AI51" s="36"/>
      <c r="AJ51" s="36"/>
      <c r="BG51" s="39"/>
      <c r="BH51" s="32"/>
    </row>
    <row r="52">
      <c r="A52" s="36"/>
      <c r="B52" s="36"/>
      <c r="E52" s="36"/>
      <c r="F52" s="36"/>
      <c r="G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7"/>
      <c r="AC52" s="36"/>
      <c r="AD52" s="36"/>
      <c r="AE52" s="37"/>
      <c r="AG52" s="36"/>
      <c r="AH52" s="36"/>
      <c r="AI52" s="36"/>
      <c r="AJ52" s="36"/>
      <c r="BG52" s="39"/>
      <c r="BH52" s="32"/>
    </row>
    <row r="53">
      <c r="A53" s="36"/>
      <c r="B53" s="36"/>
      <c r="E53" s="36"/>
      <c r="F53" s="36"/>
      <c r="G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7"/>
      <c r="AC53" s="36"/>
      <c r="AD53" s="36"/>
      <c r="AE53" s="37"/>
      <c r="AG53" s="36"/>
      <c r="AH53" s="36"/>
      <c r="AI53" s="36"/>
      <c r="AJ53" s="36"/>
      <c r="BG53" s="39"/>
      <c r="BH53" s="32"/>
    </row>
    <row r="54">
      <c r="A54" s="36"/>
      <c r="B54" s="36"/>
      <c r="E54" s="36"/>
      <c r="F54" s="36"/>
      <c r="G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7"/>
      <c r="AC54" s="36"/>
      <c r="AD54" s="36"/>
      <c r="AE54" s="37"/>
      <c r="AG54" s="36"/>
      <c r="AH54" s="36"/>
      <c r="AI54" s="36"/>
      <c r="AJ54" s="36"/>
      <c r="BG54" s="39"/>
      <c r="BH54" s="32"/>
    </row>
    <row r="55">
      <c r="A55" s="36"/>
      <c r="B55" s="36"/>
      <c r="E55" s="36"/>
      <c r="F55" s="36"/>
      <c r="G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7"/>
      <c r="AC55" s="36"/>
      <c r="AD55" s="36"/>
      <c r="AE55" s="37"/>
      <c r="AG55" s="36"/>
      <c r="AH55" s="36"/>
      <c r="AI55" s="36"/>
      <c r="AJ55" s="36"/>
      <c r="BG55" s="39"/>
      <c r="BH55" s="32"/>
    </row>
    <row r="56">
      <c r="A56" s="36"/>
      <c r="B56" s="36"/>
      <c r="E56" s="36"/>
      <c r="F56" s="36"/>
      <c r="G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7"/>
      <c r="AC56" s="36"/>
      <c r="AD56" s="36"/>
      <c r="AE56" s="37"/>
      <c r="AG56" s="36"/>
      <c r="AH56" s="36"/>
      <c r="AI56" s="36"/>
      <c r="AJ56" s="36"/>
      <c r="BG56" s="39"/>
      <c r="BH56" s="32"/>
    </row>
    <row r="57">
      <c r="A57" s="36"/>
      <c r="B57" s="36"/>
      <c r="E57" s="36"/>
      <c r="F57" s="36"/>
      <c r="G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7"/>
      <c r="AC57" s="36"/>
      <c r="AD57" s="36"/>
      <c r="AE57" s="37"/>
      <c r="AG57" s="36"/>
      <c r="AH57" s="36"/>
      <c r="AI57" s="36"/>
      <c r="AJ57" s="36"/>
      <c r="BG57" s="39"/>
      <c r="BH57" s="32"/>
    </row>
    <row r="58">
      <c r="A58" s="36"/>
      <c r="B58" s="36"/>
      <c r="E58" s="36"/>
      <c r="F58" s="36"/>
      <c r="G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7"/>
      <c r="AC58" s="36"/>
      <c r="AD58" s="36"/>
      <c r="AE58" s="37"/>
      <c r="AG58" s="36"/>
      <c r="AH58" s="36"/>
      <c r="AI58" s="36"/>
      <c r="AJ58" s="36"/>
      <c r="BG58" s="39"/>
      <c r="BH58" s="32"/>
    </row>
    <row r="59">
      <c r="A59" s="36"/>
      <c r="B59" s="36"/>
      <c r="E59" s="36"/>
      <c r="F59" s="36"/>
      <c r="G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7"/>
      <c r="AC59" s="36"/>
      <c r="AD59" s="36"/>
      <c r="AE59" s="37"/>
      <c r="AG59" s="36"/>
      <c r="AH59" s="36"/>
      <c r="AI59" s="36"/>
      <c r="AJ59" s="36"/>
      <c r="BG59" s="39"/>
      <c r="BH59" s="32"/>
    </row>
    <row r="60">
      <c r="A60" s="36"/>
      <c r="B60" s="36"/>
      <c r="E60" s="36"/>
      <c r="F60" s="36"/>
      <c r="G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7"/>
      <c r="AC60" s="36"/>
      <c r="AD60" s="36"/>
      <c r="AE60" s="37"/>
      <c r="AG60" s="36"/>
      <c r="AH60" s="36"/>
      <c r="AI60" s="36"/>
      <c r="AJ60" s="36"/>
      <c r="BG60" s="39"/>
      <c r="BH60" s="32"/>
    </row>
    <row r="61">
      <c r="A61" s="36"/>
      <c r="B61" s="36"/>
      <c r="E61" s="36"/>
      <c r="F61" s="36"/>
      <c r="G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7"/>
      <c r="AC61" s="36"/>
      <c r="AD61" s="36"/>
      <c r="AE61" s="37"/>
      <c r="AG61" s="36"/>
      <c r="AH61" s="36"/>
      <c r="AI61" s="36"/>
      <c r="AJ61" s="36"/>
      <c r="BG61" s="39"/>
      <c r="BH61" s="32"/>
    </row>
    <row r="62">
      <c r="A62" s="36"/>
      <c r="B62" s="36"/>
      <c r="E62" s="36"/>
      <c r="F62" s="36"/>
      <c r="G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7"/>
      <c r="AC62" s="36"/>
      <c r="AD62" s="36"/>
      <c r="AE62" s="37"/>
      <c r="AG62" s="36"/>
      <c r="AH62" s="36"/>
      <c r="AI62" s="36"/>
      <c r="AJ62" s="36"/>
      <c r="BG62" s="39"/>
      <c r="BH62" s="32"/>
    </row>
    <row r="63">
      <c r="A63" s="36"/>
      <c r="B63" s="36"/>
      <c r="E63" s="36"/>
      <c r="F63" s="36"/>
      <c r="G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7"/>
      <c r="AC63" s="36"/>
      <c r="AD63" s="36"/>
      <c r="AE63" s="37"/>
      <c r="AG63" s="36"/>
      <c r="AH63" s="36"/>
      <c r="AI63" s="36"/>
      <c r="AJ63" s="36"/>
      <c r="BG63" s="39"/>
      <c r="BH63" s="32"/>
    </row>
    <row r="64">
      <c r="A64" s="36"/>
      <c r="B64" s="36"/>
      <c r="E64" s="36"/>
      <c r="F64" s="36"/>
      <c r="G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7"/>
      <c r="AC64" s="36"/>
      <c r="AD64" s="36"/>
      <c r="AE64" s="37"/>
      <c r="AG64" s="36"/>
      <c r="AH64" s="36"/>
      <c r="AI64" s="36"/>
      <c r="AJ64" s="36"/>
      <c r="BG64" s="39"/>
      <c r="BH64" s="32"/>
    </row>
    <row r="65">
      <c r="A65" s="36"/>
      <c r="B65" s="36"/>
      <c r="E65" s="36"/>
      <c r="F65" s="36"/>
      <c r="G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7"/>
      <c r="AC65" s="36"/>
      <c r="AD65" s="36"/>
      <c r="AE65" s="37"/>
      <c r="AG65" s="36"/>
      <c r="AH65" s="36"/>
      <c r="AI65" s="36"/>
      <c r="AJ65" s="36"/>
      <c r="BG65" s="39"/>
      <c r="BH65" s="32"/>
    </row>
    <row r="66">
      <c r="A66" s="36"/>
      <c r="B66" s="36"/>
      <c r="E66" s="36"/>
      <c r="F66" s="36"/>
      <c r="G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7"/>
      <c r="AC66" s="36"/>
      <c r="AD66" s="36"/>
      <c r="AE66" s="37"/>
      <c r="AG66" s="36"/>
      <c r="AH66" s="36"/>
      <c r="AI66" s="36"/>
      <c r="AJ66" s="36"/>
      <c r="BG66" s="39"/>
      <c r="BH66" s="32"/>
    </row>
    <row r="67">
      <c r="A67" s="36"/>
      <c r="B67" s="36"/>
      <c r="E67" s="36"/>
      <c r="F67" s="36"/>
      <c r="G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7"/>
      <c r="AC67" s="36"/>
      <c r="AD67" s="36"/>
      <c r="AE67" s="37"/>
      <c r="AG67" s="36"/>
      <c r="AH67" s="36"/>
      <c r="AI67" s="36"/>
      <c r="AJ67" s="36"/>
      <c r="BG67" s="39"/>
      <c r="BH67" s="32"/>
    </row>
    <row r="68">
      <c r="A68" s="36"/>
      <c r="B68" s="36"/>
      <c r="E68" s="36"/>
      <c r="F68" s="36"/>
      <c r="G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7"/>
      <c r="AC68" s="36"/>
      <c r="AD68" s="36"/>
      <c r="AE68" s="37"/>
      <c r="AG68" s="36"/>
      <c r="AH68" s="36"/>
      <c r="AI68" s="36"/>
      <c r="AJ68" s="36"/>
      <c r="BG68" s="39"/>
      <c r="BH68" s="32"/>
    </row>
    <row r="69">
      <c r="A69" s="36"/>
      <c r="B69" s="36"/>
      <c r="E69" s="36"/>
      <c r="F69" s="36"/>
      <c r="G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7"/>
      <c r="AC69" s="36"/>
      <c r="AD69" s="36"/>
      <c r="AE69" s="37"/>
      <c r="AG69" s="36"/>
      <c r="AH69" s="36"/>
      <c r="AI69" s="36"/>
      <c r="AJ69" s="36"/>
      <c r="BG69" s="39"/>
      <c r="BH69" s="32"/>
    </row>
    <row r="70">
      <c r="A70" s="36"/>
      <c r="B70" s="36"/>
      <c r="E70" s="36"/>
      <c r="F70" s="36"/>
      <c r="G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7"/>
      <c r="AC70" s="36"/>
      <c r="AD70" s="36"/>
      <c r="AE70" s="37"/>
      <c r="AG70" s="36"/>
      <c r="AH70" s="36"/>
      <c r="AI70" s="36"/>
      <c r="AJ70" s="36"/>
      <c r="BG70" s="39"/>
      <c r="BH70" s="32"/>
    </row>
    <row r="71">
      <c r="A71" s="36"/>
      <c r="B71" s="36"/>
      <c r="E71" s="36"/>
      <c r="F71" s="36"/>
      <c r="G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7"/>
      <c r="AC71" s="36"/>
      <c r="AD71" s="36"/>
      <c r="AE71" s="37"/>
      <c r="AG71" s="36"/>
      <c r="AH71" s="36"/>
      <c r="AI71" s="36"/>
      <c r="AJ71" s="36"/>
      <c r="BG71" s="39"/>
      <c r="BH71" s="32"/>
    </row>
    <row r="72">
      <c r="A72" s="36"/>
      <c r="B72" s="36"/>
      <c r="E72" s="36"/>
      <c r="F72" s="36"/>
      <c r="G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7"/>
      <c r="AC72" s="36"/>
      <c r="AD72" s="36"/>
      <c r="AE72" s="37"/>
      <c r="AG72" s="36"/>
      <c r="AH72" s="36"/>
      <c r="AI72" s="36"/>
      <c r="AJ72" s="36"/>
      <c r="BG72" s="39"/>
      <c r="BH72" s="32"/>
    </row>
    <row r="73">
      <c r="A73" s="36"/>
      <c r="B73" s="36"/>
      <c r="E73" s="36"/>
      <c r="F73" s="36"/>
      <c r="G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7"/>
      <c r="AC73" s="36"/>
      <c r="AD73" s="36"/>
      <c r="AE73" s="37"/>
      <c r="AG73" s="36"/>
      <c r="AH73" s="36"/>
      <c r="AI73" s="36"/>
      <c r="AJ73" s="36"/>
      <c r="BG73" s="39"/>
      <c r="BH73" s="32"/>
    </row>
    <row r="74">
      <c r="A74" s="36"/>
      <c r="B74" s="36"/>
      <c r="E74" s="36"/>
      <c r="F74" s="36"/>
      <c r="G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7"/>
      <c r="AC74" s="36"/>
      <c r="AD74" s="36"/>
      <c r="AE74" s="37"/>
      <c r="AG74" s="36"/>
      <c r="AH74" s="36"/>
      <c r="AI74" s="36"/>
      <c r="AJ74" s="36"/>
      <c r="BG74" s="39"/>
      <c r="BH74" s="32"/>
    </row>
    <row r="75">
      <c r="A75" s="36"/>
      <c r="B75" s="36"/>
      <c r="E75" s="36"/>
      <c r="F75" s="36"/>
      <c r="G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7"/>
      <c r="AC75" s="36"/>
      <c r="AD75" s="36"/>
      <c r="AE75" s="37"/>
      <c r="AG75" s="36"/>
      <c r="AH75" s="36"/>
      <c r="AI75" s="36"/>
      <c r="AJ75" s="36"/>
      <c r="BG75" s="39"/>
      <c r="BH75" s="32"/>
    </row>
    <row r="76">
      <c r="A76" s="36"/>
      <c r="B76" s="36"/>
      <c r="E76" s="36"/>
      <c r="F76" s="36"/>
      <c r="G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7"/>
      <c r="AC76" s="36"/>
      <c r="AD76" s="36"/>
      <c r="AE76" s="37"/>
      <c r="AG76" s="36"/>
      <c r="AH76" s="36"/>
      <c r="AI76" s="36"/>
      <c r="AJ76" s="36"/>
      <c r="BG76" s="39"/>
      <c r="BH76" s="32"/>
    </row>
    <row r="77">
      <c r="A77" s="36"/>
      <c r="B77" s="36"/>
      <c r="E77" s="36"/>
      <c r="F77" s="36"/>
      <c r="G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7"/>
      <c r="AC77" s="36"/>
      <c r="AD77" s="36"/>
      <c r="AE77" s="37"/>
      <c r="AG77" s="36"/>
      <c r="AH77" s="36"/>
      <c r="AI77" s="36"/>
      <c r="AJ77" s="36"/>
      <c r="BG77" s="39"/>
      <c r="BH77" s="32"/>
    </row>
    <row r="78">
      <c r="A78" s="36"/>
      <c r="B78" s="36"/>
      <c r="E78" s="36"/>
      <c r="F78" s="36"/>
      <c r="G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7"/>
      <c r="AC78" s="36"/>
      <c r="AD78" s="36"/>
      <c r="AE78" s="37"/>
      <c r="AG78" s="36"/>
      <c r="AH78" s="36"/>
      <c r="AI78" s="36"/>
      <c r="AJ78" s="36"/>
      <c r="BG78" s="39"/>
      <c r="BH78" s="32"/>
    </row>
    <row r="79">
      <c r="A79" s="36"/>
      <c r="B79" s="36"/>
      <c r="E79" s="36"/>
      <c r="F79" s="36"/>
      <c r="G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7"/>
      <c r="AC79" s="36"/>
      <c r="AD79" s="36"/>
      <c r="AE79" s="37"/>
      <c r="AG79" s="36"/>
      <c r="AH79" s="36"/>
      <c r="AI79" s="36"/>
      <c r="AJ79" s="36"/>
      <c r="BG79" s="39"/>
      <c r="BH79" s="32"/>
    </row>
    <row r="80">
      <c r="A80" s="36"/>
      <c r="B80" s="36"/>
      <c r="E80" s="36"/>
      <c r="F80" s="36"/>
      <c r="G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7"/>
      <c r="AC80" s="36"/>
      <c r="AD80" s="36"/>
      <c r="AE80" s="37"/>
      <c r="AG80" s="36"/>
      <c r="AH80" s="36"/>
      <c r="AI80" s="36"/>
      <c r="AJ80" s="36"/>
      <c r="BG80" s="39"/>
      <c r="BH80" s="32"/>
    </row>
    <row r="81">
      <c r="A81" s="36"/>
      <c r="B81" s="36"/>
      <c r="E81" s="36"/>
      <c r="F81" s="36"/>
      <c r="G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7"/>
      <c r="AC81" s="36"/>
      <c r="AD81" s="36"/>
      <c r="AE81" s="37"/>
      <c r="AG81" s="36"/>
      <c r="AH81" s="36"/>
      <c r="AI81" s="36"/>
      <c r="AJ81" s="36"/>
      <c r="BG81" s="39"/>
      <c r="BH81" s="32"/>
    </row>
    <row r="82">
      <c r="A82" s="36"/>
      <c r="B82" s="36"/>
      <c r="E82" s="36"/>
      <c r="F82" s="36"/>
      <c r="G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7"/>
      <c r="AC82" s="36"/>
      <c r="AD82" s="36"/>
      <c r="AE82" s="37"/>
      <c r="AG82" s="36"/>
      <c r="AH82" s="36"/>
      <c r="AI82" s="36"/>
      <c r="AJ82" s="36"/>
      <c r="BG82" s="39"/>
      <c r="BH82" s="32"/>
    </row>
    <row r="83">
      <c r="A83" s="36"/>
      <c r="B83" s="36"/>
      <c r="E83" s="36"/>
      <c r="F83" s="36"/>
      <c r="G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7"/>
      <c r="AC83" s="36"/>
      <c r="AD83" s="36"/>
      <c r="AE83" s="37"/>
      <c r="AG83" s="36"/>
      <c r="AH83" s="36"/>
      <c r="AI83" s="36"/>
      <c r="AJ83" s="36"/>
      <c r="BG83" s="39"/>
      <c r="BH83" s="32"/>
    </row>
    <row r="84">
      <c r="A84" s="36"/>
      <c r="B84" s="36"/>
      <c r="E84" s="36"/>
      <c r="F84" s="36"/>
      <c r="G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7"/>
      <c r="AC84" s="36"/>
      <c r="AD84" s="36"/>
      <c r="AE84" s="37"/>
      <c r="AG84" s="36"/>
      <c r="AH84" s="36"/>
      <c r="AI84" s="36"/>
      <c r="AJ84" s="36"/>
      <c r="BG84" s="39"/>
      <c r="BH84" s="32"/>
    </row>
    <row r="85">
      <c r="A85" s="36"/>
      <c r="B85" s="36"/>
      <c r="E85" s="36"/>
      <c r="F85" s="36"/>
      <c r="G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7"/>
      <c r="AC85" s="36"/>
      <c r="AD85" s="36"/>
      <c r="AE85" s="37"/>
      <c r="AG85" s="36"/>
      <c r="AH85" s="36"/>
      <c r="AI85" s="36"/>
      <c r="AJ85" s="36"/>
      <c r="BG85" s="39"/>
      <c r="BH85" s="32"/>
    </row>
    <row r="86">
      <c r="A86" s="36"/>
      <c r="B86" s="36"/>
      <c r="E86" s="36"/>
      <c r="F86" s="36"/>
      <c r="G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7"/>
      <c r="AC86" s="36"/>
      <c r="AD86" s="36"/>
      <c r="AE86" s="37"/>
      <c r="AG86" s="36"/>
      <c r="AH86" s="36"/>
      <c r="AI86" s="36"/>
      <c r="AJ86" s="36"/>
      <c r="BG86" s="39"/>
      <c r="BH86" s="32"/>
    </row>
    <row r="87">
      <c r="A87" s="36"/>
      <c r="B87" s="36"/>
      <c r="E87" s="36"/>
      <c r="F87" s="36"/>
      <c r="G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7"/>
      <c r="AC87" s="36"/>
      <c r="AD87" s="36"/>
      <c r="AE87" s="37"/>
      <c r="AG87" s="36"/>
      <c r="AH87" s="36"/>
      <c r="AI87" s="36"/>
      <c r="AJ87" s="36"/>
      <c r="BG87" s="39"/>
      <c r="BH87" s="32"/>
    </row>
    <row r="88">
      <c r="A88" s="36"/>
      <c r="B88" s="36"/>
      <c r="E88" s="36"/>
      <c r="F88" s="36"/>
      <c r="G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7"/>
      <c r="AC88" s="36"/>
      <c r="AD88" s="36"/>
      <c r="AE88" s="37"/>
      <c r="AG88" s="36"/>
      <c r="AH88" s="36"/>
      <c r="AI88" s="36"/>
      <c r="AJ88" s="36"/>
      <c r="BG88" s="39"/>
      <c r="BH88" s="32"/>
    </row>
    <row r="89">
      <c r="A89" s="36"/>
      <c r="B89" s="36"/>
      <c r="E89" s="36"/>
      <c r="F89" s="36"/>
      <c r="G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7"/>
      <c r="AC89" s="36"/>
      <c r="AD89" s="36"/>
      <c r="AE89" s="37"/>
      <c r="AG89" s="36"/>
      <c r="AH89" s="36"/>
      <c r="AI89" s="36"/>
      <c r="AJ89" s="36"/>
      <c r="BG89" s="39"/>
      <c r="BH89" s="32"/>
    </row>
    <row r="90">
      <c r="A90" s="36"/>
      <c r="B90" s="36"/>
      <c r="E90" s="36"/>
      <c r="F90" s="36"/>
      <c r="G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7"/>
      <c r="AC90" s="36"/>
      <c r="AD90" s="36"/>
      <c r="AE90" s="37"/>
      <c r="AG90" s="36"/>
      <c r="AH90" s="36"/>
      <c r="AI90" s="36"/>
      <c r="AJ90" s="36"/>
      <c r="BG90" s="39"/>
      <c r="BH90" s="32"/>
    </row>
    <row r="91">
      <c r="A91" s="36"/>
      <c r="B91" s="36"/>
      <c r="E91" s="36"/>
      <c r="F91" s="36"/>
      <c r="G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7"/>
      <c r="AC91" s="36"/>
      <c r="AD91" s="36"/>
      <c r="AE91" s="37"/>
      <c r="AG91" s="36"/>
      <c r="AH91" s="36"/>
      <c r="AI91" s="36"/>
      <c r="AJ91" s="36"/>
      <c r="BG91" s="39"/>
      <c r="BH91" s="32"/>
    </row>
    <row r="92">
      <c r="A92" s="36"/>
      <c r="B92" s="36"/>
      <c r="E92" s="36"/>
      <c r="F92" s="36"/>
      <c r="G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7"/>
      <c r="AC92" s="36"/>
      <c r="AD92" s="36"/>
      <c r="AE92" s="37"/>
      <c r="AG92" s="36"/>
      <c r="AH92" s="36"/>
      <c r="AI92" s="36"/>
      <c r="AJ92" s="36"/>
      <c r="BG92" s="39"/>
      <c r="BH92" s="32"/>
    </row>
    <row r="93">
      <c r="A93" s="36"/>
      <c r="B93" s="36"/>
      <c r="E93" s="36"/>
      <c r="F93" s="36"/>
      <c r="G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7"/>
      <c r="AC93" s="36"/>
      <c r="AD93" s="36"/>
      <c r="AE93" s="37"/>
      <c r="AG93" s="36"/>
      <c r="AH93" s="36"/>
      <c r="AI93" s="36"/>
      <c r="AJ93" s="36"/>
      <c r="BG93" s="39"/>
      <c r="BH93" s="32"/>
    </row>
    <row r="94">
      <c r="A94" s="36"/>
      <c r="B94" s="36"/>
      <c r="E94" s="36"/>
      <c r="F94" s="36"/>
      <c r="G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7"/>
      <c r="AC94" s="36"/>
      <c r="AD94" s="36"/>
      <c r="AE94" s="37"/>
      <c r="AG94" s="36"/>
      <c r="AH94" s="36"/>
      <c r="AI94" s="36"/>
      <c r="AJ94" s="36"/>
      <c r="BG94" s="39"/>
      <c r="BH94" s="32"/>
    </row>
    <row r="95">
      <c r="A95" s="36"/>
      <c r="B95" s="36"/>
      <c r="E95" s="36"/>
      <c r="F95" s="36"/>
      <c r="G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7"/>
      <c r="AC95" s="36"/>
      <c r="AD95" s="36"/>
      <c r="AE95" s="37"/>
      <c r="AG95" s="36"/>
      <c r="AH95" s="36"/>
      <c r="AI95" s="36"/>
      <c r="AJ95" s="36"/>
      <c r="BG95" s="39"/>
      <c r="BH95" s="32"/>
    </row>
    <row r="96">
      <c r="A96" s="36"/>
      <c r="B96" s="36"/>
      <c r="E96" s="36"/>
      <c r="F96" s="36"/>
      <c r="G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7"/>
      <c r="AC96" s="36"/>
      <c r="AD96" s="36"/>
      <c r="AE96" s="37"/>
      <c r="AG96" s="36"/>
      <c r="AH96" s="36"/>
      <c r="AI96" s="36"/>
      <c r="AJ96" s="36"/>
      <c r="BG96" s="39"/>
      <c r="BH96" s="32"/>
    </row>
    <row r="97">
      <c r="A97" s="36"/>
      <c r="B97" s="36"/>
      <c r="E97" s="36"/>
      <c r="F97" s="36"/>
      <c r="G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7"/>
      <c r="AC97" s="36"/>
      <c r="AD97" s="36"/>
      <c r="AE97" s="37"/>
      <c r="AG97" s="36"/>
      <c r="AH97" s="36"/>
      <c r="AI97" s="36"/>
      <c r="AJ97" s="36"/>
      <c r="BG97" s="39"/>
      <c r="BH97" s="32"/>
    </row>
    <row r="98">
      <c r="A98" s="36"/>
      <c r="B98" s="36"/>
      <c r="E98" s="36"/>
      <c r="F98" s="36"/>
      <c r="G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7"/>
      <c r="AC98" s="36"/>
      <c r="AD98" s="36"/>
      <c r="AE98" s="37"/>
      <c r="AG98" s="36"/>
      <c r="AH98" s="36"/>
      <c r="AI98" s="36"/>
      <c r="AJ98" s="36"/>
      <c r="BG98" s="39"/>
      <c r="BH98" s="32"/>
    </row>
    <row r="99">
      <c r="A99" s="36"/>
      <c r="B99" s="36"/>
      <c r="E99" s="36"/>
      <c r="F99" s="36"/>
      <c r="G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7"/>
      <c r="AC99" s="36"/>
      <c r="AD99" s="36"/>
      <c r="AE99" s="37"/>
      <c r="AG99" s="36"/>
      <c r="AH99" s="36"/>
      <c r="AI99" s="36"/>
      <c r="AJ99" s="36"/>
      <c r="BG99" s="39"/>
      <c r="BH99" s="32"/>
    </row>
    <row r="100">
      <c r="A100" s="36"/>
      <c r="B100" s="36"/>
      <c r="E100" s="36"/>
      <c r="F100" s="36"/>
      <c r="G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7"/>
      <c r="AC100" s="36"/>
      <c r="AD100" s="36"/>
      <c r="AE100" s="37"/>
      <c r="AG100" s="36"/>
      <c r="AH100" s="36"/>
      <c r="AI100" s="36"/>
      <c r="AJ100" s="36"/>
      <c r="BG100" s="39"/>
      <c r="BH100" s="32"/>
    </row>
    <row r="101">
      <c r="A101" s="36"/>
      <c r="B101" s="36"/>
      <c r="E101" s="36"/>
      <c r="F101" s="36"/>
      <c r="G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7"/>
      <c r="AC101" s="36"/>
      <c r="AD101" s="36"/>
      <c r="AE101" s="37"/>
      <c r="AG101" s="36"/>
      <c r="AH101" s="36"/>
      <c r="AI101" s="36"/>
      <c r="AJ101" s="36"/>
      <c r="BG101" s="39"/>
      <c r="BH101" s="32"/>
    </row>
    <row r="102">
      <c r="A102" s="36"/>
      <c r="B102" s="36"/>
      <c r="E102" s="36"/>
      <c r="F102" s="36"/>
      <c r="G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7"/>
      <c r="AC102" s="36"/>
      <c r="AD102" s="36"/>
      <c r="AE102" s="37"/>
      <c r="AG102" s="36"/>
      <c r="AH102" s="36"/>
      <c r="AI102" s="36"/>
      <c r="AJ102" s="36"/>
      <c r="BG102" s="39"/>
      <c r="BH102" s="32"/>
    </row>
    <row r="103">
      <c r="A103" s="36"/>
      <c r="B103" s="36"/>
      <c r="E103" s="36"/>
      <c r="F103" s="36"/>
      <c r="G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7"/>
      <c r="AC103" s="36"/>
      <c r="AD103" s="36"/>
      <c r="AE103" s="37"/>
      <c r="AG103" s="36"/>
      <c r="AH103" s="36"/>
      <c r="AI103" s="36"/>
      <c r="AJ103" s="36"/>
      <c r="BG103" s="39"/>
      <c r="BH103" s="32"/>
    </row>
    <row r="104">
      <c r="A104" s="36"/>
      <c r="B104" s="36"/>
      <c r="E104" s="36"/>
      <c r="F104" s="36"/>
      <c r="G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7"/>
      <c r="AC104" s="36"/>
      <c r="AD104" s="36"/>
      <c r="AE104" s="37"/>
      <c r="AG104" s="36"/>
      <c r="AH104" s="36"/>
      <c r="AI104" s="36"/>
      <c r="AJ104" s="36"/>
      <c r="BG104" s="39"/>
      <c r="BH104" s="32"/>
    </row>
    <row r="105">
      <c r="A105" s="36"/>
      <c r="B105" s="36"/>
      <c r="E105" s="36"/>
      <c r="F105" s="36"/>
      <c r="G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7"/>
      <c r="AC105" s="36"/>
      <c r="AD105" s="36"/>
      <c r="AE105" s="37"/>
      <c r="AG105" s="36"/>
      <c r="AH105" s="36"/>
      <c r="AI105" s="36"/>
      <c r="AJ105" s="36"/>
      <c r="BG105" s="39"/>
      <c r="BH105" s="32"/>
    </row>
    <row r="106">
      <c r="A106" s="36"/>
      <c r="B106" s="36"/>
      <c r="E106" s="36"/>
      <c r="F106" s="36"/>
      <c r="G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7"/>
      <c r="AC106" s="36"/>
      <c r="AD106" s="36"/>
      <c r="AE106" s="37"/>
      <c r="AG106" s="36"/>
      <c r="AH106" s="36"/>
      <c r="AI106" s="36"/>
      <c r="AJ106" s="36"/>
      <c r="BG106" s="39"/>
      <c r="BH106" s="32"/>
    </row>
    <row r="107">
      <c r="A107" s="36"/>
      <c r="B107" s="36"/>
      <c r="E107" s="36"/>
      <c r="F107" s="36"/>
      <c r="G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7"/>
      <c r="AC107" s="36"/>
      <c r="AD107" s="36"/>
      <c r="AE107" s="37"/>
      <c r="AG107" s="36"/>
      <c r="AH107" s="36"/>
      <c r="AI107" s="36"/>
      <c r="AJ107" s="36"/>
      <c r="BG107" s="39"/>
      <c r="BH107" s="32"/>
    </row>
    <row r="108">
      <c r="A108" s="36"/>
      <c r="B108" s="36"/>
      <c r="E108" s="36"/>
      <c r="F108" s="36"/>
      <c r="G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7"/>
      <c r="AC108" s="36"/>
      <c r="AD108" s="36"/>
      <c r="AE108" s="37"/>
      <c r="AG108" s="36"/>
      <c r="AH108" s="36"/>
      <c r="AI108" s="36"/>
      <c r="AJ108" s="36"/>
      <c r="BG108" s="39"/>
      <c r="BH108" s="32"/>
    </row>
    <row r="109">
      <c r="A109" s="36"/>
      <c r="B109" s="36"/>
      <c r="E109" s="36"/>
      <c r="F109" s="36"/>
      <c r="G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7"/>
      <c r="AC109" s="36"/>
      <c r="AD109" s="36"/>
      <c r="AE109" s="37"/>
      <c r="AG109" s="36"/>
      <c r="AH109" s="36"/>
      <c r="AI109" s="36"/>
      <c r="AJ109" s="36"/>
      <c r="BG109" s="39"/>
      <c r="BH109" s="32"/>
    </row>
    <row r="110">
      <c r="A110" s="36"/>
      <c r="B110" s="36"/>
      <c r="E110" s="36"/>
      <c r="F110" s="36"/>
      <c r="G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7"/>
      <c r="AC110" s="36"/>
      <c r="AD110" s="36"/>
      <c r="AE110" s="37"/>
      <c r="AG110" s="36"/>
      <c r="AH110" s="36"/>
      <c r="AI110" s="36"/>
      <c r="AJ110" s="36"/>
      <c r="BG110" s="39"/>
      <c r="BH110" s="32"/>
    </row>
    <row r="111">
      <c r="A111" s="36"/>
      <c r="B111" s="36"/>
      <c r="E111" s="36"/>
      <c r="F111" s="36"/>
      <c r="G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7"/>
      <c r="AC111" s="36"/>
      <c r="AD111" s="36"/>
      <c r="AE111" s="37"/>
      <c r="AG111" s="36"/>
      <c r="AH111" s="36"/>
      <c r="AI111" s="36"/>
      <c r="AJ111" s="36"/>
      <c r="BG111" s="39"/>
      <c r="BH111" s="32"/>
    </row>
    <row r="112">
      <c r="A112" s="36"/>
      <c r="B112" s="36"/>
      <c r="E112" s="36"/>
      <c r="F112" s="36"/>
      <c r="G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7"/>
      <c r="AC112" s="36"/>
      <c r="AD112" s="36"/>
      <c r="AE112" s="37"/>
      <c r="AG112" s="36"/>
      <c r="AH112" s="36"/>
      <c r="AI112" s="36"/>
      <c r="AJ112" s="36"/>
      <c r="BG112" s="39"/>
      <c r="BH112" s="32"/>
    </row>
    <row r="113">
      <c r="A113" s="36"/>
      <c r="B113" s="36"/>
      <c r="E113" s="36"/>
      <c r="F113" s="36"/>
      <c r="G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7"/>
      <c r="AC113" s="36"/>
      <c r="AD113" s="36"/>
      <c r="AE113" s="37"/>
      <c r="AG113" s="36"/>
      <c r="AH113" s="36"/>
      <c r="AI113" s="36"/>
      <c r="AJ113" s="36"/>
      <c r="BG113" s="39"/>
      <c r="BH113" s="32"/>
    </row>
    <row r="114">
      <c r="A114" s="36"/>
      <c r="B114" s="36"/>
      <c r="E114" s="36"/>
      <c r="F114" s="36"/>
      <c r="G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7"/>
      <c r="AC114" s="36"/>
      <c r="AD114" s="36"/>
      <c r="AE114" s="37"/>
      <c r="AG114" s="36"/>
      <c r="AH114" s="36"/>
      <c r="AI114" s="36"/>
      <c r="AJ114" s="36"/>
      <c r="BG114" s="39"/>
      <c r="BH114" s="32"/>
    </row>
    <row r="115">
      <c r="A115" s="36"/>
      <c r="B115" s="36"/>
      <c r="E115" s="36"/>
      <c r="F115" s="36"/>
      <c r="G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7"/>
      <c r="AC115" s="36"/>
      <c r="AD115" s="36"/>
      <c r="AE115" s="37"/>
      <c r="AG115" s="36"/>
      <c r="AH115" s="36"/>
      <c r="AI115" s="36"/>
      <c r="AJ115" s="36"/>
      <c r="BG115" s="39"/>
      <c r="BH115" s="32"/>
    </row>
    <row r="116">
      <c r="A116" s="36"/>
      <c r="B116" s="36"/>
      <c r="E116" s="36"/>
      <c r="F116" s="36"/>
      <c r="G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7"/>
      <c r="AC116" s="36"/>
      <c r="AD116" s="36"/>
      <c r="AE116" s="37"/>
      <c r="AG116" s="36"/>
      <c r="AH116" s="36"/>
      <c r="AI116" s="36"/>
      <c r="AJ116" s="36"/>
      <c r="BG116" s="39"/>
      <c r="BH116" s="32"/>
    </row>
    <row r="117">
      <c r="A117" s="36"/>
      <c r="B117" s="36"/>
      <c r="E117" s="36"/>
      <c r="F117" s="36"/>
      <c r="G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7"/>
      <c r="AC117" s="36"/>
      <c r="AD117" s="36"/>
      <c r="AE117" s="37"/>
      <c r="AG117" s="36"/>
      <c r="AH117" s="36"/>
      <c r="AI117" s="36"/>
      <c r="AJ117" s="36"/>
      <c r="BG117" s="39"/>
      <c r="BH117" s="32"/>
    </row>
    <row r="118">
      <c r="A118" s="36"/>
      <c r="B118" s="36"/>
      <c r="E118" s="36"/>
      <c r="F118" s="36"/>
      <c r="G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7"/>
      <c r="AC118" s="36"/>
      <c r="AD118" s="36"/>
      <c r="AE118" s="37"/>
      <c r="AG118" s="36"/>
      <c r="AH118" s="36"/>
      <c r="AI118" s="36"/>
      <c r="AJ118" s="36"/>
      <c r="BG118" s="39"/>
      <c r="BH118" s="32"/>
    </row>
    <row r="119">
      <c r="A119" s="36"/>
      <c r="B119" s="36"/>
      <c r="E119" s="36"/>
      <c r="F119" s="36"/>
      <c r="G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7"/>
      <c r="AC119" s="36"/>
      <c r="AD119" s="36"/>
      <c r="AE119" s="37"/>
      <c r="AG119" s="36"/>
      <c r="AH119" s="36"/>
      <c r="AI119" s="36"/>
      <c r="AJ119" s="36"/>
      <c r="BG119" s="39"/>
      <c r="BH119" s="32"/>
    </row>
    <row r="120">
      <c r="A120" s="36"/>
      <c r="B120" s="36"/>
      <c r="E120" s="36"/>
      <c r="F120" s="36"/>
      <c r="G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7"/>
      <c r="AC120" s="36"/>
      <c r="AD120" s="36"/>
      <c r="AE120" s="37"/>
      <c r="AG120" s="36"/>
      <c r="AH120" s="36"/>
      <c r="AI120" s="36"/>
      <c r="AJ120" s="36"/>
      <c r="BG120" s="39"/>
      <c r="BH120" s="32"/>
    </row>
    <row r="121">
      <c r="A121" s="36"/>
      <c r="B121" s="36"/>
      <c r="E121" s="36"/>
      <c r="F121" s="36"/>
      <c r="G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7"/>
      <c r="AC121" s="36"/>
      <c r="AD121" s="36"/>
      <c r="AE121" s="37"/>
      <c r="AG121" s="36"/>
      <c r="AH121" s="36"/>
      <c r="AI121" s="36"/>
      <c r="AJ121" s="36"/>
      <c r="BG121" s="39"/>
      <c r="BH121" s="32"/>
    </row>
    <row r="122">
      <c r="A122" s="36"/>
      <c r="B122" s="36"/>
      <c r="E122" s="36"/>
      <c r="F122" s="36"/>
      <c r="G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7"/>
      <c r="AC122" s="36"/>
      <c r="AD122" s="36"/>
      <c r="AE122" s="37"/>
      <c r="AG122" s="36"/>
      <c r="AH122" s="36"/>
      <c r="AI122" s="36"/>
      <c r="AJ122" s="36"/>
      <c r="BG122" s="39"/>
      <c r="BH122" s="32"/>
    </row>
    <row r="123">
      <c r="A123" s="36"/>
      <c r="B123" s="36"/>
      <c r="E123" s="36"/>
      <c r="F123" s="36"/>
      <c r="G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7"/>
      <c r="AC123" s="36"/>
      <c r="AD123" s="36"/>
      <c r="AE123" s="37"/>
      <c r="AG123" s="36"/>
      <c r="AH123" s="36"/>
      <c r="AI123" s="36"/>
      <c r="AJ123" s="36"/>
      <c r="BG123" s="39"/>
      <c r="BH123" s="32"/>
    </row>
    <row r="124">
      <c r="A124" s="36"/>
      <c r="B124" s="36"/>
      <c r="E124" s="36"/>
      <c r="F124" s="36"/>
      <c r="G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7"/>
      <c r="AC124" s="36"/>
      <c r="AD124" s="36"/>
      <c r="AE124" s="37"/>
      <c r="AG124" s="36"/>
      <c r="AH124" s="36"/>
      <c r="AI124" s="36"/>
      <c r="AJ124" s="36"/>
      <c r="BG124" s="39"/>
      <c r="BH124" s="32"/>
    </row>
    <row r="125">
      <c r="A125" s="36"/>
      <c r="B125" s="36"/>
      <c r="E125" s="36"/>
      <c r="F125" s="36"/>
      <c r="G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7"/>
      <c r="AC125" s="36"/>
      <c r="AD125" s="36"/>
      <c r="AE125" s="37"/>
      <c r="AG125" s="36"/>
      <c r="AH125" s="36"/>
      <c r="AI125" s="36"/>
      <c r="AJ125" s="36"/>
      <c r="BG125" s="39"/>
      <c r="BH125" s="32"/>
    </row>
    <row r="126">
      <c r="A126" s="36"/>
      <c r="B126" s="36"/>
      <c r="E126" s="36"/>
      <c r="F126" s="36"/>
      <c r="G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7"/>
      <c r="AC126" s="36"/>
      <c r="AD126" s="36"/>
      <c r="AE126" s="37"/>
      <c r="AG126" s="36"/>
      <c r="AH126" s="36"/>
      <c r="AI126" s="36"/>
      <c r="AJ126" s="36"/>
      <c r="BG126" s="39"/>
      <c r="BH126" s="32"/>
    </row>
    <row r="127">
      <c r="A127" s="36"/>
      <c r="B127" s="36"/>
      <c r="E127" s="36"/>
      <c r="F127" s="36"/>
      <c r="G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7"/>
      <c r="AC127" s="36"/>
      <c r="AD127" s="36"/>
      <c r="AE127" s="37"/>
      <c r="AG127" s="36"/>
      <c r="AH127" s="36"/>
      <c r="AI127" s="36"/>
      <c r="AJ127" s="36"/>
      <c r="BG127" s="39"/>
      <c r="BH127" s="32"/>
    </row>
    <row r="128">
      <c r="A128" s="36"/>
      <c r="B128" s="36"/>
      <c r="E128" s="36"/>
      <c r="F128" s="36"/>
      <c r="G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7"/>
      <c r="AC128" s="36"/>
      <c r="AD128" s="36"/>
      <c r="AE128" s="37"/>
      <c r="AG128" s="36"/>
      <c r="AH128" s="36"/>
      <c r="AI128" s="36"/>
      <c r="AJ128" s="36"/>
      <c r="BG128" s="39"/>
      <c r="BH128" s="32"/>
    </row>
    <row r="129">
      <c r="A129" s="36"/>
      <c r="B129" s="36"/>
      <c r="E129" s="36"/>
      <c r="F129" s="36"/>
      <c r="G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7"/>
      <c r="AC129" s="36"/>
      <c r="AD129" s="36"/>
      <c r="AE129" s="37"/>
      <c r="AG129" s="36"/>
      <c r="AH129" s="36"/>
      <c r="AI129" s="36"/>
      <c r="AJ129" s="36"/>
      <c r="BG129" s="39"/>
      <c r="BH129" s="32"/>
    </row>
    <row r="130">
      <c r="A130" s="36"/>
      <c r="B130" s="36"/>
      <c r="E130" s="36"/>
      <c r="F130" s="36"/>
      <c r="G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7"/>
      <c r="AC130" s="36"/>
      <c r="AD130" s="36"/>
      <c r="AE130" s="37"/>
      <c r="AG130" s="36"/>
      <c r="AH130" s="36"/>
      <c r="AI130" s="36"/>
      <c r="AJ130" s="36"/>
      <c r="BG130" s="39"/>
      <c r="BH130" s="32"/>
    </row>
    <row r="131">
      <c r="A131" s="36"/>
      <c r="B131" s="36"/>
      <c r="E131" s="36"/>
      <c r="F131" s="36"/>
      <c r="G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7"/>
      <c r="AC131" s="36"/>
      <c r="AD131" s="36"/>
      <c r="AE131" s="37"/>
      <c r="AG131" s="36"/>
      <c r="AH131" s="36"/>
      <c r="AI131" s="36"/>
      <c r="AJ131" s="36"/>
      <c r="BG131" s="39"/>
      <c r="BH131" s="32"/>
    </row>
    <row r="132">
      <c r="A132" s="36"/>
      <c r="B132" s="36"/>
      <c r="E132" s="36"/>
      <c r="F132" s="36"/>
      <c r="G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7"/>
      <c r="AC132" s="36"/>
      <c r="AD132" s="36"/>
      <c r="AE132" s="37"/>
      <c r="AG132" s="36"/>
      <c r="AH132" s="36"/>
      <c r="AI132" s="36"/>
      <c r="AJ132" s="36"/>
      <c r="BG132" s="39"/>
      <c r="BH132" s="32"/>
    </row>
    <row r="133">
      <c r="A133" s="36"/>
      <c r="B133" s="36"/>
      <c r="E133" s="36"/>
      <c r="F133" s="36"/>
      <c r="G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7"/>
      <c r="AC133" s="36"/>
      <c r="AD133" s="36"/>
      <c r="AE133" s="37"/>
      <c r="AG133" s="36"/>
      <c r="AH133" s="36"/>
      <c r="AI133" s="36"/>
      <c r="AJ133" s="36"/>
      <c r="BG133" s="39"/>
      <c r="BH133" s="32"/>
    </row>
    <row r="134">
      <c r="A134" s="36"/>
      <c r="B134" s="36"/>
      <c r="E134" s="36"/>
      <c r="F134" s="36"/>
      <c r="G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7"/>
      <c r="AC134" s="36"/>
      <c r="AD134" s="36"/>
      <c r="AE134" s="37"/>
      <c r="AG134" s="36"/>
      <c r="AH134" s="36"/>
      <c r="AI134" s="36"/>
      <c r="AJ134" s="36"/>
      <c r="BG134" s="39"/>
      <c r="BH134" s="32"/>
    </row>
    <row r="135">
      <c r="A135" s="36"/>
      <c r="B135" s="36"/>
      <c r="E135" s="36"/>
      <c r="F135" s="36"/>
      <c r="G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7"/>
      <c r="AC135" s="36"/>
      <c r="AD135" s="36"/>
      <c r="AE135" s="37"/>
      <c r="AG135" s="36"/>
      <c r="AH135" s="36"/>
      <c r="AI135" s="36"/>
      <c r="AJ135" s="36"/>
      <c r="BG135" s="39"/>
      <c r="BH135" s="32"/>
    </row>
    <row r="136">
      <c r="A136" s="36"/>
      <c r="B136" s="36"/>
      <c r="E136" s="36"/>
      <c r="F136" s="36"/>
      <c r="G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7"/>
      <c r="AC136" s="36"/>
      <c r="AD136" s="36"/>
      <c r="AE136" s="37"/>
      <c r="AG136" s="36"/>
      <c r="AH136" s="36"/>
      <c r="AI136" s="36"/>
      <c r="AJ136" s="36"/>
      <c r="BG136" s="39"/>
      <c r="BH136" s="32"/>
    </row>
    <row r="137">
      <c r="A137" s="36"/>
      <c r="B137" s="36"/>
      <c r="E137" s="36"/>
      <c r="F137" s="36"/>
      <c r="G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7"/>
      <c r="AC137" s="36"/>
      <c r="AD137" s="36"/>
      <c r="AE137" s="37"/>
      <c r="AG137" s="36"/>
      <c r="AH137" s="36"/>
      <c r="AI137" s="36"/>
      <c r="AJ137" s="36"/>
      <c r="BG137" s="39"/>
      <c r="BH137" s="32"/>
    </row>
    <row r="138">
      <c r="A138" s="36"/>
      <c r="B138" s="36"/>
      <c r="E138" s="36"/>
      <c r="F138" s="36"/>
      <c r="G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7"/>
      <c r="AC138" s="36"/>
      <c r="AD138" s="36"/>
      <c r="AE138" s="37"/>
      <c r="AG138" s="36"/>
      <c r="AH138" s="36"/>
      <c r="AI138" s="36"/>
      <c r="AJ138" s="36"/>
      <c r="BG138" s="39"/>
      <c r="BH138" s="32"/>
    </row>
    <row r="139">
      <c r="A139" s="36"/>
      <c r="B139" s="36"/>
      <c r="E139" s="36"/>
      <c r="F139" s="36"/>
      <c r="G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7"/>
      <c r="AC139" s="36"/>
      <c r="AD139" s="36"/>
      <c r="AE139" s="37"/>
      <c r="AG139" s="36"/>
      <c r="AH139" s="36"/>
      <c r="AI139" s="36"/>
      <c r="AJ139" s="36"/>
      <c r="BG139" s="39"/>
      <c r="BH139" s="32"/>
    </row>
    <row r="140">
      <c r="A140" s="36"/>
      <c r="B140" s="36"/>
      <c r="E140" s="36"/>
      <c r="F140" s="36"/>
      <c r="G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7"/>
      <c r="AC140" s="36"/>
      <c r="AD140" s="36"/>
      <c r="AE140" s="37"/>
      <c r="AG140" s="36"/>
      <c r="AH140" s="36"/>
      <c r="AI140" s="36"/>
      <c r="AJ140" s="36"/>
      <c r="BG140" s="39"/>
      <c r="BH140" s="32"/>
    </row>
    <row r="141">
      <c r="A141" s="36"/>
      <c r="B141" s="36"/>
      <c r="E141" s="36"/>
      <c r="F141" s="36"/>
      <c r="G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7"/>
      <c r="AC141" s="36"/>
      <c r="AD141" s="36"/>
      <c r="AE141" s="37"/>
      <c r="AG141" s="36"/>
      <c r="AH141" s="36"/>
      <c r="AI141" s="36"/>
      <c r="AJ141" s="36"/>
      <c r="BG141" s="39"/>
      <c r="BH141" s="32"/>
    </row>
    <row r="142">
      <c r="A142" s="36"/>
      <c r="B142" s="36"/>
      <c r="E142" s="36"/>
      <c r="F142" s="36"/>
      <c r="G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7"/>
      <c r="AC142" s="36"/>
      <c r="AD142" s="36"/>
      <c r="AE142" s="37"/>
      <c r="AG142" s="36"/>
      <c r="AH142" s="36"/>
      <c r="AI142" s="36"/>
      <c r="AJ142" s="36"/>
      <c r="BG142" s="39"/>
      <c r="BH142" s="32"/>
    </row>
    <row r="143">
      <c r="A143" s="36"/>
      <c r="B143" s="36"/>
      <c r="E143" s="36"/>
      <c r="F143" s="36"/>
      <c r="G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7"/>
      <c r="AC143" s="36"/>
      <c r="AD143" s="36"/>
      <c r="AE143" s="37"/>
      <c r="AG143" s="36"/>
      <c r="AH143" s="36"/>
      <c r="AI143" s="36"/>
      <c r="AJ143" s="36"/>
      <c r="BG143" s="39"/>
      <c r="BH143" s="32"/>
    </row>
    <row r="144">
      <c r="A144" s="36"/>
      <c r="B144" s="36"/>
      <c r="E144" s="36"/>
      <c r="F144" s="36"/>
      <c r="G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7"/>
      <c r="AC144" s="36"/>
      <c r="AD144" s="36"/>
      <c r="AE144" s="37"/>
      <c r="AG144" s="36"/>
      <c r="AH144" s="36"/>
      <c r="AI144" s="36"/>
      <c r="AJ144" s="36"/>
      <c r="BG144" s="39"/>
      <c r="BH144" s="32"/>
    </row>
    <row r="145">
      <c r="A145" s="36"/>
      <c r="B145" s="36"/>
      <c r="E145" s="36"/>
      <c r="F145" s="36"/>
      <c r="G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7"/>
      <c r="AC145" s="36"/>
      <c r="AD145" s="36"/>
      <c r="AE145" s="37"/>
      <c r="AG145" s="36"/>
      <c r="AH145" s="36"/>
      <c r="AI145" s="36"/>
      <c r="AJ145" s="36"/>
      <c r="BG145" s="39"/>
      <c r="BH145" s="32"/>
    </row>
    <row r="146">
      <c r="A146" s="36"/>
      <c r="B146" s="36"/>
      <c r="E146" s="36"/>
      <c r="F146" s="36"/>
      <c r="G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7"/>
      <c r="AC146" s="36"/>
      <c r="AD146" s="36"/>
      <c r="AE146" s="37"/>
      <c r="AG146" s="36"/>
      <c r="AH146" s="36"/>
      <c r="AI146" s="36"/>
      <c r="AJ146" s="36"/>
      <c r="BG146" s="39"/>
      <c r="BH146" s="32"/>
    </row>
    <row r="147">
      <c r="A147" s="36"/>
      <c r="B147" s="36"/>
      <c r="E147" s="36"/>
      <c r="F147" s="36"/>
      <c r="G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7"/>
      <c r="AC147" s="36"/>
      <c r="AD147" s="36"/>
      <c r="AE147" s="37"/>
      <c r="AG147" s="36"/>
      <c r="AH147" s="36"/>
      <c r="AI147" s="36"/>
      <c r="AJ147" s="36"/>
      <c r="BG147" s="39"/>
      <c r="BH147" s="32"/>
    </row>
    <row r="148">
      <c r="A148" s="36"/>
      <c r="B148" s="36"/>
      <c r="E148" s="36"/>
      <c r="F148" s="36"/>
      <c r="G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7"/>
      <c r="AC148" s="36"/>
      <c r="AD148" s="36"/>
      <c r="AE148" s="37"/>
      <c r="AG148" s="36"/>
      <c r="AH148" s="36"/>
      <c r="AI148" s="36"/>
      <c r="AJ148" s="36"/>
      <c r="BG148" s="39"/>
      <c r="BH148" s="32"/>
    </row>
    <row r="149">
      <c r="A149" s="36"/>
      <c r="B149" s="36"/>
      <c r="E149" s="36"/>
      <c r="F149" s="36"/>
      <c r="G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7"/>
      <c r="AC149" s="36"/>
      <c r="AD149" s="36"/>
      <c r="AE149" s="37"/>
      <c r="AG149" s="36"/>
      <c r="AH149" s="36"/>
      <c r="AI149" s="36"/>
      <c r="AJ149" s="36"/>
      <c r="BG149" s="39"/>
      <c r="BH149" s="32"/>
    </row>
    <row r="150">
      <c r="A150" s="36"/>
      <c r="B150" s="36"/>
      <c r="E150" s="36"/>
      <c r="F150" s="36"/>
      <c r="G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7"/>
      <c r="AC150" s="36"/>
      <c r="AD150" s="36"/>
      <c r="AE150" s="37"/>
      <c r="AG150" s="36"/>
      <c r="AH150" s="36"/>
      <c r="AI150" s="36"/>
      <c r="AJ150" s="36"/>
      <c r="BG150" s="39"/>
      <c r="BH150" s="32"/>
    </row>
    <row r="151">
      <c r="A151" s="36"/>
      <c r="B151" s="36"/>
      <c r="E151" s="36"/>
      <c r="F151" s="36"/>
      <c r="G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7"/>
      <c r="AC151" s="36"/>
      <c r="AD151" s="36"/>
      <c r="AE151" s="37"/>
      <c r="AG151" s="36"/>
      <c r="AH151" s="36"/>
      <c r="AI151" s="36"/>
      <c r="AJ151" s="36"/>
      <c r="BG151" s="39"/>
      <c r="BH151" s="32"/>
    </row>
    <row r="152">
      <c r="A152" s="36"/>
      <c r="B152" s="36"/>
      <c r="E152" s="36"/>
      <c r="F152" s="36"/>
      <c r="G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7"/>
      <c r="AC152" s="36"/>
      <c r="AD152" s="36"/>
      <c r="AE152" s="37"/>
      <c r="AG152" s="36"/>
      <c r="AH152" s="36"/>
      <c r="AI152" s="36"/>
      <c r="AJ152" s="36"/>
      <c r="BG152" s="39"/>
      <c r="BH152" s="32"/>
    </row>
    <row r="153">
      <c r="A153" s="36"/>
      <c r="B153" s="36"/>
      <c r="E153" s="36"/>
      <c r="F153" s="36"/>
      <c r="G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7"/>
      <c r="AC153" s="36"/>
      <c r="AD153" s="36"/>
      <c r="AE153" s="37"/>
      <c r="AG153" s="36"/>
      <c r="AH153" s="36"/>
      <c r="AI153" s="36"/>
      <c r="AJ153" s="36"/>
      <c r="BG153" s="39"/>
      <c r="BH153" s="32"/>
    </row>
    <row r="154">
      <c r="A154" s="36"/>
      <c r="B154" s="36"/>
      <c r="E154" s="36"/>
      <c r="F154" s="36"/>
      <c r="G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7"/>
      <c r="AC154" s="36"/>
      <c r="AD154" s="36"/>
      <c r="AE154" s="37"/>
      <c r="AG154" s="36"/>
      <c r="AH154" s="36"/>
      <c r="AI154" s="36"/>
      <c r="AJ154" s="36"/>
      <c r="BG154" s="39"/>
      <c r="BH154" s="32"/>
    </row>
    <row r="155">
      <c r="A155" s="36"/>
      <c r="B155" s="36"/>
      <c r="E155" s="36"/>
      <c r="F155" s="36"/>
      <c r="G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7"/>
      <c r="AC155" s="36"/>
      <c r="AD155" s="36"/>
      <c r="AE155" s="37"/>
      <c r="AG155" s="36"/>
      <c r="AH155" s="36"/>
      <c r="AI155" s="36"/>
      <c r="AJ155" s="36"/>
      <c r="BG155" s="39"/>
      <c r="BH155" s="32"/>
    </row>
    <row r="156">
      <c r="A156" s="36"/>
      <c r="B156" s="36"/>
      <c r="E156" s="36"/>
      <c r="F156" s="36"/>
      <c r="G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7"/>
      <c r="AC156" s="36"/>
      <c r="AD156" s="36"/>
      <c r="AE156" s="37"/>
      <c r="AG156" s="36"/>
      <c r="AH156" s="36"/>
      <c r="AI156" s="36"/>
      <c r="AJ156" s="36"/>
      <c r="BG156" s="39"/>
      <c r="BH156" s="32"/>
    </row>
    <row r="157">
      <c r="A157" s="36"/>
      <c r="B157" s="36"/>
      <c r="E157" s="36"/>
      <c r="F157" s="36"/>
      <c r="G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7"/>
      <c r="AC157" s="36"/>
      <c r="AD157" s="36"/>
      <c r="AE157" s="37"/>
      <c r="AG157" s="36"/>
      <c r="AH157" s="36"/>
      <c r="AI157" s="36"/>
      <c r="AJ157" s="36"/>
      <c r="BG157" s="39"/>
      <c r="BH157" s="32"/>
    </row>
    <row r="158">
      <c r="A158" s="36"/>
      <c r="B158" s="36"/>
      <c r="E158" s="36"/>
      <c r="F158" s="36"/>
      <c r="G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7"/>
      <c r="AC158" s="36"/>
      <c r="AD158" s="36"/>
      <c r="AE158" s="37"/>
      <c r="AG158" s="36"/>
      <c r="AH158" s="36"/>
      <c r="AI158" s="36"/>
      <c r="AJ158" s="36"/>
      <c r="BG158" s="39"/>
      <c r="BH158" s="32"/>
    </row>
    <row r="159">
      <c r="A159" s="36"/>
      <c r="B159" s="36"/>
      <c r="E159" s="36"/>
      <c r="F159" s="36"/>
      <c r="G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7"/>
      <c r="AC159" s="36"/>
      <c r="AD159" s="36"/>
      <c r="AE159" s="37"/>
      <c r="AG159" s="36"/>
      <c r="AH159" s="36"/>
      <c r="AI159" s="36"/>
      <c r="AJ159" s="36"/>
      <c r="BG159" s="39"/>
      <c r="BH159" s="32"/>
    </row>
    <row r="160">
      <c r="A160" s="36"/>
      <c r="B160" s="36"/>
      <c r="E160" s="36"/>
      <c r="F160" s="36"/>
      <c r="G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7"/>
      <c r="AC160" s="36"/>
      <c r="AD160" s="36"/>
      <c r="AE160" s="37"/>
      <c r="AG160" s="36"/>
      <c r="AH160" s="36"/>
      <c r="AI160" s="36"/>
      <c r="AJ160" s="36"/>
      <c r="BG160" s="39"/>
      <c r="BH160" s="32"/>
    </row>
    <row r="161">
      <c r="A161" s="36"/>
      <c r="B161" s="36"/>
      <c r="E161" s="36"/>
      <c r="F161" s="36"/>
      <c r="G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7"/>
      <c r="AC161" s="36"/>
      <c r="AD161" s="36"/>
      <c r="AE161" s="37"/>
      <c r="AG161" s="36"/>
      <c r="AH161" s="36"/>
      <c r="AI161" s="36"/>
      <c r="AJ161" s="36"/>
      <c r="BG161" s="39"/>
      <c r="BH161" s="32"/>
    </row>
    <row r="162">
      <c r="A162" s="36"/>
      <c r="B162" s="36"/>
      <c r="E162" s="36"/>
      <c r="F162" s="36"/>
      <c r="G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7"/>
      <c r="AC162" s="36"/>
      <c r="AD162" s="36"/>
      <c r="AE162" s="37"/>
      <c r="AG162" s="36"/>
      <c r="AH162" s="36"/>
      <c r="AI162" s="36"/>
      <c r="AJ162" s="36"/>
      <c r="BG162" s="39"/>
      <c r="BH162" s="32"/>
    </row>
    <row r="163">
      <c r="A163" s="36"/>
      <c r="B163" s="36"/>
      <c r="E163" s="36"/>
      <c r="F163" s="36"/>
      <c r="G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7"/>
      <c r="AC163" s="36"/>
      <c r="AD163" s="36"/>
      <c r="AE163" s="37"/>
      <c r="AG163" s="36"/>
      <c r="AH163" s="36"/>
      <c r="AI163" s="36"/>
      <c r="AJ163" s="36"/>
      <c r="BG163" s="39"/>
      <c r="BH163" s="32"/>
    </row>
    <row r="164">
      <c r="A164" s="36"/>
      <c r="B164" s="36"/>
      <c r="E164" s="36"/>
      <c r="F164" s="36"/>
      <c r="G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7"/>
      <c r="AC164" s="36"/>
      <c r="AD164" s="36"/>
      <c r="AE164" s="37"/>
      <c r="AG164" s="36"/>
      <c r="AH164" s="36"/>
      <c r="AI164" s="36"/>
      <c r="AJ164" s="36"/>
      <c r="BG164" s="39"/>
      <c r="BH164" s="32"/>
    </row>
    <row r="165">
      <c r="A165" s="36"/>
      <c r="B165" s="36"/>
      <c r="E165" s="36"/>
      <c r="F165" s="36"/>
      <c r="G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7"/>
      <c r="AC165" s="36"/>
      <c r="AD165" s="36"/>
      <c r="AE165" s="37"/>
      <c r="AG165" s="36"/>
      <c r="AH165" s="36"/>
      <c r="AI165" s="36"/>
      <c r="AJ165" s="36"/>
      <c r="BG165" s="39"/>
      <c r="BH165" s="32"/>
    </row>
    <row r="166">
      <c r="A166" s="36"/>
      <c r="B166" s="36"/>
      <c r="E166" s="36"/>
      <c r="F166" s="36"/>
      <c r="G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7"/>
      <c r="AC166" s="36"/>
      <c r="AD166" s="36"/>
      <c r="AE166" s="37"/>
      <c r="AG166" s="36"/>
      <c r="AH166" s="36"/>
      <c r="AI166" s="36"/>
      <c r="AJ166" s="36"/>
      <c r="BG166" s="39"/>
      <c r="BH166" s="32"/>
    </row>
    <row r="167">
      <c r="A167" s="36"/>
      <c r="B167" s="36"/>
      <c r="E167" s="36"/>
      <c r="F167" s="36"/>
      <c r="G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7"/>
      <c r="AC167" s="36"/>
      <c r="AD167" s="36"/>
      <c r="AE167" s="37"/>
      <c r="AG167" s="36"/>
      <c r="AH167" s="36"/>
      <c r="AI167" s="36"/>
      <c r="AJ167" s="36"/>
      <c r="BG167" s="39"/>
      <c r="BH167" s="32"/>
    </row>
    <row r="168">
      <c r="A168" s="36"/>
      <c r="B168" s="36"/>
      <c r="E168" s="36"/>
      <c r="F168" s="36"/>
      <c r="G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7"/>
      <c r="AC168" s="36"/>
      <c r="AD168" s="36"/>
      <c r="AE168" s="37"/>
      <c r="AG168" s="36"/>
      <c r="AH168" s="36"/>
      <c r="AI168" s="36"/>
      <c r="AJ168" s="36"/>
      <c r="BG168" s="39"/>
      <c r="BH168" s="32"/>
    </row>
    <row r="169">
      <c r="A169" s="36"/>
      <c r="B169" s="36"/>
      <c r="E169" s="36"/>
      <c r="F169" s="36"/>
      <c r="G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7"/>
      <c r="AC169" s="36"/>
      <c r="AD169" s="36"/>
      <c r="AE169" s="37"/>
      <c r="AG169" s="36"/>
      <c r="AH169" s="36"/>
      <c r="AI169" s="36"/>
      <c r="AJ169" s="36"/>
      <c r="BG169" s="39"/>
      <c r="BH169" s="32"/>
    </row>
    <row r="170">
      <c r="A170" s="36"/>
      <c r="B170" s="36"/>
      <c r="E170" s="36"/>
      <c r="F170" s="36"/>
      <c r="G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7"/>
      <c r="AC170" s="36"/>
      <c r="AD170" s="36"/>
      <c r="AE170" s="37"/>
      <c r="AG170" s="36"/>
      <c r="AH170" s="36"/>
      <c r="AI170" s="36"/>
      <c r="AJ170" s="36"/>
      <c r="BG170" s="39"/>
      <c r="BH170" s="32"/>
    </row>
    <row r="171">
      <c r="A171" s="36"/>
      <c r="B171" s="36"/>
      <c r="E171" s="36"/>
      <c r="F171" s="36"/>
      <c r="G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7"/>
      <c r="AC171" s="36"/>
      <c r="AD171" s="36"/>
      <c r="AE171" s="37"/>
      <c r="AG171" s="36"/>
      <c r="AH171" s="36"/>
      <c r="AI171" s="36"/>
      <c r="AJ171" s="36"/>
      <c r="BG171" s="39"/>
      <c r="BH171" s="32"/>
    </row>
    <row r="172">
      <c r="A172" s="36"/>
      <c r="B172" s="36"/>
      <c r="E172" s="36"/>
      <c r="F172" s="36"/>
      <c r="G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7"/>
      <c r="AC172" s="36"/>
      <c r="AD172" s="36"/>
      <c r="AE172" s="37"/>
      <c r="AG172" s="36"/>
      <c r="AH172" s="36"/>
      <c r="AI172" s="36"/>
      <c r="AJ172" s="36"/>
      <c r="BG172" s="39"/>
      <c r="BH172" s="32"/>
    </row>
    <row r="173">
      <c r="A173" s="36"/>
      <c r="B173" s="36"/>
      <c r="E173" s="36"/>
      <c r="F173" s="36"/>
      <c r="G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7"/>
      <c r="AC173" s="36"/>
      <c r="AD173" s="36"/>
      <c r="AE173" s="37"/>
      <c r="AG173" s="36"/>
      <c r="AH173" s="36"/>
      <c r="AI173" s="36"/>
      <c r="AJ173" s="36"/>
      <c r="BG173" s="39"/>
      <c r="BH173" s="32"/>
    </row>
    <row r="174">
      <c r="A174" s="36"/>
      <c r="B174" s="36"/>
      <c r="E174" s="36"/>
      <c r="F174" s="36"/>
      <c r="G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7"/>
      <c r="AC174" s="36"/>
      <c r="AD174" s="36"/>
      <c r="AE174" s="37"/>
      <c r="AG174" s="36"/>
      <c r="AH174" s="36"/>
      <c r="AI174" s="36"/>
      <c r="AJ174" s="36"/>
      <c r="BG174" s="39"/>
      <c r="BH174" s="32"/>
    </row>
    <row r="175">
      <c r="A175" s="36"/>
      <c r="B175" s="36"/>
      <c r="E175" s="36"/>
      <c r="F175" s="36"/>
      <c r="G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7"/>
      <c r="AC175" s="36"/>
      <c r="AD175" s="36"/>
      <c r="AE175" s="37"/>
      <c r="AG175" s="36"/>
      <c r="AH175" s="36"/>
      <c r="AI175" s="36"/>
      <c r="AJ175" s="36"/>
      <c r="BG175" s="39"/>
      <c r="BH175" s="32"/>
    </row>
    <row r="176">
      <c r="A176" s="36"/>
      <c r="B176" s="36"/>
      <c r="E176" s="36"/>
      <c r="F176" s="36"/>
      <c r="G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7"/>
      <c r="AC176" s="36"/>
      <c r="AD176" s="36"/>
      <c r="AE176" s="37"/>
      <c r="AG176" s="36"/>
      <c r="AH176" s="36"/>
      <c r="AI176" s="36"/>
      <c r="AJ176" s="36"/>
      <c r="BG176" s="39"/>
      <c r="BH176" s="32"/>
    </row>
    <row r="177">
      <c r="A177" s="36"/>
      <c r="B177" s="36"/>
      <c r="E177" s="36"/>
      <c r="F177" s="36"/>
      <c r="G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7"/>
      <c r="AC177" s="36"/>
      <c r="AD177" s="36"/>
      <c r="AE177" s="37"/>
      <c r="AG177" s="36"/>
      <c r="AH177" s="36"/>
      <c r="AI177" s="36"/>
      <c r="AJ177" s="36"/>
      <c r="BG177" s="39"/>
      <c r="BH177" s="32"/>
    </row>
    <row r="178">
      <c r="A178" s="36"/>
      <c r="B178" s="36"/>
      <c r="E178" s="36"/>
      <c r="F178" s="36"/>
      <c r="G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7"/>
      <c r="AC178" s="36"/>
      <c r="AD178" s="36"/>
      <c r="AE178" s="37"/>
      <c r="AG178" s="36"/>
      <c r="AH178" s="36"/>
      <c r="AI178" s="36"/>
      <c r="AJ178" s="36"/>
      <c r="BG178" s="39"/>
      <c r="BH178" s="32"/>
    </row>
    <row r="179">
      <c r="A179" s="36"/>
      <c r="B179" s="36"/>
      <c r="E179" s="36"/>
      <c r="F179" s="36"/>
      <c r="G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7"/>
      <c r="AC179" s="36"/>
      <c r="AD179" s="36"/>
      <c r="AE179" s="37"/>
      <c r="AG179" s="36"/>
      <c r="AH179" s="36"/>
      <c r="AI179" s="36"/>
      <c r="AJ179" s="36"/>
      <c r="BG179" s="39"/>
      <c r="BH179" s="32"/>
    </row>
    <row r="180">
      <c r="A180" s="36"/>
      <c r="B180" s="36"/>
      <c r="E180" s="36"/>
      <c r="F180" s="36"/>
      <c r="G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7"/>
      <c r="AC180" s="36"/>
      <c r="AD180" s="36"/>
      <c r="AE180" s="37"/>
      <c r="AG180" s="36"/>
      <c r="AH180" s="36"/>
      <c r="AI180" s="36"/>
      <c r="AJ180" s="36"/>
      <c r="BG180" s="39"/>
      <c r="BH180" s="32"/>
    </row>
    <row r="181">
      <c r="A181" s="36"/>
      <c r="B181" s="36"/>
      <c r="E181" s="36"/>
      <c r="F181" s="36"/>
      <c r="G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7"/>
      <c r="AC181" s="36"/>
      <c r="AD181" s="36"/>
      <c r="AE181" s="37"/>
      <c r="AG181" s="36"/>
      <c r="AH181" s="36"/>
      <c r="AI181" s="36"/>
      <c r="AJ181" s="36"/>
      <c r="BG181" s="39"/>
      <c r="BH181" s="32"/>
    </row>
    <row r="182">
      <c r="A182" s="36"/>
      <c r="B182" s="36"/>
      <c r="E182" s="36"/>
      <c r="F182" s="36"/>
      <c r="G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7"/>
      <c r="AC182" s="36"/>
      <c r="AD182" s="36"/>
      <c r="AE182" s="37"/>
      <c r="AG182" s="36"/>
      <c r="AH182" s="36"/>
      <c r="AI182" s="36"/>
      <c r="AJ182" s="36"/>
      <c r="BG182" s="39"/>
      <c r="BH182" s="32"/>
    </row>
    <row r="183">
      <c r="A183" s="36"/>
      <c r="B183" s="36"/>
      <c r="E183" s="36"/>
      <c r="F183" s="36"/>
      <c r="G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7"/>
      <c r="AC183" s="36"/>
      <c r="AD183" s="36"/>
      <c r="AE183" s="37"/>
      <c r="AG183" s="36"/>
      <c r="AH183" s="36"/>
      <c r="AI183" s="36"/>
      <c r="AJ183" s="36"/>
      <c r="BG183" s="39"/>
      <c r="BH183" s="32"/>
    </row>
    <row r="184">
      <c r="A184" s="36"/>
      <c r="B184" s="36"/>
      <c r="E184" s="36"/>
      <c r="F184" s="36"/>
      <c r="G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7"/>
      <c r="AC184" s="36"/>
      <c r="AD184" s="36"/>
      <c r="AE184" s="37"/>
      <c r="AG184" s="36"/>
      <c r="AH184" s="36"/>
      <c r="AI184" s="36"/>
      <c r="AJ184" s="36"/>
      <c r="BG184" s="39"/>
      <c r="BH184" s="32"/>
    </row>
    <row r="185">
      <c r="A185" s="36"/>
      <c r="B185" s="36"/>
      <c r="E185" s="36"/>
      <c r="F185" s="36"/>
      <c r="G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7"/>
      <c r="AC185" s="36"/>
      <c r="AD185" s="36"/>
      <c r="AE185" s="37"/>
      <c r="AG185" s="36"/>
      <c r="AH185" s="36"/>
      <c r="AI185" s="36"/>
      <c r="AJ185" s="36"/>
      <c r="BG185" s="39"/>
      <c r="BH185" s="32"/>
    </row>
    <row r="186">
      <c r="A186" s="36"/>
      <c r="B186" s="36"/>
      <c r="E186" s="36"/>
      <c r="F186" s="36"/>
      <c r="G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7"/>
      <c r="AC186" s="36"/>
      <c r="AD186" s="36"/>
      <c r="AE186" s="37"/>
      <c r="AG186" s="36"/>
      <c r="AH186" s="36"/>
      <c r="AI186" s="36"/>
      <c r="AJ186" s="36"/>
      <c r="BG186" s="39"/>
      <c r="BH186" s="32"/>
    </row>
    <row r="187">
      <c r="A187" s="36"/>
      <c r="B187" s="36"/>
      <c r="E187" s="36"/>
      <c r="F187" s="36"/>
      <c r="G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7"/>
      <c r="AC187" s="36"/>
      <c r="AD187" s="36"/>
      <c r="AE187" s="37"/>
      <c r="AG187" s="36"/>
      <c r="AH187" s="36"/>
      <c r="AI187" s="36"/>
      <c r="AJ187" s="36"/>
      <c r="BG187" s="39"/>
      <c r="BH187" s="32"/>
    </row>
    <row r="188">
      <c r="A188" s="36"/>
      <c r="B188" s="36"/>
      <c r="E188" s="36"/>
      <c r="F188" s="36"/>
      <c r="G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7"/>
      <c r="AC188" s="36"/>
      <c r="AD188" s="36"/>
      <c r="AE188" s="37"/>
      <c r="AG188" s="36"/>
      <c r="AH188" s="36"/>
      <c r="AI188" s="36"/>
      <c r="AJ188" s="36"/>
      <c r="BG188" s="39"/>
      <c r="BH188" s="32"/>
    </row>
    <row r="189">
      <c r="A189" s="36"/>
      <c r="B189" s="36"/>
      <c r="E189" s="36"/>
      <c r="F189" s="36"/>
      <c r="G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7"/>
      <c r="AC189" s="36"/>
      <c r="AD189" s="36"/>
      <c r="AE189" s="37"/>
      <c r="AG189" s="36"/>
      <c r="AH189" s="36"/>
      <c r="AI189" s="36"/>
      <c r="AJ189" s="36"/>
      <c r="BG189" s="39"/>
      <c r="BH189" s="32"/>
    </row>
    <row r="190">
      <c r="A190" s="36"/>
      <c r="B190" s="36"/>
      <c r="E190" s="36"/>
      <c r="F190" s="36"/>
      <c r="G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7"/>
      <c r="AC190" s="36"/>
      <c r="AD190" s="36"/>
      <c r="AE190" s="37"/>
      <c r="AG190" s="36"/>
      <c r="AH190" s="36"/>
      <c r="AI190" s="36"/>
      <c r="AJ190" s="36"/>
      <c r="BG190" s="39"/>
      <c r="BH190" s="32"/>
    </row>
    <row r="191">
      <c r="A191" s="36"/>
      <c r="B191" s="36"/>
      <c r="E191" s="36"/>
      <c r="F191" s="36"/>
      <c r="G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7"/>
      <c r="AC191" s="36"/>
      <c r="AD191" s="36"/>
      <c r="AE191" s="37"/>
      <c r="AG191" s="36"/>
      <c r="AH191" s="36"/>
      <c r="AI191" s="36"/>
      <c r="AJ191" s="36"/>
      <c r="BG191" s="39"/>
      <c r="BH191" s="32"/>
    </row>
    <row r="192">
      <c r="A192" s="36"/>
      <c r="B192" s="36"/>
      <c r="E192" s="36"/>
      <c r="F192" s="36"/>
      <c r="G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7"/>
      <c r="AC192" s="36"/>
      <c r="AD192" s="36"/>
      <c r="AE192" s="37"/>
      <c r="AG192" s="36"/>
      <c r="AH192" s="36"/>
      <c r="AI192" s="36"/>
      <c r="AJ192" s="36"/>
      <c r="BG192" s="39"/>
      <c r="BH192" s="32"/>
    </row>
    <row r="193">
      <c r="A193" s="36"/>
      <c r="B193" s="36"/>
      <c r="E193" s="36"/>
      <c r="F193" s="36"/>
      <c r="G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7"/>
      <c r="AC193" s="36"/>
      <c r="AD193" s="36"/>
      <c r="AE193" s="37"/>
      <c r="AG193" s="36"/>
      <c r="AH193" s="36"/>
      <c r="AI193" s="36"/>
      <c r="AJ193" s="36"/>
      <c r="BG193" s="39"/>
      <c r="BH193" s="32"/>
    </row>
    <row r="194">
      <c r="A194" s="36"/>
      <c r="B194" s="36"/>
      <c r="E194" s="36"/>
      <c r="F194" s="36"/>
      <c r="G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7"/>
      <c r="AC194" s="36"/>
      <c r="AD194" s="36"/>
      <c r="AE194" s="37"/>
      <c r="AG194" s="36"/>
      <c r="AH194" s="36"/>
      <c r="AI194" s="36"/>
      <c r="AJ194" s="36"/>
      <c r="BG194" s="39"/>
      <c r="BH194" s="32"/>
    </row>
    <row r="195">
      <c r="A195" s="36"/>
      <c r="B195" s="36"/>
      <c r="E195" s="36"/>
      <c r="F195" s="36"/>
      <c r="G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7"/>
      <c r="AC195" s="36"/>
      <c r="AD195" s="36"/>
      <c r="AE195" s="37"/>
      <c r="AG195" s="36"/>
      <c r="AH195" s="36"/>
      <c r="AI195" s="36"/>
      <c r="AJ195" s="36"/>
      <c r="BG195" s="39"/>
      <c r="BH195" s="32"/>
    </row>
    <row r="196">
      <c r="A196" s="36"/>
      <c r="B196" s="36"/>
      <c r="E196" s="36"/>
      <c r="F196" s="36"/>
      <c r="G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7"/>
      <c r="AC196" s="36"/>
      <c r="AD196" s="36"/>
      <c r="AE196" s="37"/>
      <c r="AG196" s="36"/>
      <c r="AH196" s="36"/>
      <c r="AI196" s="36"/>
      <c r="AJ196" s="36"/>
      <c r="BG196" s="39"/>
      <c r="BH196" s="32"/>
    </row>
    <row r="197">
      <c r="A197" s="36"/>
      <c r="B197" s="36"/>
      <c r="E197" s="36"/>
      <c r="F197" s="36"/>
      <c r="G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7"/>
      <c r="AC197" s="36"/>
      <c r="AD197" s="36"/>
      <c r="AE197" s="37"/>
      <c r="AG197" s="36"/>
      <c r="AH197" s="36"/>
      <c r="AI197" s="36"/>
      <c r="AJ197" s="36"/>
      <c r="BG197" s="39"/>
      <c r="BH197" s="32"/>
    </row>
    <row r="198">
      <c r="A198" s="36"/>
      <c r="B198" s="36"/>
      <c r="E198" s="36"/>
      <c r="F198" s="36"/>
      <c r="G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7"/>
      <c r="AC198" s="36"/>
      <c r="AD198" s="36"/>
      <c r="AE198" s="37"/>
      <c r="AG198" s="36"/>
      <c r="AH198" s="36"/>
      <c r="AI198" s="36"/>
      <c r="AJ198" s="36"/>
      <c r="BG198" s="39"/>
      <c r="BH198" s="32"/>
    </row>
    <row r="199">
      <c r="A199" s="36"/>
      <c r="B199" s="36"/>
      <c r="E199" s="36"/>
      <c r="F199" s="36"/>
      <c r="G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7"/>
      <c r="AC199" s="36"/>
      <c r="AD199" s="36"/>
      <c r="AE199" s="37"/>
      <c r="AG199" s="36"/>
      <c r="AH199" s="36"/>
      <c r="AI199" s="36"/>
      <c r="AJ199" s="36"/>
      <c r="BG199" s="39"/>
      <c r="BH199" s="32"/>
    </row>
    <row r="200">
      <c r="A200" s="36"/>
      <c r="B200" s="36"/>
      <c r="E200" s="36"/>
      <c r="F200" s="36"/>
      <c r="G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7"/>
      <c r="AC200" s="36"/>
      <c r="AD200" s="36"/>
      <c r="AE200" s="37"/>
      <c r="AG200" s="36"/>
      <c r="AH200" s="36"/>
      <c r="AI200" s="36"/>
      <c r="AJ200" s="36"/>
      <c r="BG200" s="39"/>
      <c r="BH200" s="32"/>
    </row>
    <row r="201">
      <c r="A201" s="36"/>
      <c r="B201" s="36"/>
      <c r="E201" s="36"/>
      <c r="F201" s="36"/>
      <c r="G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7"/>
      <c r="AC201" s="36"/>
      <c r="AD201" s="36"/>
      <c r="AE201" s="37"/>
      <c r="AG201" s="36"/>
      <c r="AH201" s="36"/>
      <c r="AI201" s="36"/>
      <c r="AJ201" s="36"/>
      <c r="BG201" s="39"/>
      <c r="BH201" s="32"/>
    </row>
    <row r="202">
      <c r="A202" s="36"/>
      <c r="B202" s="36"/>
      <c r="E202" s="36"/>
      <c r="F202" s="36"/>
      <c r="G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7"/>
      <c r="AC202" s="36"/>
      <c r="AD202" s="36"/>
      <c r="AE202" s="37"/>
      <c r="AG202" s="36"/>
      <c r="AH202" s="36"/>
      <c r="AI202" s="36"/>
      <c r="AJ202" s="36"/>
      <c r="BG202" s="39"/>
      <c r="BH202" s="32"/>
    </row>
    <row r="203">
      <c r="A203" s="36"/>
      <c r="B203" s="36"/>
      <c r="E203" s="36"/>
      <c r="F203" s="36"/>
      <c r="G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7"/>
      <c r="AC203" s="36"/>
      <c r="AD203" s="36"/>
      <c r="AE203" s="37"/>
      <c r="AG203" s="36"/>
      <c r="AH203" s="36"/>
      <c r="AI203" s="36"/>
      <c r="AJ203" s="36"/>
      <c r="BG203" s="39"/>
      <c r="BH203" s="32"/>
    </row>
    <row r="204">
      <c r="A204" s="36"/>
      <c r="B204" s="36"/>
      <c r="E204" s="36"/>
      <c r="F204" s="36"/>
      <c r="G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7"/>
      <c r="AC204" s="36"/>
      <c r="AD204" s="36"/>
      <c r="AE204" s="37"/>
      <c r="AG204" s="36"/>
      <c r="AH204" s="36"/>
      <c r="AI204" s="36"/>
      <c r="AJ204" s="36"/>
      <c r="BG204" s="39"/>
      <c r="BH204" s="32"/>
    </row>
    <row r="205">
      <c r="A205" s="36"/>
      <c r="B205" s="36"/>
      <c r="E205" s="36"/>
      <c r="F205" s="36"/>
      <c r="G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7"/>
      <c r="AC205" s="36"/>
      <c r="AD205" s="36"/>
      <c r="AE205" s="37"/>
      <c r="AG205" s="36"/>
      <c r="AH205" s="36"/>
      <c r="AI205" s="36"/>
      <c r="AJ205" s="36"/>
      <c r="BG205" s="39"/>
      <c r="BH205" s="32"/>
    </row>
    <row r="206">
      <c r="A206" s="36"/>
      <c r="B206" s="36"/>
      <c r="E206" s="36"/>
      <c r="F206" s="36"/>
      <c r="G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7"/>
      <c r="AC206" s="36"/>
      <c r="AD206" s="36"/>
      <c r="AE206" s="37"/>
      <c r="AG206" s="36"/>
      <c r="AH206" s="36"/>
      <c r="AI206" s="36"/>
      <c r="AJ206" s="36"/>
      <c r="BG206" s="39"/>
      <c r="BH206" s="32"/>
    </row>
    <row r="207">
      <c r="A207" s="36"/>
      <c r="B207" s="36"/>
      <c r="E207" s="36"/>
      <c r="F207" s="36"/>
      <c r="G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7"/>
      <c r="AC207" s="36"/>
      <c r="AD207" s="36"/>
      <c r="AE207" s="37"/>
      <c r="AG207" s="36"/>
      <c r="AH207" s="36"/>
      <c r="AI207" s="36"/>
      <c r="AJ207" s="36"/>
      <c r="BG207" s="39"/>
      <c r="BH207" s="32"/>
    </row>
    <row r="208">
      <c r="A208" s="36"/>
      <c r="B208" s="36"/>
      <c r="E208" s="36"/>
      <c r="F208" s="36"/>
      <c r="G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7"/>
      <c r="AC208" s="36"/>
      <c r="AD208" s="36"/>
      <c r="AE208" s="37"/>
      <c r="AG208" s="36"/>
      <c r="AH208" s="36"/>
      <c r="AI208" s="36"/>
      <c r="AJ208" s="36"/>
      <c r="BG208" s="39"/>
      <c r="BH208" s="32"/>
    </row>
    <row r="209">
      <c r="A209" s="36"/>
      <c r="B209" s="36"/>
      <c r="E209" s="36"/>
      <c r="F209" s="36"/>
      <c r="G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7"/>
      <c r="AC209" s="36"/>
      <c r="AD209" s="36"/>
      <c r="AE209" s="37"/>
      <c r="AG209" s="36"/>
      <c r="AH209" s="36"/>
      <c r="AI209" s="36"/>
      <c r="AJ209" s="36"/>
      <c r="BG209" s="39"/>
      <c r="BH209" s="32"/>
    </row>
    <row r="210">
      <c r="A210" s="36"/>
      <c r="B210" s="36"/>
      <c r="E210" s="36"/>
      <c r="F210" s="36"/>
      <c r="G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7"/>
      <c r="AC210" s="36"/>
      <c r="AD210" s="36"/>
      <c r="AE210" s="37"/>
      <c r="AG210" s="36"/>
      <c r="AH210" s="36"/>
      <c r="AI210" s="36"/>
      <c r="AJ210" s="36"/>
      <c r="BG210" s="39"/>
      <c r="BH210" s="32"/>
    </row>
    <row r="211">
      <c r="A211" s="36"/>
      <c r="B211" s="36"/>
      <c r="E211" s="36"/>
      <c r="F211" s="36"/>
      <c r="G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7"/>
      <c r="AC211" s="36"/>
      <c r="AD211" s="36"/>
      <c r="AE211" s="37"/>
      <c r="AG211" s="36"/>
      <c r="AH211" s="36"/>
      <c r="AI211" s="36"/>
      <c r="AJ211" s="36"/>
      <c r="BG211" s="39"/>
      <c r="BH211" s="32"/>
    </row>
    <row r="212">
      <c r="A212" s="36"/>
      <c r="B212" s="36"/>
      <c r="E212" s="36"/>
      <c r="F212" s="36"/>
      <c r="G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7"/>
      <c r="AC212" s="36"/>
      <c r="AD212" s="36"/>
      <c r="AE212" s="37"/>
      <c r="AG212" s="36"/>
      <c r="AH212" s="36"/>
      <c r="AI212" s="36"/>
      <c r="AJ212" s="36"/>
      <c r="BG212" s="39"/>
      <c r="BH212" s="32"/>
    </row>
    <row r="213">
      <c r="A213" s="36"/>
      <c r="B213" s="36"/>
      <c r="E213" s="36"/>
      <c r="F213" s="36"/>
      <c r="G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7"/>
      <c r="AC213" s="36"/>
      <c r="AD213" s="36"/>
      <c r="AE213" s="37"/>
      <c r="AG213" s="36"/>
      <c r="AH213" s="36"/>
      <c r="AI213" s="36"/>
      <c r="AJ213" s="36"/>
      <c r="BG213" s="39"/>
      <c r="BH213" s="32"/>
    </row>
    <row r="214">
      <c r="A214" s="36"/>
      <c r="B214" s="36"/>
      <c r="E214" s="36"/>
      <c r="F214" s="36"/>
      <c r="G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7"/>
      <c r="AC214" s="36"/>
      <c r="AD214" s="36"/>
      <c r="AE214" s="37"/>
      <c r="AG214" s="36"/>
      <c r="AH214" s="36"/>
      <c r="AI214" s="36"/>
      <c r="AJ214" s="36"/>
      <c r="BG214" s="39"/>
      <c r="BH214" s="32"/>
    </row>
    <row r="215">
      <c r="A215" s="36"/>
      <c r="B215" s="36"/>
      <c r="E215" s="36"/>
      <c r="F215" s="36"/>
      <c r="G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7"/>
      <c r="AC215" s="36"/>
      <c r="AD215" s="36"/>
      <c r="AE215" s="37"/>
      <c r="AG215" s="36"/>
      <c r="AH215" s="36"/>
      <c r="AI215" s="36"/>
      <c r="AJ215" s="36"/>
      <c r="BG215" s="39"/>
      <c r="BH215" s="32"/>
    </row>
    <row r="216">
      <c r="A216" s="36"/>
      <c r="B216" s="36"/>
      <c r="E216" s="36"/>
      <c r="F216" s="36"/>
      <c r="G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7"/>
      <c r="AC216" s="36"/>
      <c r="AD216" s="36"/>
      <c r="AE216" s="37"/>
      <c r="AG216" s="36"/>
      <c r="AH216" s="36"/>
      <c r="AI216" s="36"/>
      <c r="AJ216" s="36"/>
      <c r="BG216" s="39"/>
      <c r="BH216" s="32"/>
    </row>
    <row r="217">
      <c r="A217" s="36"/>
      <c r="B217" s="36"/>
      <c r="E217" s="36"/>
      <c r="F217" s="36"/>
      <c r="G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7"/>
      <c r="AC217" s="36"/>
      <c r="AD217" s="36"/>
      <c r="AE217" s="37"/>
      <c r="AG217" s="36"/>
      <c r="AH217" s="36"/>
      <c r="AI217" s="36"/>
      <c r="AJ217" s="36"/>
      <c r="BG217" s="39"/>
      <c r="BH217" s="32"/>
    </row>
    <row r="218">
      <c r="A218" s="36"/>
      <c r="B218" s="36"/>
      <c r="E218" s="36"/>
      <c r="F218" s="36"/>
      <c r="G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7"/>
      <c r="AC218" s="36"/>
      <c r="AD218" s="36"/>
      <c r="AE218" s="37"/>
      <c r="AG218" s="36"/>
      <c r="AH218" s="36"/>
      <c r="AI218" s="36"/>
      <c r="AJ218" s="36"/>
      <c r="BG218" s="39"/>
      <c r="BH218" s="32"/>
    </row>
    <row r="219">
      <c r="A219" s="36"/>
      <c r="B219" s="36"/>
      <c r="E219" s="36"/>
      <c r="F219" s="36"/>
      <c r="G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7"/>
      <c r="AC219" s="36"/>
      <c r="AD219" s="36"/>
      <c r="AE219" s="37"/>
      <c r="AG219" s="36"/>
      <c r="AH219" s="36"/>
      <c r="AI219" s="36"/>
      <c r="AJ219" s="36"/>
      <c r="BG219" s="39"/>
      <c r="BH219" s="32"/>
    </row>
    <row r="220">
      <c r="A220" s="36"/>
      <c r="B220" s="36"/>
      <c r="E220" s="36"/>
      <c r="F220" s="36"/>
      <c r="G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7"/>
      <c r="AC220" s="36"/>
      <c r="AD220" s="36"/>
      <c r="AE220" s="37"/>
      <c r="AG220" s="36"/>
      <c r="AH220" s="36"/>
      <c r="AI220" s="36"/>
      <c r="AJ220" s="36"/>
      <c r="BG220" s="39"/>
      <c r="BH220" s="32"/>
    </row>
    <row r="221">
      <c r="A221" s="36"/>
      <c r="B221" s="36"/>
      <c r="E221" s="36"/>
      <c r="F221" s="36"/>
      <c r="G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7"/>
      <c r="AC221" s="36"/>
      <c r="AD221" s="36"/>
      <c r="AE221" s="37"/>
      <c r="AG221" s="36"/>
      <c r="AH221" s="36"/>
      <c r="AI221" s="36"/>
      <c r="AJ221" s="36"/>
      <c r="BG221" s="39"/>
      <c r="BH221" s="32"/>
    </row>
    <row r="222">
      <c r="A222" s="36"/>
      <c r="B222" s="36"/>
      <c r="E222" s="36"/>
      <c r="F222" s="36"/>
      <c r="G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7"/>
      <c r="AC222" s="36"/>
      <c r="AD222" s="36"/>
      <c r="AE222" s="37"/>
      <c r="AG222" s="36"/>
      <c r="AH222" s="36"/>
      <c r="AI222" s="36"/>
      <c r="AJ222" s="36"/>
      <c r="BG222" s="39"/>
      <c r="BH222" s="32"/>
    </row>
    <row r="223">
      <c r="A223" s="36"/>
      <c r="B223" s="36"/>
      <c r="E223" s="36"/>
      <c r="F223" s="36"/>
      <c r="G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7"/>
      <c r="AC223" s="36"/>
      <c r="AD223" s="36"/>
      <c r="AE223" s="37"/>
      <c r="AG223" s="36"/>
      <c r="AH223" s="36"/>
      <c r="AI223" s="36"/>
      <c r="AJ223" s="36"/>
      <c r="BG223" s="39"/>
      <c r="BH223" s="32"/>
    </row>
    <row r="224">
      <c r="A224" s="36"/>
      <c r="B224" s="36"/>
      <c r="E224" s="36"/>
      <c r="F224" s="36"/>
      <c r="G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7"/>
      <c r="AC224" s="36"/>
      <c r="AD224" s="36"/>
      <c r="AE224" s="37"/>
      <c r="AG224" s="36"/>
      <c r="AH224" s="36"/>
      <c r="AI224" s="36"/>
      <c r="AJ224" s="36"/>
      <c r="BG224" s="39"/>
      <c r="BH224" s="32"/>
    </row>
    <row r="225">
      <c r="A225" s="36"/>
      <c r="B225" s="36"/>
      <c r="E225" s="36"/>
      <c r="F225" s="36"/>
      <c r="G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7"/>
      <c r="AC225" s="36"/>
      <c r="AD225" s="36"/>
      <c r="AE225" s="37"/>
      <c r="AG225" s="36"/>
      <c r="AH225" s="36"/>
      <c r="AI225" s="36"/>
      <c r="AJ225" s="36"/>
      <c r="BG225" s="39"/>
      <c r="BH225" s="32"/>
    </row>
    <row r="226">
      <c r="A226" s="36"/>
      <c r="B226" s="36"/>
      <c r="E226" s="36"/>
      <c r="F226" s="36"/>
      <c r="G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7"/>
      <c r="AC226" s="36"/>
      <c r="AD226" s="36"/>
      <c r="AE226" s="37"/>
      <c r="AG226" s="36"/>
      <c r="AH226" s="36"/>
      <c r="AI226" s="36"/>
      <c r="AJ226" s="36"/>
      <c r="BG226" s="39"/>
      <c r="BH226" s="32"/>
    </row>
    <row r="227">
      <c r="A227" s="36"/>
      <c r="B227" s="36"/>
      <c r="E227" s="36"/>
      <c r="F227" s="36"/>
      <c r="G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7"/>
      <c r="AC227" s="36"/>
      <c r="AD227" s="36"/>
      <c r="AE227" s="37"/>
      <c r="AG227" s="36"/>
      <c r="AH227" s="36"/>
      <c r="AI227" s="36"/>
      <c r="AJ227" s="36"/>
      <c r="BG227" s="39"/>
      <c r="BH227" s="32"/>
    </row>
    <row r="228">
      <c r="A228" s="36"/>
      <c r="B228" s="36"/>
      <c r="E228" s="36"/>
      <c r="F228" s="36"/>
      <c r="G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7"/>
      <c r="AC228" s="36"/>
      <c r="AD228" s="36"/>
      <c r="AE228" s="37"/>
      <c r="AG228" s="36"/>
      <c r="AH228" s="36"/>
      <c r="AI228" s="36"/>
      <c r="AJ228" s="36"/>
      <c r="BG228" s="39"/>
      <c r="BH228" s="32"/>
    </row>
    <row r="229">
      <c r="A229" s="36"/>
      <c r="B229" s="36"/>
      <c r="E229" s="36"/>
      <c r="F229" s="36"/>
      <c r="G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7"/>
      <c r="AC229" s="36"/>
      <c r="AD229" s="36"/>
      <c r="AE229" s="37"/>
      <c r="AG229" s="36"/>
      <c r="AH229" s="36"/>
      <c r="AI229" s="36"/>
      <c r="AJ229" s="36"/>
      <c r="BG229" s="39"/>
      <c r="BH229" s="32"/>
    </row>
    <row r="230">
      <c r="A230" s="36"/>
      <c r="B230" s="36"/>
      <c r="E230" s="36"/>
      <c r="F230" s="36"/>
      <c r="G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7"/>
      <c r="AC230" s="36"/>
      <c r="AD230" s="36"/>
      <c r="AE230" s="37"/>
      <c r="AG230" s="36"/>
      <c r="AH230" s="36"/>
      <c r="AI230" s="36"/>
      <c r="AJ230" s="36"/>
      <c r="BG230" s="39"/>
      <c r="BH230" s="32"/>
    </row>
    <row r="231">
      <c r="A231" s="36"/>
      <c r="B231" s="36"/>
      <c r="E231" s="36"/>
      <c r="F231" s="36"/>
      <c r="G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7"/>
      <c r="AC231" s="36"/>
      <c r="AD231" s="36"/>
      <c r="AE231" s="37"/>
      <c r="AG231" s="36"/>
      <c r="AH231" s="36"/>
      <c r="AI231" s="36"/>
      <c r="AJ231" s="36"/>
      <c r="BG231" s="39"/>
      <c r="BH231" s="32"/>
    </row>
    <row r="232">
      <c r="A232" s="36"/>
      <c r="B232" s="36"/>
      <c r="E232" s="36"/>
      <c r="F232" s="36"/>
      <c r="G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7"/>
      <c r="AC232" s="36"/>
      <c r="AD232" s="36"/>
      <c r="AE232" s="37"/>
      <c r="AG232" s="36"/>
      <c r="AH232" s="36"/>
      <c r="AI232" s="36"/>
      <c r="AJ232" s="36"/>
      <c r="BG232" s="39"/>
      <c r="BH232" s="32"/>
    </row>
    <row r="233">
      <c r="A233" s="36"/>
      <c r="B233" s="36"/>
      <c r="E233" s="36"/>
      <c r="F233" s="36"/>
      <c r="G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7"/>
      <c r="AC233" s="36"/>
      <c r="AD233" s="36"/>
      <c r="AE233" s="37"/>
      <c r="AG233" s="36"/>
      <c r="AH233" s="36"/>
      <c r="AI233" s="36"/>
      <c r="AJ233" s="36"/>
      <c r="BG233" s="39"/>
      <c r="BH233" s="32"/>
    </row>
    <row r="234">
      <c r="A234" s="36"/>
      <c r="B234" s="36"/>
      <c r="E234" s="36"/>
      <c r="F234" s="36"/>
      <c r="G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7"/>
      <c r="AC234" s="36"/>
      <c r="AD234" s="36"/>
      <c r="AE234" s="37"/>
      <c r="AG234" s="36"/>
      <c r="AH234" s="36"/>
      <c r="AI234" s="36"/>
      <c r="AJ234" s="36"/>
      <c r="BG234" s="39"/>
      <c r="BH234" s="32"/>
    </row>
    <row r="235">
      <c r="A235" s="36"/>
      <c r="B235" s="36"/>
      <c r="E235" s="36"/>
      <c r="F235" s="36"/>
      <c r="G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7"/>
      <c r="AC235" s="36"/>
      <c r="AD235" s="36"/>
      <c r="AE235" s="37"/>
      <c r="AG235" s="36"/>
      <c r="AH235" s="36"/>
      <c r="AI235" s="36"/>
      <c r="AJ235" s="36"/>
      <c r="BG235" s="39"/>
      <c r="BH235" s="32"/>
    </row>
    <row r="236">
      <c r="A236" s="36"/>
      <c r="B236" s="36"/>
      <c r="E236" s="36"/>
      <c r="F236" s="36"/>
      <c r="G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7"/>
      <c r="AC236" s="36"/>
      <c r="AD236" s="36"/>
      <c r="AE236" s="37"/>
      <c r="AG236" s="36"/>
      <c r="AH236" s="36"/>
      <c r="AI236" s="36"/>
      <c r="AJ236" s="36"/>
      <c r="BG236" s="39"/>
      <c r="BH236" s="32"/>
    </row>
    <row r="237">
      <c r="A237" s="36"/>
      <c r="B237" s="36"/>
      <c r="E237" s="36"/>
      <c r="F237" s="36"/>
      <c r="G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7"/>
      <c r="AC237" s="36"/>
      <c r="AD237" s="36"/>
      <c r="AE237" s="37"/>
      <c r="AG237" s="36"/>
      <c r="AH237" s="36"/>
      <c r="AI237" s="36"/>
      <c r="AJ237" s="36"/>
      <c r="BG237" s="39"/>
      <c r="BH237" s="32"/>
    </row>
    <row r="238">
      <c r="A238" s="36"/>
      <c r="B238" s="36"/>
      <c r="E238" s="36"/>
      <c r="F238" s="36"/>
      <c r="G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7"/>
      <c r="AC238" s="36"/>
      <c r="AD238" s="36"/>
      <c r="AE238" s="37"/>
      <c r="AG238" s="36"/>
      <c r="AH238" s="36"/>
      <c r="AI238" s="36"/>
      <c r="AJ238" s="36"/>
      <c r="BG238" s="39"/>
      <c r="BH238" s="32"/>
    </row>
    <row r="239">
      <c r="A239" s="36"/>
      <c r="B239" s="36"/>
      <c r="E239" s="36"/>
      <c r="F239" s="36"/>
      <c r="G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7"/>
      <c r="AC239" s="36"/>
      <c r="AD239" s="36"/>
      <c r="AE239" s="37"/>
      <c r="AG239" s="36"/>
      <c r="AH239" s="36"/>
      <c r="AI239" s="36"/>
      <c r="AJ239" s="36"/>
      <c r="BG239" s="39"/>
      <c r="BH239" s="32"/>
    </row>
    <row r="240">
      <c r="A240" s="36"/>
      <c r="B240" s="36"/>
      <c r="E240" s="36"/>
      <c r="F240" s="36"/>
      <c r="G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7"/>
      <c r="AC240" s="36"/>
      <c r="AD240" s="36"/>
      <c r="AE240" s="37"/>
      <c r="AG240" s="36"/>
      <c r="AH240" s="36"/>
      <c r="AI240" s="36"/>
      <c r="AJ240" s="36"/>
      <c r="BG240" s="39"/>
      <c r="BH240" s="32"/>
    </row>
    <row r="241">
      <c r="A241" s="36"/>
      <c r="B241" s="36"/>
      <c r="E241" s="36"/>
      <c r="F241" s="36"/>
      <c r="G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7"/>
      <c r="AC241" s="36"/>
      <c r="AD241" s="36"/>
      <c r="AE241" s="37"/>
      <c r="AG241" s="36"/>
      <c r="AH241" s="36"/>
      <c r="AI241" s="36"/>
      <c r="AJ241" s="36"/>
      <c r="BG241" s="39"/>
      <c r="BH241" s="32"/>
    </row>
    <row r="242">
      <c r="A242" s="36"/>
      <c r="B242" s="36"/>
      <c r="E242" s="36"/>
      <c r="F242" s="36"/>
      <c r="G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7"/>
      <c r="AC242" s="36"/>
      <c r="AD242" s="36"/>
      <c r="AE242" s="37"/>
      <c r="AG242" s="36"/>
      <c r="AH242" s="36"/>
      <c r="AI242" s="36"/>
      <c r="AJ242" s="36"/>
      <c r="BG242" s="39"/>
      <c r="BH242" s="32"/>
    </row>
    <row r="243">
      <c r="A243" s="36"/>
      <c r="B243" s="36"/>
      <c r="E243" s="36"/>
      <c r="F243" s="36"/>
      <c r="G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7"/>
      <c r="AC243" s="36"/>
      <c r="AD243" s="36"/>
      <c r="AE243" s="37"/>
      <c r="AG243" s="36"/>
      <c r="AH243" s="36"/>
      <c r="AI243" s="36"/>
      <c r="AJ243" s="36"/>
      <c r="BG243" s="39"/>
      <c r="BH243" s="32"/>
    </row>
    <row r="244">
      <c r="A244" s="36"/>
      <c r="B244" s="36"/>
      <c r="E244" s="36"/>
      <c r="F244" s="36"/>
      <c r="G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7"/>
      <c r="AC244" s="36"/>
      <c r="AD244" s="36"/>
      <c r="AE244" s="37"/>
      <c r="AG244" s="36"/>
      <c r="AH244" s="36"/>
      <c r="AI244" s="36"/>
      <c r="AJ244" s="36"/>
      <c r="BG244" s="39"/>
      <c r="BH244" s="32"/>
    </row>
    <row r="245">
      <c r="A245" s="36"/>
      <c r="B245" s="36"/>
      <c r="E245" s="36"/>
      <c r="F245" s="36"/>
      <c r="G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7"/>
      <c r="AC245" s="36"/>
      <c r="AD245" s="36"/>
      <c r="AE245" s="37"/>
      <c r="AG245" s="36"/>
      <c r="AH245" s="36"/>
      <c r="AI245" s="36"/>
      <c r="AJ245" s="36"/>
      <c r="BG245" s="39"/>
      <c r="BH245" s="32"/>
    </row>
    <row r="246">
      <c r="A246" s="36"/>
      <c r="B246" s="36"/>
      <c r="E246" s="36"/>
      <c r="F246" s="36"/>
      <c r="G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7"/>
      <c r="AC246" s="36"/>
      <c r="AD246" s="36"/>
      <c r="AE246" s="37"/>
      <c r="AG246" s="36"/>
      <c r="AH246" s="36"/>
      <c r="AI246" s="36"/>
      <c r="AJ246" s="36"/>
      <c r="BG246" s="39"/>
      <c r="BH246" s="32"/>
    </row>
    <row r="247">
      <c r="A247" s="36"/>
      <c r="B247" s="36"/>
      <c r="E247" s="36"/>
      <c r="F247" s="36"/>
      <c r="G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7"/>
      <c r="AC247" s="36"/>
      <c r="AD247" s="36"/>
      <c r="AE247" s="37"/>
      <c r="AG247" s="36"/>
      <c r="AH247" s="36"/>
      <c r="AI247" s="36"/>
      <c r="AJ247" s="36"/>
      <c r="BG247" s="39"/>
      <c r="BH247" s="32"/>
    </row>
    <row r="248">
      <c r="A248" s="36"/>
      <c r="B248" s="36"/>
      <c r="E248" s="36"/>
      <c r="F248" s="36"/>
      <c r="G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7"/>
      <c r="AC248" s="36"/>
      <c r="AD248" s="36"/>
      <c r="AE248" s="37"/>
      <c r="AG248" s="36"/>
      <c r="AH248" s="36"/>
      <c r="AI248" s="36"/>
      <c r="AJ248" s="36"/>
      <c r="BG248" s="39"/>
      <c r="BH248" s="32"/>
    </row>
    <row r="249">
      <c r="A249" s="36"/>
      <c r="B249" s="36"/>
      <c r="E249" s="36"/>
      <c r="F249" s="36"/>
      <c r="G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7"/>
      <c r="AC249" s="36"/>
      <c r="AD249" s="36"/>
      <c r="AE249" s="37"/>
      <c r="AG249" s="36"/>
      <c r="AH249" s="36"/>
      <c r="AI249" s="36"/>
      <c r="AJ249" s="36"/>
      <c r="BG249" s="39"/>
      <c r="BH249" s="32"/>
    </row>
    <row r="250">
      <c r="A250" s="36"/>
      <c r="B250" s="36"/>
      <c r="E250" s="36"/>
      <c r="F250" s="36"/>
      <c r="G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7"/>
      <c r="AC250" s="36"/>
      <c r="AD250" s="36"/>
      <c r="AE250" s="37"/>
      <c r="AG250" s="36"/>
      <c r="AH250" s="36"/>
      <c r="AI250" s="36"/>
      <c r="AJ250" s="36"/>
      <c r="BG250" s="39"/>
      <c r="BH250" s="32"/>
    </row>
    <row r="251">
      <c r="A251" s="36"/>
      <c r="B251" s="36"/>
      <c r="E251" s="36"/>
      <c r="F251" s="36"/>
      <c r="G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7"/>
      <c r="AC251" s="36"/>
      <c r="AD251" s="36"/>
      <c r="AE251" s="37"/>
      <c r="AG251" s="36"/>
      <c r="AH251" s="36"/>
      <c r="AI251" s="36"/>
      <c r="AJ251" s="36"/>
      <c r="BG251" s="39"/>
      <c r="BH251" s="32"/>
    </row>
    <row r="252">
      <c r="A252" s="36"/>
      <c r="B252" s="36"/>
      <c r="E252" s="36"/>
      <c r="F252" s="36"/>
      <c r="G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7"/>
      <c r="AC252" s="36"/>
      <c r="AD252" s="36"/>
      <c r="AE252" s="37"/>
      <c r="AG252" s="36"/>
      <c r="AH252" s="36"/>
      <c r="AI252" s="36"/>
      <c r="AJ252" s="36"/>
      <c r="BG252" s="39"/>
      <c r="BH252" s="32"/>
    </row>
    <row r="253">
      <c r="A253" s="36"/>
      <c r="B253" s="36"/>
      <c r="E253" s="36"/>
      <c r="F253" s="36"/>
      <c r="G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7"/>
      <c r="AC253" s="36"/>
      <c r="AD253" s="36"/>
      <c r="AE253" s="37"/>
      <c r="AG253" s="36"/>
      <c r="AH253" s="36"/>
      <c r="AI253" s="36"/>
      <c r="AJ253" s="36"/>
      <c r="BG253" s="39"/>
      <c r="BH253" s="32"/>
    </row>
    <row r="254">
      <c r="A254" s="36"/>
      <c r="B254" s="36"/>
      <c r="E254" s="36"/>
      <c r="F254" s="36"/>
      <c r="G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7"/>
      <c r="AC254" s="36"/>
      <c r="AD254" s="36"/>
      <c r="AE254" s="37"/>
      <c r="AG254" s="36"/>
      <c r="AH254" s="36"/>
      <c r="AI254" s="36"/>
      <c r="AJ254" s="36"/>
      <c r="BG254" s="39"/>
      <c r="BH254" s="32"/>
    </row>
    <row r="255">
      <c r="A255" s="36"/>
      <c r="B255" s="36"/>
      <c r="E255" s="36"/>
      <c r="F255" s="36"/>
      <c r="G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7"/>
      <c r="AC255" s="36"/>
      <c r="AD255" s="36"/>
      <c r="AE255" s="37"/>
      <c r="AG255" s="36"/>
      <c r="AH255" s="36"/>
      <c r="AI255" s="36"/>
      <c r="AJ255" s="36"/>
      <c r="BG255" s="39"/>
      <c r="BH255" s="32"/>
    </row>
    <row r="256">
      <c r="A256" s="36"/>
      <c r="B256" s="36"/>
      <c r="E256" s="36"/>
      <c r="F256" s="36"/>
      <c r="G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7"/>
      <c r="AC256" s="36"/>
      <c r="AD256" s="36"/>
      <c r="AE256" s="37"/>
      <c r="AG256" s="36"/>
      <c r="AH256" s="36"/>
      <c r="AI256" s="36"/>
      <c r="AJ256" s="36"/>
      <c r="BG256" s="39"/>
      <c r="BH256" s="32"/>
    </row>
    <row r="257">
      <c r="A257" s="36"/>
      <c r="B257" s="36"/>
      <c r="E257" s="36"/>
      <c r="F257" s="36"/>
      <c r="G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7"/>
      <c r="AC257" s="36"/>
      <c r="AD257" s="36"/>
      <c r="AE257" s="37"/>
      <c r="AG257" s="36"/>
      <c r="AH257" s="36"/>
      <c r="AI257" s="36"/>
      <c r="AJ257" s="36"/>
      <c r="BG257" s="39"/>
      <c r="BH257" s="32"/>
    </row>
    <row r="258">
      <c r="A258" s="36"/>
      <c r="B258" s="36"/>
      <c r="E258" s="36"/>
      <c r="F258" s="36"/>
      <c r="G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7"/>
      <c r="AC258" s="36"/>
      <c r="AD258" s="36"/>
      <c r="AE258" s="37"/>
      <c r="AG258" s="36"/>
      <c r="AH258" s="36"/>
      <c r="AI258" s="36"/>
      <c r="AJ258" s="36"/>
      <c r="BG258" s="39"/>
      <c r="BH258" s="32"/>
    </row>
    <row r="259">
      <c r="A259" s="36"/>
      <c r="B259" s="36"/>
      <c r="E259" s="36"/>
      <c r="F259" s="36"/>
      <c r="G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7"/>
      <c r="AC259" s="36"/>
      <c r="AD259" s="36"/>
      <c r="AE259" s="37"/>
      <c r="AG259" s="36"/>
      <c r="AH259" s="36"/>
      <c r="AI259" s="36"/>
      <c r="AJ259" s="36"/>
      <c r="BG259" s="39"/>
      <c r="BH259" s="32"/>
    </row>
    <row r="260">
      <c r="A260" s="36"/>
      <c r="B260" s="36"/>
      <c r="E260" s="36"/>
      <c r="F260" s="36"/>
      <c r="G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7"/>
      <c r="AC260" s="36"/>
      <c r="AD260" s="36"/>
      <c r="AE260" s="37"/>
      <c r="AG260" s="36"/>
      <c r="AH260" s="36"/>
      <c r="AI260" s="36"/>
      <c r="AJ260" s="36"/>
      <c r="BG260" s="39"/>
      <c r="BH260" s="32"/>
    </row>
    <row r="261">
      <c r="A261" s="36"/>
      <c r="B261" s="36"/>
      <c r="E261" s="36"/>
      <c r="F261" s="36"/>
      <c r="G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7"/>
      <c r="AC261" s="36"/>
      <c r="AD261" s="36"/>
      <c r="AE261" s="37"/>
      <c r="AG261" s="36"/>
      <c r="AH261" s="36"/>
      <c r="AI261" s="36"/>
      <c r="AJ261" s="36"/>
      <c r="BG261" s="39"/>
      <c r="BH261" s="32"/>
    </row>
    <row r="262">
      <c r="A262" s="36"/>
      <c r="B262" s="36"/>
      <c r="E262" s="36"/>
      <c r="F262" s="36"/>
      <c r="G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7"/>
      <c r="AC262" s="36"/>
      <c r="AD262" s="36"/>
      <c r="AE262" s="37"/>
      <c r="AG262" s="36"/>
      <c r="AH262" s="36"/>
      <c r="AI262" s="36"/>
      <c r="AJ262" s="36"/>
      <c r="BG262" s="39"/>
      <c r="BH262" s="32"/>
    </row>
    <row r="263">
      <c r="A263" s="36"/>
      <c r="B263" s="36"/>
      <c r="E263" s="36"/>
      <c r="F263" s="36"/>
      <c r="G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7"/>
      <c r="AC263" s="36"/>
      <c r="AD263" s="36"/>
      <c r="AE263" s="37"/>
      <c r="AG263" s="36"/>
      <c r="AH263" s="36"/>
      <c r="AI263" s="36"/>
      <c r="AJ263" s="36"/>
      <c r="BG263" s="39"/>
      <c r="BH263" s="32"/>
    </row>
    <row r="264">
      <c r="A264" s="36"/>
      <c r="B264" s="36"/>
      <c r="E264" s="36"/>
      <c r="F264" s="36"/>
      <c r="G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7"/>
      <c r="AC264" s="36"/>
      <c r="AD264" s="36"/>
      <c r="AE264" s="37"/>
      <c r="AG264" s="36"/>
      <c r="AH264" s="36"/>
      <c r="AI264" s="36"/>
      <c r="AJ264" s="36"/>
      <c r="BG264" s="39"/>
      <c r="BH264" s="32"/>
    </row>
    <row r="265">
      <c r="A265" s="36"/>
      <c r="B265" s="36"/>
      <c r="E265" s="36"/>
      <c r="F265" s="36"/>
      <c r="G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7"/>
      <c r="AC265" s="36"/>
      <c r="AD265" s="36"/>
      <c r="AE265" s="37"/>
      <c r="AG265" s="36"/>
      <c r="AH265" s="36"/>
      <c r="AI265" s="36"/>
      <c r="AJ265" s="36"/>
      <c r="BG265" s="39"/>
      <c r="BH265" s="32"/>
    </row>
    <row r="266">
      <c r="A266" s="36"/>
      <c r="B266" s="36"/>
      <c r="E266" s="36"/>
      <c r="F266" s="36"/>
      <c r="G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7"/>
      <c r="AC266" s="36"/>
      <c r="AD266" s="36"/>
      <c r="AE266" s="37"/>
      <c r="AG266" s="36"/>
      <c r="AH266" s="36"/>
      <c r="AI266" s="36"/>
      <c r="AJ266" s="36"/>
      <c r="BG266" s="39"/>
      <c r="BH266" s="32"/>
    </row>
    <row r="267">
      <c r="A267" s="36"/>
      <c r="B267" s="36"/>
      <c r="E267" s="36"/>
      <c r="F267" s="36"/>
      <c r="G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7"/>
      <c r="AC267" s="36"/>
      <c r="AD267" s="36"/>
      <c r="AE267" s="37"/>
      <c r="AG267" s="36"/>
      <c r="AH267" s="36"/>
      <c r="AI267" s="36"/>
      <c r="AJ267" s="36"/>
      <c r="BG267" s="39"/>
      <c r="BH267" s="32"/>
    </row>
    <row r="268">
      <c r="A268" s="36"/>
      <c r="B268" s="36"/>
      <c r="E268" s="36"/>
      <c r="F268" s="36"/>
      <c r="G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7"/>
      <c r="AC268" s="36"/>
      <c r="AD268" s="36"/>
      <c r="AE268" s="37"/>
      <c r="AG268" s="36"/>
      <c r="AH268" s="36"/>
      <c r="AI268" s="36"/>
      <c r="AJ268" s="36"/>
      <c r="BG268" s="39"/>
      <c r="BH268" s="32"/>
    </row>
    <row r="269">
      <c r="A269" s="36"/>
      <c r="B269" s="36"/>
      <c r="E269" s="36"/>
      <c r="F269" s="36"/>
      <c r="G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7"/>
      <c r="AC269" s="36"/>
      <c r="AD269" s="36"/>
      <c r="AE269" s="37"/>
      <c r="AG269" s="36"/>
      <c r="AH269" s="36"/>
      <c r="AI269" s="36"/>
      <c r="AJ269" s="36"/>
      <c r="BG269" s="39"/>
      <c r="BH269" s="32"/>
    </row>
    <row r="270">
      <c r="A270" s="36"/>
      <c r="B270" s="36"/>
      <c r="E270" s="36"/>
      <c r="F270" s="36"/>
      <c r="G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7"/>
      <c r="AC270" s="36"/>
      <c r="AD270" s="36"/>
      <c r="AE270" s="37"/>
      <c r="AG270" s="36"/>
      <c r="AH270" s="36"/>
      <c r="AI270" s="36"/>
      <c r="AJ270" s="36"/>
      <c r="BG270" s="39"/>
      <c r="BH270" s="32"/>
    </row>
    <row r="271">
      <c r="A271" s="36"/>
      <c r="B271" s="36"/>
      <c r="E271" s="36"/>
      <c r="F271" s="36"/>
      <c r="G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7"/>
      <c r="AC271" s="36"/>
      <c r="AD271" s="36"/>
      <c r="AE271" s="37"/>
      <c r="AG271" s="36"/>
      <c r="AH271" s="36"/>
      <c r="AI271" s="36"/>
      <c r="AJ271" s="36"/>
      <c r="BG271" s="39"/>
      <c r="BH271" s="32"/>
    </row>
    <row r="272">
      <c r="A272" s="36"/>
      <c r="B272" s="36"/>
      <c r="E272" s="36"/>
      <c r="F272" s="36"/>
      <c r="G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7"/>
      <c r="AC272" s="36"/>
      <c r="AD272" s="36"/>
      <c r="AE272" s="37"/>
      <c r="AG272" s="36"/>
      <c r="AH272" s="36"/>
      <c r="AI272" s="36"/>
      <c r="AJ272" s="36"/>
      <c r="BG272" s="39"/>
      <c r="BH272" s="32"/>
    </row>
    <row r="273">
      <c r="A273" s="36"/>
      <c r="B273" s="36"/>
      <c r="E273" s="36"/>
      <c r="F273" s="36"/>
      <c r="G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7"/>
      <c r="AC273" s="36"/>
      <c r="AD273" s="36"/>
      <c r="AE273" s="37"/>
      <c r="AG273" s="36"/>
      <c r="AH273" s="36"/>
      <c r="AI273" s="36"/>
      <c r="AJ273" s="36"/>
      <c r="BG273" s="39"/>
      <c r="BH273" s="32"/>
    </row>
    <row r="274">
      <c r="A274" s="36"/>
      <c r="B274" s="36"/>
      <c r="E274" s="36"/>
      <c r="F274" s="36"/>
      <c r="G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7"/>
      <c r="AC274" s="36"/>
      <c r="AD274" s="36"/>
      <c r="AE274" s="37"/>
      <c r="AG274" s="36"/>
      <c r="AH274" s="36"/>
      <c r="AI274" s="36"/>
      <c r="AJ274" s="36"/>
      <c r="BG274" s="39"/>
      <c r="BH274" s="32"/>
    </row>
    <row r="275">
      <c r="A275" s="36"/>
      <c r="B275" s="36"/>
      <c r="E275" s="36"/>
      <c r="F275" s="36"/>
      <c r="G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7"/>
      <c r="AC275" s="36"/>
      <c r="AD275" s="36"/>
      <c r="AE275" s="37"/>
      <c r="AG275" s="36"/>
      <c r="AH275" s="36"/>
      <c r="AI275" s="36"/>
      <c r="AJ275" s="36"/>
      <c r="BG275" s="39"/>
      <c r="BH275" s="32"/>
    </row>
    <row r="276">
      <c r="A276" s="36"/>
      <c r="B276" s="36"/>
      <c r="E276" s="36"/>
      <c r="F276" s="36"/>
      <c r="G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7"/>
      <c r="AC276" s="36"/>
      <c r="AD276" s="36"/>
      <c r="AE276" s="37"/>
      <c r="AG276" s="36"/>
      <c r="AH276" s="36"/>
      <c r="AI276" s="36"/>
      <c r="AJ276" s="36"/>
      <c r="BG276" s="39"/>
      <c r="BH276" s="32"/>
    </row>
    <row r="277">
      <c r="A277" s="36"/>
      <c r="B277" s="36"/>
      <c r="E277" s="36"/>
      <c r="F277" s="36"/>
      <c r="G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7"/>
      <c r="AC277" s="36"/>
      <c r="AD277" s="36"/>
      <c r="AE277" s="37"/>
      <c r="AG277" s="36"/>
      <c r="AH277" s="36"/>
      <c r="AI277" s="36"/>
      <c r="AJ277" s="36"/>
      <c r="BG277" s="39"/>
      <c r="BH277" s="32"/>
    </row>
    <row r="278">
      <c r="A278" s="36"/>
      <c r="B278" s="36"/>
      <c r="E278" s="36"/>
      <c r="F278" s="36"/>
      <c r="G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7"/>
      <c r="AC278" s="36"/>
      <c r="AD278" s="36"/>
      <c r="AE278" s="37"/>
      <c r="AG278" s="36"/>
      <c r="AH278" s="36"/>
      <c r="AI278" s="36"/>
      <c r="AJ278" s="36"/>
      <c r="BG278" s="39"/>
      <c r="BH278" s="32"/>
    </row>
    <row r="279">
      <c r="A279" s="36"/>
      <c r="B279" s="36"/>
      <c r="E279" s="36"/>
      <c r="F279" s="36"/>
      <c r="G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7"/>
      <c r="AC279" s="36"/>
      <c r="AD279" s="36"/>
      <c r="AE279" s="37"/>
      <c r="AG279" s="36"/>
      <c r="AH279" s="36"/>
      <c r="AI279" s="36"/>
      <c r="AJ279" s="36"/>
      <c r="BG279" s="39"/>
      <c r="BH279" s="32"/>
    </row>
    <row r="280">
      <c r="A280" s="36"/>
      <c r="B280" s="36"/>
      <c r="E280" s="36"/>
      <c r="F280" s="36"/>
      <c r="G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7"/>
      <c r="AC280" s="36"/>
      <c r="AD280" s="36"/>
      <c r="AE280" s="37"/>
      <c r="AG280" s="36"/>
      <c r="AH280" s="36"/>
      <c r="AI280" s="36"/>
      <c r="AJ280" s="36"/>
      <c r="BG280" s="39"/>
      <c r="BH280" s="32"/>
    </row>
    <row r="281">
      <c r="A281" s="36"/>
      <c r="B281" s="36"/>
      <c r="E281" s="36"/>
      <c r="F281" s="36"/>
      <c r="G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7"/>
      <c r="AC281" s="36"/>
      <c r="AD281" s="36"/>
      <c r="AE281" s="37"/>
      <c r="AG281" s="36"/>
      <c r="AH281" s="36"/>
      <c r="AI281" s="36"/>
      <c r="AJ281" s="36"/>
      <c r="BG281" s="39"/>
      <c r="BH281" s="32"/>
    </row>
    <row r="282">
      <c r="A282" s="36"/>
      <c r="B282" s="36"/>
      <c r="E282" s="36"/>
      <c r="F282" s="36"/>
      <c r="G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7"/>
      <c r="AC282" s="36"/>
      <c r="AD282" s="36"/>
      <c r="AE282" s="37"/>
      <c r="AG282" s="36"/>
      <c r="AH282" s="36"/>
      <c r="AI282" s="36"/>
      <c r="AJ282" s="36"/>
      <c r="BG282" s="39"/>
      <c r="BH282" s="32"/>
    </row>
    <row r="283">
      <c r="A283" s="36"/>
      <c r="B283" s="36"/>
      <c r="E283" s="36"/>
      <c r="F283" s="36"/>
      <c r="G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7"/>
      <c r="AC283" s="36"/>
      <c r="AD283" s="36"/>
      <c r="AE283" s="37"/>
      <c r="AG283" s="36"/>
      <c r="AH283" s="36"/>
      <c r="AI283" s="36"/>
      <c r="AJ283" s="36"/>
      <c r="BG283" s="39"/>
      <c r="BH283" s="32"/>
    </row>
    <row r="284">
      <c r="A284" s="36"/>
      <c r="B284" s="36"/>
      <c r="E284" s="36"/>
      <c r="F284" s="36"/>
      <c r="G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7"/>
      <c r="AC284" s="36"/>
      <c r="AD284" s="36"/>
      <c r="AE284" s="37"/>
      <c r="AG284" s="36"/>
      <c r="AH284" s="36"/>
      <c r="AI284" s="36"/>
      <c r="AJ284" s="36"/>
      <c r="BG284" s="39"/>
      <c r="BH284" s="32"/>
    </row>
    <row r="285">
      <c r="A285" s="36"/>
      <c r="B285" s="36"/>
      <c r="E285" s="36"/>
      <c r="F285" s="36"/>
      <c r="G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7"/>
      <c r="AC285" s="36"/>
      <c r="AD285" s="36"/>
      <c r="AE285" s="37"/>
      <c r="AG285" s="36"/>
      <c r="AH285" s="36"/>
      <c r="AI285" s="36"/>
      <c r="AJ285" s="36"/>
      <c r="BG285" s="39"/>
      <c r="BH285" s="32"/>
    </row>
    <row r="286">
      <c r="A286" s="36"/>
      <c r="B286" s="36"/>
      <c r="E286" s="36"/>
      <c r="F286" s="36"/>
      <c r="G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7"/>
      <c r="AC286" s="36"/>
      <c r="AD286" s="36"/>
      <c r="AE286" s="37"/>
      <c r="AG286" s="36"/>
      <c r="AH286" s="36"/>
      <c r="AI286" s="36"/>
      <c r="AJ286" s="36"/>
      <c r="BG286" s="39"/>
      <c r="BH286" s="32"/>
    </row>
    <row r="287">
      <c r="A287" s="36"/>
      <c r="B287" s="36"/>
      <c r="E287" s="36"/>
      <c r="F287" s="36"/>
      <c r="G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7"/>
      <c r="AC287" s="36"/>
      <c r="AD287" s="36"/>
      <c r="AE287" s="37"/>
      <c r="AG287" s="36"/>
      <c r="AH287" s="36"/>
      <c r="AI287" s="36"/>
      <c r="AJ287" s="36"/>
      <c r="BG287" s="39"/>
      <c r="BH287" s="32"/>
    </row>
    <row r="288">
      <c r="A288" s="36"/>
      <c r="B288" s="36"/>
      <c r="E288" s="36"/>
      <c r="F288" s="36"/>
      <c r="G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7"/>
      <c r="AC288" s="36"/>
      <c r="AD288" s="36"/>
      <c r="AE288" s="37"/>
      <c r="AG288" s="36"/>
      <c r="AH288" s="36"/>
      <c r="AI288" s="36"/>
      <c r="AJ288" s="36"/>
      <c r="BG288" s="39"/>
      <c r="BH288" s="32"/>
    </row>
    <row r="289">
      <c r="A289" s="36"/>
      <c r="B289" s="36"/>
      <c r="E289" s="36"/>
      <c r="F289" s="36"/>
      <c r="G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7"/>
      <c r="AC289" s="36"/>
      <c r="AD289" s="36"/>
      <c r="AE289" s="37"/>
      <c r="AG289" s="36"/>
      <c r="AH289" s="36"/>
      <c r="AI289" s="36"/>
      <c r="AJ289" s="36"/>
      <c r="BG289" s="39"/>
      <c r="BH289" s="32"/>
    </row>
    <row r="290">
      <c r="A290" s="36"/>
      <c r="B290" s="36"/>
      <c r="E290" s="36"/>
      <c r="F290" s="36"/>
      <c r="G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7"/>
      <c r="AC290" s="36"/>
      <c r="AD290" s="36"/>
      <c r="AE290" s="37"/>
      <c r="AG290" s="36"/>
      <c r="AH290" s="36"/>
      <c r="AI290" s="36"/>
      <c r="AJ290" s="36"/>
      <c r="BG290" s="39"/>
      <c r="BH290" s="32"/>
    </row>
    <row r="291">
      <c r="A291" s="36"/>
      <c r="B291" s="36"/>
      <c r="E291" s="36"/>
      <c r="F291" s="36"/>
      <c r="G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7"/>
      <c r="AC291" s="36"/>
      <c r="AD291" s="36"/>
      <c r="AE291" s="37"/>
      <c r="AG291" s="36"/>
      <c r="AH291" s="36"/>
      <c r="AI291" s="36"/>
      <c r="AJ291" s="36"/>
      <c r="BG291" s="39"/>
      <c r="BH291" s="32"/>
    </row>
    <row r="292">
      <c r="A292" s="36"/>
      <c r="B292" s="36"/>
      <c r="E292" s="36"/>
      <c r="F292" s="36"/>
      <c r="G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7"/>
      <c r="AC292" s="36"/>
      <c r="AD292" s="36"/>
      <c r="AE292" s="37"/>
      <c r="AG292" s="36"/>
      <c r="AH292" s="36"/>
      <c r="AI292" s="36"/>
      <c r="AJ292" s="36"/>
      <c r="BG292" s="39"/>
      <c r="BH292" s="32"/>
    </row>
    <row r="293">
      <c r="A293" s="36"/>
      <c r="B293" s="36"/>
      <c r="E293" s="36"/>
      <c r="F293" s="36"/>
      <c r="G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7"/>
      <c r="AC293" s="36"/>
      <c r="AD293" s="36"/>
      <c r="AE293" s="37"/>
      <c r="AG293" s="36"/>
      <c r="AH293" s="36"/>
      <c r="AI293" s="36"/>
      <c r="AJ293" s="36"/>
      <c r="BG293" s="39"/>
      <c r="BH293" s="32"/>
    </row>
    <row r="294">
      <c r="A294" s="36"/>
      <c r="B294" s="36"/>
      <c r="E294" s="36"/>
      <c r="F294" s="36"/>
      <c r="G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7"/>
      <c r="AC294" s="36"/>
      <c r="AD294" s="36"/>
      <c r="AE294" s="37"/>
      <c r="AG294" s="36"/>
      <c r="AH294" s="36"/>
      <c r="AI294" s="36"/>
      <c r="AJ294" s="36"/>
      <c r="BG294" s="39"/>
      <c r="BH294" s="32"/>
    </row>
    <row r="295">
      <c r="A295" s="36"/>
      <c r="B295" s="36"/>
      <c r="E295" s="36"/>
      <c r="F295" s="36"/>
      <c r="G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7"/>
      <c r="AC295" s="36"/>
      <c r="AD295" s="36"/>
      <c r="AE295" s="37"/>
      <c r="AG295" s="36"/>
      <c r="AH295" s="36"/>
      <c r="AI295" s="36"/>
      <c r="AJ295" s="36"/>
      <c r="BG295" s="39"/>
      <c r="BH295" s="32"/>
    </row>
    <row r="296">
      <c r="A296" s="36"/>
      <c r="B296" s="36"/>
      <c r="E296" s="36"/>
      <c r="F296" s="36"/>
      <c r="G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7"/>
      <c r="AC296" s="36"/>
      <c r="AD296" s="36"/>
      <c r="AE296" s="37"/>
      <c r="AG296" s="36"/>
      <c r="AH296" s="36"/>
      <c r="AI296" s="36"/>
      <c r="AJ296" s="36"/>
      <c r="BG296" s="39"/>
      <c r="BH296" s="32"/>
    </row>
    <row r="297">
      <c r="A297" s="36"/>
      <c r="B297" s="36"/>
      <c r="E297" s="36"/>
      <c r="F297" s="36"/>
      <c r="G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7"/>
      <c r="AC297" s="36"/>
      <c r="AD297" s="36"/>
      <c r="AE297" s="37"/>
      <c r="AG297" s="36"/>
      <c r="AH297" s="36"/>
      <c r="AI297" s="36"/>
      <c r="AJ297" s="36"/>
      <c r="BG297" s="39"/>
      <c r="BH297" s="32"/>
    </row>
    <row r="298">
      <c r="A298" s="36"/>
      <c r="B298" s="36"/>
      <c r="E298" s="36"/>
      <c r="F298" s="36"/>
      <c r="G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7"/>
      <c r="AC298" s="36"/>
      <c r="AD298" s="36"/>
      <c r="AE298" s="37"/>
      <c r="AG298" s="36"/>
      <c r="AH298" s="36"/>
      <c r="AI298" s="36"/>
      <c r="AJ298" s="36"/>
      <c r="BG298" s="39"/>
      <c r="BH298" s="32"/>
    </row>
    <row r="299">
      <c r="A299" s="36"/>
      <c r="B299" s="36"/>
      <c r="E299" s="36"/>
      <c r="F299" s="36"/>
      <c r="G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7"/>
      <c r="AC299" s="36"/>
      <c r="AD299" s="36"/>
      <c r="AE299" s="37"/>
      <c r="AG299" s="36"/>
      <c r="AH299" s="36"/>
      <c r="AI299" s="36"/>
      <c r="AJ299" s="36"/>
      <c r="BG299" s="39"/>
      <c r="BH299" s="32"/>
    </row>
    <row r="300">
      <c r="A300" s="36"/>
      <c r="B300" s="36"/>
      <c r="E300" s="36"/>
      <c r="F300" s="36"/>
      <c r="G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7"/>
      <c r="AC300" s="36"/>
      <c r="AD300" s="36"/>
      <c r="AE300" s="37"/>
      <c r="AG300" s="36"/>
      <c r="AH300" s="36"/>
      <c r="AI300" s="36"/>
      <c r="AJ300" s="36"/>
      <c r="BG300" s="39"/>
      <c r="BH300" s="32"/>
    </row>
    <row r="301">
      <c r="A301" s="36"/>
      <c r="B301" s="36"/>
      <c r="E301" s="36"/>
      <c r="F301" s="36"/>
      <c r="G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7"/>
      <c r="AC301" s="36"/>
      <c r="AD301" s="36"/>
      <c r="AE301" s="37"/>
      <c r="AG301" s="36"/>
      <c r="AH301" s="36"/>
      <c r="AI301" s="36"/>
      <c r="AJ301" s="36"/>
      <c r="BG301" s="39"/>
      <c r="BH301" s="32"/>
    </row>
    <row r="302">
      <c r="A302" s="36"/>
      <c r="B302" s="36"/>
      <c r="E302" s="36"/>
      <c r="F302" s="36"/>
      <c r="G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7"/>
      <c r="AC302" s="36"/>
      <c r="AD302" s="36"/>
      <c r="AE302" s="37"/>
      <c r="AG302" s="36"/>
      <c r="AH302" s="36"/>
      <c r="AI302" s="36"/>
      <c r="AJ302" s="36"/>
      <c r="BG302" s="39"/>
      <c r="BH302" s="32"/>
    </row>
    <row r="303">
      <c r="A303" s="36"/>
      <c r="B303" s="36"/>
      <c r="E303" s="36"/>
      <c r="F303" s="36"/>
      <c r="G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7"/>
      <c r="AC303" s="36"/>
      <c r="AD303" s="36"/>
      <c r="AE303" s="37"/>
      <c r="AG303" s="36"/>
      <c r="AH303" s="36"/>
      <c r="AI303" s="36"/>
      <c r="AJ303" s="36"/>
      <c r="BG303" s="39"/>
      <c r="BH303" s="32"/>
    </row>
    <row r="304">
      <c r="A304" s="36"/>
      <c r="B304" s="36"/>
      <c r="E304" s="36"/>
      <c r="F304" s="36"/>
      <c r="G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7"/>
      <c r="AC304" s="36"/>
      <c r="AD304" s="36"/>
      <c r="AE304" s="37"/>
      <c r="AG304" s="36"/>
      <c r="AH304" s="36"/>
      <c r="AI304" s="36"/>
      <c r="AJ304" s="36"/>
      <c r="BG304" s="39"/>
      <c r="BH304" s="32"/>
    </row>
    <row r="305">
      <c r="A305" s="36"/>
      <c r="B305" s="36"/>
      <c r="E305" s="36"/>
      <c r="F305" s="36"/>
      <c r="G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7"/>
      <c r="AC305" s="36"/>
      <c r="AD305" s="36"/>
      <c r="AE305" s="37"/>
      <c r="AG305" s="36"/>
      <c r="AH305" s="36"/>
      <c r="AI305" s="36"/>
      <c r="AJ305" s="36"/>
      <c r="BG305" s="39"/>
      <c r="BH305" s="32"/>
    </row>
    <row r="306">
      <c r="A306" s="36"/>
      <c r="B306" s="36"/>
      <c r="E306" s="36"/>
      <c r="F306" s="36"/>
      <c r="G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7"/>
      <c r="AC306" s="36"/>
      <c r="AD306" s="36"/>
      <c r="AE306" s="37"/>
      <c r="AG306" s="36"/>
      <c r="AH306" s="36"/>
      <c r="AI306" s="36"/>
      <c r="AJ306" s="36"/>
      <c r="BG306" s="39"/>
      <c r="BH306" s="32"/>
    </row>
    <row r="307">
      <c r="A307" s="36"/>
      <c r="B307" s="36"/>
      <c r="E307" s="36"/>
      <c r="F307" s="36"/>
      <c r="G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7"/>
      <c r="AC307" s="36"/>
      <c r="AD307" s="36"/>
      <c r="AE307" s="37"/>
      <c r="AG307" s="36"/>
      <c r="AH307" s="36"/>
      <c r="AI307" s="36"/>
      <c r="AJ307" s="36"/>
      <c r="BG307" s="39"/>
      <c r="BH307" s="32"/>
    </row>
    <row r="308">
      <c r="A308" s="36"/>
      <c r="B308" s="36"/>
      <c r="E308" s="36"/>
      <c r="F308" s="36"/>
      <c r="G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7"/>
      <c r="AC308" s="36"/>
      <c r="AD308" s="36"/>
      <c r="AE308" s="37"/>
      <c r="AG308" s="36"/>
      <c r="AH308" s="36"/>
      <c r="AI308" s="36"/>
      <c r="AJ308" s="36"/>
      <c r="BG308" s="39"/>
      <c r="BH308" s="32"/>
    </row>
    <row r="309">
      <c r="A309" s="36"/>
      <c r="B309" s="36"/>
      <c r="E309" s="36"/>
      <c r="F309" s="36"/>
      <c r="G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7"/>
      <c r="AC309" s="36"/>
      <c r="AD309" s="36"/>
      <c r="AE309" s="37"/>
      <c r="AG309" s="36"/>
      <c r="AH309" s="36"/>
      <c r="AI309" s="36"/>
      <c r="AJ309" s="36"/>
      <c r="BG309" s="39"/>
      <c r="BH309" s="32"/>
    </row>
    <row r="310">
      <c r="A310" s="36"/>
      <c r="B310" s="36"/>
      <c r="E310" s="36"/>
      <c r="F310" s="36"/>
      <c r="G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7"/>
      <c r="AC310" s="36"/>
      <c r="AD310" s="36"/>
      <c r="AE310" s="37"/>
      <c r="AG310" s="36"/>
      <c r="AH310" s="36"/>
      <c r="AI310" s="36"/>
      <c r="AJ310" s="36"/>
      <c r="BG310" s="39"/>
      <c r="BH310" s="32"/>
    </row>
    <row r="311">
      <c r="A311" s="36"/>
      <c r="B311" s="36"/>
      <c r="E311" s="36"/>
      <c r="F311" s="36"/>
      <c r="G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7"/>
      <c r="AC311" s="36"/>
      <c r="AD311" s="36"/>
      <c r="AE311" s="37"/>
      <c r="AG311" s="36"/>
      <c r="AH311" s="36"/>
      <c r="AI311" s="36"/>
      <c r="AJ311" s="36"/>
      <c r="BG311" s="39"/>
      <c r="BH311" s="32"/>
    </row>
    <row r="312">
      <c r="A312" s="36"/>
      <c r="B312" s="36"/>
      <c r="E312" s="36"/>
      <c r="F312" s="36"/>
      <c r="G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7"/>
      <c r="AC312" s="36"/>
      <c r="AD312" s="36"/>
      <c r="AE312" s="37"/>
      <c r="AG312" s="36"/>
      <c r="AH312" s="36"/>
      <c r="AI312" s="36"/>
      <c r="AJ312" s="36"/>
      <c r="BG312" s="39"/>
      <c r="BH312" s="32"/>
    </row>
    <row r="313">
      <c r="A313" s="36"/>
      <c r="B313" s="36"/>
      <c r="E313" s="36"/>
      <c r="F313" s="36"/>
      <c r="G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7"/>
      <c r="AC313" s="36"/>
      <c r="AD313" s="36"/>
      <c r="AE313" s="37"/>
      <c r="AG313" s="36"/>
      <c r="AH313" s="36"/>
      <c r="AI313" s="36"/>
      <c r="AJ313" s="36"/>
      <c r="BG313" s="39"/>
      <c r="BH313" s="32"/>
    </row>
    <row r="314">
      <c r="A314" s="36"/>
      <c r="B314" s="36"/>
      <c r="E314" s="36"/>
      <c r="F314" s="36"/>
      <c r="G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7"/>
      <c r="AC314" s="36"/>
      <c r="AD314" s="36"/>
      <c r="AE314" s="37"/>
      <c r="AG314" s="36"/>
      <c r="AH314" s="36"/>
      <c r="AI314" s="36"/>
      <c r="AJ314" s="36"/>
      <c r="BG314" s="39"/>
      <c r="BH314" s="32"/>
    </row>
    <row r="315">
      <c r="A315" s="36"/>
      <c r="B315" s="36"/>
      <c r="E315" s="36"/>
      <c r="F315" s="36"/>
      <c r="G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7"/>
      <c r="AC315" s="36"/>
      <c r="AD315" s="36"/>
      <c r="AE315" s="37"/>
      <c r="AG315" s="36"/>
      <c r="AH315" s="36"/>
      <c r="AI315" s="36"/>
      <c r="AJ315" s="36"/>
      <c r="BG315" s="39"/>
      <c r="BH315" s="32"/>
    </row>
    <row r="316">
      <c r="A316" s="36"/>
      <c r="B316" s="36"/>
      <c r="E316" s="36"/>
      <c r="F316" s="36"/>
      <c r="G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7"/>
      <c r="AC316" s="36"/>
      <c r="AD316" s="36"/>
      <c r="AE316" s="37"/>
      <c r="AG316" s="36"/>
      <c r="AH316" s="36"/>
      <c r="AI316" s="36"/>
      <c r="AJ316" s="36"/>
      <c r="BG316" s="39"/>
      <c r="BH316" s="32"/>
    </row>
    <row r="317">
      <c r="A317" s="36"/>
      <c r="B317" s="36"/>
      <c r="E317" s="36"/>
      <c r="F317" s="36"/>
      <c r="G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7"/>
      <c r="AC317" s="36"/>
      <c r="AD317" s="36"/>
      <c r="AE317" s="37"/>
      <c r="AG317" s="36"/>
      <c r="AH317" s="36"/>
      <c r="AI317" s="36"/>
      <c r="AJ317" s="36"/>
      <c r="BG317" s="39"/>
      <c r="BH317" s="32"/>
    </row>
    <row r="318">
      <c r="A318" s="36"/>
      <c r="B318" s="36"/>
      <c r="E318" s="36"/>
      <c r="F318" s="36"/>
      <c r="G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7"/>
      <c r="AC318" s="36"/>
      <c r="AD318" s="36"/>
      <c r="AE318" s="37"/>
      <c r="AG318" s="36"/>
      <c r="AH318" s="36"/>
      <c r="AI318" s="36"/>
      <c r="AJ318" s="36"/>
      <c r="BG318" s="39"/>
      <c r="BH318" s="32"/>
    </row>
    <row r="319">
      <c r="A319" s="36"/>
      <c r="B319" s="36"/>
      <c r="E319" s="36"/>
      <c r="F319" s="36"/>
      <c r="G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7"/>
      <c r="AC319" s="36"/>
      <c r="AD319" s="36"/>
      <c r="AE319" s="37"/>
      <c r="AG319" s="36"/>
      <c r="AH319" s="36"/>
      <c r="AI319" s="36"/>
      <c r="AJ319" s="36"/>
      <c r="BG319" s="39"/>
      <c r="BH319" s="32"/>
    </row>
    <row r="320">
      <c r="A320" s="36"/>
      <c r="B320" s="36"/>
      <c r="E320" s="36"/>
      <c r="F320" s="36"/>
      <c r="G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7"/>
      <c r="AC320" s="36"/>
      <c r="AD320" s="36"/>
      <c r="AE320" s="37"/>
      <c r="AG320" s="36"/>
      <c r="AH320" s="36"/>
      <c r="AI320" s="36"/>
      <c r="AJ320" s="36"/>
      <c r="BG320" s="39"/>
      <c r="BH320" s="32"/>
    </row>
    <row r="321">
      <c r="A321" s="36"/>
      <c r="B321" s="36"/>
      <c r="E321" s="36"/>
      <c r="F321" s="36"/>
      <c r="G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7"/>
      <c r="AC321" s="36"/>
      <c r="AD321" s="36"/>
      <c r="AE321" s="37"/>
      <c r="AG321" s="36"/>
      <c r="AH321" s="36"/>
      <c r="AI321" s="36"/>
      <c r="AJ321" s="36"/>
      <c r="BG321" s="39"/>
      <c r="BH321" s="32"/>
    </row>
    <row r="322">
      <c r="A322" s="36"/>
      <c r="B322" s="36"/>
      <c r="E322" s="36"/>
      <c r="F322" s="36"/>
      <c r="G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7"/>
      <c r="AC322" s="36"/>
      <c r="AD322" s="36"/>
      <c r="AE322" s="37"/>
      <c r="AG322" s="36"/>
      <c r="AH322" s="36"/>
      <c r="AI322" s="36"/>
      <c r="AJ322" s="36"/>
      <c r="BG322" s="39"/>
      <c r="BH322" s="32"/>
    </row>
    <row r="323">
      <c r="A323" s="36"/>
      <c r="B323" s="36"/>
      <c r="E323" s="36"/>
      <c r="F323" s="36"/>
      <c r="G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7"/>
      <c r="AC323" s="36"/>
      <c r="AD323" s="36"/>
      <c r="AE323" s="37"/>
      <c r="AG323" s="36"/>
      <c r="AH323" s="36"/>
      <c r="AI323" s="36"/>
      <c r="AJ323" s="36"/>
      <c r="BG323" s="39"/>
      <c r="BH323" s="32"/>
    </row>
    <row r="324">
      <c r="A324" s="36"/>
      <c r="B324" s="36"/>
      <c r="E324" s="36"/>
      <c r="F324" s="36"/>
      <c r="G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7"/>
      <c r="AC324" s="36"/>
      <c r="AD324" s="36"/>
      <c r="AE324" s="37"/>
      <c r="AG324" s="36"/>
      <c r="AH324" s="36"/>
      <c r="AI324" s="36"/>
      <c r="AJ324" s="36"/>
      <c r="BG324" s="39"/>
      <c r="BH324" s="32"/>
    </row>
    <row r="325">
      <c r="A325" s="36"/>
      <c r="B325" s="36"/>
      <c r="E325" s="36"/>
      <c r="F325" s="36"/>
      <c r="G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7"/>
      <c r="AC325" s="36"/>
      <c r="AD325" s="36"/>
      <c r="AE325" s="37"/>
      <c r="AG325" s="36"/>
      <c r="AH325" s="36"/>
      <c r="AI325" s="36"/>
      <c r="AJ325" s="36"/>
      <c r="BG325" s="39"/>
      <c r="BH325" s="32"/>
    </row>
    <row r="326">
      <c r="A326" s="36"/>
      <c r="B326" s="36"/>
      <c r="E326" s="36"/>
      <c r="F326" s="36"/>
      <c r="G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7"/>
      <c r="AC326" s="36"/>
      <c r="AD326" s="36"/>
      <c r="AE326" s="37"/>
      <c r="AG326" s="36"/>
      <c r="AH326" s="36"/>
      <c r="AI326" s="36"/>
      <c r="AJ326" s="36"/>
      <c r="BG326" s="39"/>
      <c r="BH326" s="32"/>
    </row>
    <row r="327">
      <c r="A327" s="36"/>
      <c r="B327" s="36"/>
      <c r="E327" s="36"/>
      <c r="F327" s="36"/>
      <c r="G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7"/>
      <c r="AC327" s="36"/>
      <c r="AD327" s="36"/>
      <c r="AE327" s="37"/>
      <c r="AG327" s="36"/>
      <c r="AH327" s="36"/>
      <c r="AI327" s="36"/>
      <c r="AJ327" s="36"/>
      <c r="BG327" s="39"/>
      <c r="BH327" s="32"/>
    </row>
    <row r="328">
      <c r="A328" s="36"/>
      <c r="B328" s="36"/>
      <c r="E328" s="36"/>
      <c r="F328" s="36"/>
      <c r="G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7"/>
      <c r="AC328" s="36"/>
      <c r="AD328" s="36"/>
      <c r="AE328" s="37"/>
      <c r="AG328" s="36"/>
      <c r="AH328" s="36"/>
      <c r="AI328" s="36"/>
      <c r="AJ328" s="36"/>
      <c r="BG328" s="39"/>
      <c r="BH328" s="32"/>
    </row>
    <row r="329">
      <c r="A329" s="36"/>
      <c r="B329" s="36"/>
      <c r="E329" s="36"/>
      <c r="F329" s="36"/>
      <c r="G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7"/>
      <c r="AC329" s="36"/>
      <c r="AD329" s="36"/>
      <c r="AE329" s="37"/>
      <c r="AG329" s="36"/>
      <c r="AH329" s="36"/>
      <c r="AI329" s="36"/>
      <c r="AJ329" s="36"/>
      <c r="BG329" s="39"/>
      <c r="BH329" s="32"/>
    </row>
    <row r="330">
      <c r="A330" s="36"/>
      <c r="B330" s="36"/>
      <c r="E330" s="36"/>
      <c r="F330" s="36"/>
      <c r="G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7"/>
      <c r="AC330" s="36"/>
      <c r="AD330" s="36"/>
      <c r="AE330" s="37"/>
      <c r="AG330" s="36"/>
      <c r="AH330" s="36"/>
      <c r="AI330" s="36"/>
      <c r="AJ330" s="36"/>
      <c r="BG330" s="39"/>
      <c r="BH330" s="32"/>
    </row>
    <row r="331">
      <c r="A331" s="36"/>
      <c r="B331" s="36"/>
      <c r="E331" s="36"/>
      <c r="F331" s="36"/>
      <c r="G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7"/>
      <c r="AC331" s="36"/>
      <c r="AD331" s="36"/>
      <c r="AE331" s="37"/>
      <c r="AG331" s="36"/>
      <c r="AH331" s="36"/>
      <c r="AI331" s="36"/>
      <c r="AJ331" s="36"/>
      <c r="BG331" s="39"/>
      <c r="BH331" s="32"/>
    </row>
    <row r="332">
      <c r="A332" s="36"/>
      <c r="B332" s="36"/>
      <c r="E332" s="36"/>
      <c r="F332" s="36"/>
      <c r="G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7"/>
      <c r="AC332" s="36"/>
      <c r="AD332" s="36"/>
      <c r="AE332" s="37"/>
      <c r="AG332" s="36"/>
      <c r="AH332" s="36"/>
      <c r="AI332" s="36"/>
      <c r="AJ332" s="36"/>
      <c r="BG332" s="39"/>
      <c r="BH332" s="32"/>
    </row>
    <row r="333">
      <c r="A333" s="36"/>
      <c r="B333" s="36"/>
      <c r="E333" s="36"/>
      <c r="F333" s="36"/>
      <c r="G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7"/>
      <c r="AC333" s="36"/>
      <c r="AD333" s="36"/>
      <c r="AE333" s="37"/>
      <c r="AG333" s="36"/>
      <c r="AH333" s="36"/>
      <c r="AI333" s="36"/>
      <c r="AJ333" s="36"/>
      <c r="BG333" s="39"/>
      <c r="BH333" s="32"/>
    </row>
    <row r="334">
      <c r="A334" s="36"/>
      <c r="B334" s="36"/>
      <c r="E334" s="36"/>
      <c r="F334" s="36"/>
      <c r="G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7"/>
      <c r="AC334" s="36"/>
      <c r="AD334" s="36"/>
      <c r="AE334" s="37"/>
      <c r="AG334" s="36"/>
      <c r="AH334" s="36"/>
      <c r="AI334" s="36"/>
      <c r="AJ334" s="36"/>
      <c r="BG334" s="39"/>
      <c r="BH334" s="32"/>
    </row>
    <row r="335">
      <c r="A335" s="36"/>
      <c r="B335" s="36"/>
      <c r="E335" s="36"/>
      <c r="F335" s="36"/>
      <c r="G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7"/>
      <c r="AC335" s="36"/>
      <c r="AD335" s="36"/>
      <c r="AE335" s="37"/>
      <c r="AG335" s="36"/>
      <c r="AH335" s="36"/>
      <c r="AI335" s="36"/>
      <c r="AJ335" s="36"/>
      <c r="BG335" s="39"/>
      <c r="BH335" s="32"/>
    </row>
    <row r="336">
      <c r="A336" s="36"/>
      <c r="B336" s="36"/>
      <c r="E336" s="36"/>
      <c r="F336" s="36"/>
      <c r="G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7"/>
      <c r="AC336" s="36"/>
      <c r="AD336" s="36"/>
      <c r="AE336" s="37"/>
      <c r="AG336" s="36"/>
      <c r="AH336" s="36"/>
      <c r="AI336" s="36"/>
      <c r="AJ336" s="36"/>
      <c r="BG336" s="39"/>
      <c r="BH336" s="32"/>
    </row>
    <row r="337">
      <c r="A337" s="36"/>
      <c r="B337" s="36"/>
      <c r="E337" s="36"/>
      <c r="F337" s="36"/>
      <c r="G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7"/>
      <c r="AC337" s="36"/>
      <c r="AD337" s="36"/>
      <c r="AE337" s="37"/>
      <c r="AG337" s="36"/>
      <c r="AH337" s="36"/>
      <c r="AI337" s="36"/>
      <c r="AJ337" s="36"/>
      <c r="BG337" s="39"/>
      <c r="BH337" s="32"/>
    </row>
    <row r="338">
      <c r="A338" s="36"/>
      <c r="B338" s="36"/>
      <c r="E338" s="36"/>
      <c r="F338" s="36"/>
      <c r="G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7"/>
      <c r="AC338" s="36"/>
      <c r="AD338" s="36"/>
      <c r="AE338" s="37"/>
      <c r="AG338" s="36"/>
      <c r="AH338" s="36"/>
      <c r="AI338" s="36"/>
      <c r="AJ338" s="36"/>
      <c r="BG338" s="39"/>
      <c r="BH338" s="32"/>
    </row>
    <row r="339">
      <c r="A339" s="36"/>
      <c r="B339" s="36"/>
      <c r="E339" s="36"/>
      <c r="F339" s="36"/>
      <c r="G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7"/>
      <c r="AC339" s="36"/>
      <c r="AD339" s="36"/>
      <c r="AE339" s="37"/>
      <c r="AG339" s="36"/>
      <c r="AH339" s="36"/>
      <c r="AI339" s="36"/>
      <c r="AJ339" s="36"/>
      <c r="BG339" s="39"/>
      <c r="BH339" s="32"/>
    </row>
    <row r="340">
      <c r="A340" s="36"/>
      <c r="B340" s="36"/>
      <c r="E340" s="36"/>
      <c r="F340" s="36"/>
      <c r="G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7"/>
      <c r="AC340" s="36"/>
      <c r="AD340" s="36"/>
      <c r="AE340" s="37"/>
      <c r="AG340" s="36"/>
      <c r="AH340" s="36"/>
      <c r="AI340" s="36"/>
      <c r="AJ340" s="36"/>
      <c r="BG340" s="39"/>
      <c r="BH340" s="32"/>
    </row>
    <row r="341">
      <c r="A341" s="36"/>
      <c r="B341" s="36"/>
      <c r="E341" s="36"/>
      <c r="F341" s="36"/>
      <c r="G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7"/>
      <c r="AC341" s="36"/>
      <c r="AD341" s="36"/>
      <c r="AE341" s="37"/>
      <c r="AG341" s="36"/>
      <c r="AH341" s="36"/>
      <c r="AI341" s="36"/>
      <c r="AJ341" s="36"/>
      <c r="BG341" s="39"/>
      <c r="BH341" s="32"/>
    </row>
    <row r="342">
      <c r="A342" s="36"/>
      <c r="B342" s="36"/>
      <c r="E342" s="36"/>
      <c r="F342" s="36"/>
      <c r="G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7"/>
      <c r="AC342" s="36"/>
      <c r="AD342" s="36"/>
      <c r="AE342" s="37"/>
      <c r="AG342" s="36"/>
      <c r="AH342" s="36"/>
      <c r="AI342" s="36"/>
      <c r="AJ342" s="36"/>
      <c r="BG342" s="39"/>
      <c r="BH342" s="32"/>
    </row>
    <row r="343">
      <c r="A343" s="36"/>
      <c r="B343" s="36"/>
      <c r="E343" s="36"/>
      <c r="F343" s="36"/>
      <c r="G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7"/>
      <c r="AC343" s="36"/>
      <c r="AD343" s="36"/>
      <c r="AE343" s="37"/>
      <c r="AG343" s="36"/>
      <c r="AH343" s="36"/>
      <c r="AI343" s="36"/>
      <c r="AJ343" s="36"/>
      <c r="BG343" s="39"/>
      <c r="BH343" s="32"/>
    </row>
    <row r="344">
      <c r="A344" s="36"/>
      <c r="B344" s="36"/>
      <c r="E344" s="36"/>
      <c r="F344" s="36"/>
      <c r="G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7"/>
      <c r="AC344" s="36"/>
      <c r="AD344" s="36"/>
      <c r="AE344" s="37"/>
      <c r="AG344" s="36"/>
      <c r="AH344" s="36"/>
      <c r="AI344" s="36"/>
      <c r="AJ344" s="36"/>
      <c r="BG344" s="39"/>
      <c r="BH344" s="32"/>
    </row>
    <row r="345">
      <c r="A345" s="36"/>
      <c r="B345" s="36"/>
      <c r="E345" s="36"/>
      <c r="F345" s="36"/>
      <c r="G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7"/>
      <c r="AC345" s="36"/>
      <c r="AD345" s="36"/>
      <c r="AE345" s="37"/>
      <c r="AG345" s="36"/>
      <c r="AH345" s="36"/>
      <c r="AI345" s="36"/>
      <c r="AJ345" s="36"/>
      <c r="BG345" s="39"/>
      <c r="BH345" s="32"/>
    </row>
    <row r="346">
      <c r="A346" s="36"/>
      <c r="B346" s="36"/>
      <c r="E346" s="36"/>
      <c r="F346" s="36"/>
      <c r="G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7"/>
      <c r="AC346" s="36"/>
      <c r="AD346" s="36"/>
      <c r="AE346" s="37"/>
      <c r="AG346" s="36"/>
      <c r="AH346" s="36"/>
      <c r="AI346" s="36"/>
      <c r="AJ346" s="36"/>
      <c r="BG346" s="39"/>
      <c r="BH346" s="32"/>
    </row>
    <row r="347">
      <c r="A347" s="36"/>
      <c r="B347" s="36"/>
      <c r="E347" s="36"/>
      <c r="F347" s="36"/>
      <c r="G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7"/>
      <c r="AC347" s="36"/>
      <c r="AD347" s="36"/>
      <c r="AE347" s="37"/>
      <c r="AG347" s="36"/>
      <c r="AH347" s="36"/>
      <c r="AI347" s="36"/>
      <c r="AJ347" s="36"/>
      <c r="BG347" s="39"/>
      <c r="BH347" s="32"/>
    </row>
    <row r="348">
      <c r="A348" s="36"/>
      <c r="B348" s="36"/>
      <c r="E348" s="36"/>
      <c r="F348" s="36"/>
      <c r="G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7"/>
      <c r="AC348" s="36"/>
      <c r="AD348" s="36"/>
      <c r="AE348" s="37"/>
      <c r="AG348" s="36"/>
      <c r="AH348" s="36"/>
      <c r="AI348" s="36"/>
      <c r="AJ348" s="36"/>
      <c r="BG348" s="39"/>
      <c r="BH348" s="32"/>
    </row>
    <row r="349">
      <c r="A349" s="36"/>
      <c r="B349" s="36"/>
      <c r="E349" s="36"/>
      <c r="F349" s="36"/>
      <c r="G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7"/>
      <c r="AC349" s="36"/>
      <c r="AD349" s="36"/>
      <c r="AE349" s="37"/>
      <c r="AG349" s="36"/>
      <c r="AH349" s="36"/>
      <c r="AI349" s="36"/>
      <c r="AJ349" s="36"/>
      <c r="BG349" s="39"/>
      <c r="BH349" s="32"/>
    </row>
    <row r="350">
      <c r="A350" s="36"/>
      <c r="B350" s="36"/>
      <c r="E350" s="36"/>
      <c r="F350" s="36"/>
      <c r="G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7"/>
      <c r="AC350" s="36"/>
      <c r="AD350" s="36"/>
      <c r="AE350" s="37"/>
      <c r="AG350" s="36"/>
      <c r="AH350" s="36"/>
      <c r="AI350" s="36"/>
      <c r="AJ350" s="36"/>
      <c r="BG350" s="39"/>
      <c r="BH350" s="32"/>
    </row>
    <row r="351">
      <c r="A351" s="36"/>
      <c r="B351" s="36"/>
      <c r="E351" s="36"/>
      <c r="F351" s="36"/>
      <c r="G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7"/>
      <c r="AC351" s="36"/>
      <c r="AD351" s="36"/>
      <c r="AE351" s="37"/>
      <c r="AG351" s="36"/>
      <c r="AH351" s="36"/>
      <c r="AI351" s="36"/>
      <c r="AJ351" s="36"/>
      <c r="BG351" s="39"/>
      <c r="BH351" s="32"/>
    </row>
    <row r="352">
      <c r="A352" s="36"/>
      <c r="B352" s="36"/>
      <c r="E352" s="36"/>
      <c r="F352" s="36"/>
      <c r="G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7"/>
      <c r="AC352" s="36"/>
      <c r="AD352" s="36"/>
      <c r="AE352" s="37"/>
      <c r="AG352" s="36"/>
      <c r="AH352" s="36"/>
      <c r="AI352" s="36"/>
      <c r="AJ352" s="36"/>
      <c r="BG352" s="39"/>
      <c r="BH352" s="32"/>
    </row>
    <row r="353">
      <c r="A353" s="36"/>
      <c r="B353" s="36"/>
      <c r="E353" s="36"/>
      <c r="F353" s="36"/>
      <c r="G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7"/>
      <c r="AC353" s="36"/>
      <c r="AD353" s="36"/>
      <c r="AE353" s="37"/>
      <c r="AG353" s="36"/>
      <c r="AH353" s="36"/>
      <c r="AI353" s="36"/>
      <c r="AJ353" s="36"/>
      <c r="BG353" s="39"/>
      <c r="BH353" s="32"/>
    </row>
    <row r="354">
      <c r="A354" s="36"/>
      <c r="B354" s="36"/>
      <c r="E354" s="36"/>
      <c r="F354" s="36"/>
      <c r="G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7"/>
      <c r="AC354" s="36"/>
      <c r="AD354" s="36"/>
      <c r="AE354" s="37"/>
      <c r="AG354" s="36"/>
      <c r="AH354" s="36"/>
      <c r="AI354" s="36"/>
      <c r="AJ354" s="36"/>
      <c r="BG354" s="39"/>
      <c r="BH354" s="32"/>
    </row>
    <row r="355">
      <c r="A355" s="36"/>
      <c r="B355" s="36"/>
      <c r="E355" s="36"/>
      <c r="F355" s="36"/>
      <c r="G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7"/>
      <c r="AC355" s="36"/>
      <c r="AD355" s="36"/>
      <c r="AE355" s="37"/>
      <c r="AG355" s="36"/>
      <c r="AH355" s="36"/>
      <c r="AI355" s="36"/>
      <c r="AJ355" s="36"/>
      <c r="BG355" s="39"/>
      <c r="BH355" s="32"/>
    </row>
    <row r="356">
      <c r="A356" s="36"/>
      <c r="B356" s="36"/>
      <c r="E356" s="36"/>
      <c r="F356" s="36"/>
      <c r="G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7"/>
      <c r="AC356" s="36"/>
      <c r="AD356" s="36"/>
      <c r="AE356" s="37"/>
      <c r="AG356" s="36"/>
      <c r="AH356" s="36"/>
      <c r="AI356" s="36"/>
      <c r="AJ356" s="36"/>
      <c r="BG356" s="39"/>
      <c r="BH356" s="32"/>
    </row>
    <row r="357">
      <c r="A357" s="36"/>
      <c r="B357" s="36"/>
      <c r="E357" s="36"/>
      <c r="F357" s="36"/>
      <c r="G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7"/>
      <c r="AC357" s="36"/>
      <c r="AD357" s="36"/>
      <c r="AE357" s="37"/>
      <c r="AG357" s="36"/>
      <c r="AH357" s="36"/>
      <c r="AI357" s="36"/>
      <c r="AJ357" s="36"/>
      <c r="BG357" s="39"/>
      <c r="BH357" s="32"/>
    </row>
    <row r="358">
      <c r="A358" s="36"/>
      <c r="B358" s="36"/>
      <c r="E358" s="36"/>
      <c r="F358" s="36"/>
      <c r="G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7"/>
      <c r="AC358" s="36"/>
      <c r="AD358" s="36"/>
      <c r="AE358" s="37"/>
      <c r="AG358" s="36"/>
      <c r="AH358" s="36"/>
      <c r="AI358" s="36"/>
      <c r="AJ358" s="36"/>
      <c r="BG358" s="39"/>
      <c r="BH358" s="32"/>
    </row>
    <row r="359">
      <c r="A359" s="36"/>
      <c r="B359" s="36"/>
      <c r="E359" s="36"/>
      <c r="F359" s="36"/>
      <c r="G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7"/>
      <c r="AC359" s="36"/>
      <c r="AD359" s="36"/>
      <c r="AE359" s="37"/>
      <c r="AG359" s="36"/>
      <c r="AH359" s="36"/>
      <c r="AI359" s="36"/>
      <c r="AJ359" s="36"/>
      <c r="BG359" s="39"/>
      <c r="BH359" s="32"/>
    </row>
    <row r="360">
      <c r="A360" s="36"/>
      <c r="B360" s="36"/>
      <c r="E360" s="36"/>
      <c r="F360" s="36"/>
      <c r="G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7"/>
      <c r="AC360" s="36"/>
      <c r="AD360" s="36"/>
      <c r="AE360" s="37"/>
      <c r="AG360" s="36"/>
      <c r="AH360" s="36"/>
      <c r="AI360" s="36"/>
      <c r="AJ360" s="36"/>
      <c r="BG360" s="39"/>
      <c r="BH360" s="32"/>
    </row>
    <row r="361">
      <c r="A361" s="36"/>
      <c r="B361" s="36"/>
      <c r="E361" s="36"/>
      <c r="F361" s="36"/>
      <c r="G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7"/>
      <c r="AC361" s="36"/>
      <c r="AD361" s="36"/>
      <c r="AE361" s="37"/>
      <c r="AG361" s="36"/>
      <c r="AH361" s="36"/>
      <c r="AI361" s="36"/>
      <c r="AJ361" s="36"/>
      <c r="BG361" s="39"/>
      <c r="BH361" s="32"/>
    </row>
    <row r="362">
      <c r="A362" s="36"/>
      <c r="B362" s="36"/>
      <c r="E362" s="36"/>
      <c r="F362" s="36"/>
      <c r="G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7"/>
      <c r="AC362" s="36"/>
      <c r="AD362" s="36"/>
      <c r="AE362" s="37"/>
      <c r="AG362" s="36"/>
      <c r="AH362" s="36"/>
      <c r="AI362" s="36"/>
      <c r="AJ362" s="36"/>
      <c r="BG362" s="39"/>
      <c r="BH362" s="32"/>
    </row>
    <row r="363">
      <c r="A363" s="36"/>
      <c r="B363" s="36"/>
      <c r="E363" s="36"/>
      <c r="F363" s="36"/>
      <c r="G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7"/>
      <c r="AC363" s="36"/>
      <c r="AD363" s="36"/>
      <c r="AE363" s="37"/>
      <c r="AG363" s="36"/>
      <c r="AH363" s="36"/>
      <c r="AI363" s="36"/>
      <c r="AJ363" s="36"/>
      <c r="BG363" s="39"/>
      <c r="BH363" s="32"/>
    </row>
    <row r="364">
      <c r="A364" s="36"/>
      <c r="B364" s="36"/>
      <c r="E364" s="36"/>
      <c r="F364" s="36"/>
      <c r="G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7"/>
      <c r="AC364" s="36"/>
      <c r="AD364" s="36"/>
      <c r="AE364" s="37"/>
      <c r="AG364" s="36"/>
      <c r="AH364" s="36"/>
      <c r="AI364" s="36"/>
      <c r="AJ364" s="36"/>
      <c r="BG364" s="39"/>
      <c r="BH364" s="32"/>
    </row>
    <row r="365">
      <c r="A365" s="36"/>
      <c r="B365" s="36"/>
      <c r="E365" s="36"/>
      <c r="F365" s="36"/>
      <c r="G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7"/>
      <c r="AC365" s="36"/>
      <c r="AD365" s="36"/>
      <c r="AE365" s="37"/>
      <c r="AG365" s="36"/>
      <c r="AH365" s="36"/>
      <c r="AI365" s="36"/>
      <c r="AJ365" s="36"/>
      <c r="BG365" s="39"/>
      <c r="BH365" s="32"/>
    </row>
    <row r="366">
      <c r="A366" s="36"/>
      <c r="B366" s="36"/>
      <c r="E366" s="36"/>
      <c r="F366" s="36"/>
      <c r="G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7"/>
      <c r="AC366" s="36"/>
      <c r="AD366" s="36"/>
      <c r="AE366" s="37"/>
      <c r="AG366" s="36"/>
      <c r="AH366" s="36"/>
      <c r="AI366" s="36"/>
      <c r="AJ366" s="36"/>
      <c r="BG366" s="39"/>
      <c r="BH366" s="32"/>
    </row>
    <row r="367">
      <c r="A367" s="36"/>
      <c r="B367" s="36"/>
      <c r="E367" s="36"/>
      <c r="F367" s="36"/>
      <c r="G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7"/>
      <c r="AC367" s="36"/>
      <c r="AD367" s="36"/>
      <c r="AE367" s="37"/>
      <c r="AG367" s="36"/>
      <c r="AH367" s="36"/>
      <c r="AI367" s="36"/>
      <c r="AJ367" s="36"/>
      <c r="BG367" s="39"/>
      <c r="BH367" s="32"/>
    </row>
    <row r="368">
      <c r="A368" s="36"/>
      <c r="B368" s="36"/>
      <c r="E368" s="36"/>
      <c r="F368" s="36"/>
      <c r="G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7"/>
      <c r="AC368" s="36"/>
      <c r="AD368" s="36"/>
      <c r="AE368" s="37"/>
      <c r="AG368" s="36"/>
      <c r="AH368" s="36"/>
      <c r="AI368" s="36"/>
      <c r="AJ368" s="36"/>
      <c r="BG368" s="39"/>
      <c r="BH368" s="32"/>
    </row>
    <row r="369">
      <c r="A369" s="36"/>
      <c r="B369" s="36"/>
      <c r="E369" s="36"/>
      <c r="F369" s="36"/>
      <c r="G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7"/>
      <c r="AC369" s="36"/>
      <c r="AD369" s="36"/>
      <c r="AE369" s="37"/>
      <c r="AG369" s="36"/>
      <c r="AH369" s="36"/>
      <c r="AI369" s="36"/>
      <c r="AJ369" s="36"/>
      <c r="BG369" s="39"/>
      <c r="BH369" s="32"/>
    </row>
    <row r="370">
      <c r="A370" s="36"/>
      <c r="B370" s="36"/>
      <c r="E370" s="36"/>
      <c r="F370" s="36"/>
      <c r="G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7"/>
      <c r="AC370" s="36"/>
      <c r="AD370" s="36"/>
      <c r="AE370" s="37"/>
      <c r="AG370" s="36"/>
      <c r="AH370" s="36"/>
      <c r="AI370" s="36"/>
      <c r="AJ370" s="36"/>
      <c r="BG370" s="39"/>
      <c r="BH370" s="32"/>
    </row>
    <row r="371">
      <c r="A371" s="36"/>
      <c r="B371" s="36"/>
      <c r="E371" s="36"/>
      <c r="F371" s="36"/>
      <c r="G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7"/>
      <c r="AC371" s="36"/>
      <c r="AD371" s="36"/>
      <c r="AE371" s="37"/>
      <c r="AG371" s="36"/>
      <c r="AH371" s="36"/>
      <c r="AI371" s="36"/>
      <c r="AJ371" s="36"/>
      <c r="BG371" s="39"/>
      <c r="BH371" s="32"/>
    </row>
    <row r="372">
      <c r="A372" s="36"/>
      <c r="B372" s="36"/>
      <c r="E372" s="36"/>
      <c r="F372" s="36"/>
      <c r="G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7"/>
      <c r="AC372" s="36"/>
      <c r="AD372" s="36"/>
      <c r="AE372" s="37"/>
      <c r="AG372" s="36"/>
      <c r="AH372" s="36"/>
      <c r="AI372" s="36"/>
      <c r="AJ372" s="36"/>
      <c r="BG372" s="39"/>
      <c r="BH372" s="32"/>
    </row>
    <row r="373">
      <c r="A373" s="36"/>
      <c r="B373" s="36"/>
      <c r="E373" s="36"/>
      <c r="F373" s="36"/>
      <c r="G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7"/>
      <c r="AC373" s="36"/>
      <c r="AD373" s="36"/>
      <c r="AE373" s="37"/>
      <c r="AG373" s="36"/>
      <c r="AH373" s="36"/>
      <c r="AI373" s="36"/>
      <c r="AJ373" s="36"/>
      <c r="BG373" s="39"/>
      <c r="BH373" s="32"/>
    </row>
    <row r="374">
      <c r="A374" s="36"/>
      <c r="B374" s="36"/>
      <c r="E374" s="36"/>
      <c r="F374" s="36"/>
      <c r="G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7"/>
      <c r="AC374" s="36"/>
      <c r="AD374" s="36"/>
      <c r="AE374" s="37"/>
      <c r="AG374" s="36"/>
      <c r="AH374" s="36"/>
      <c r="AI374" s="36"/>
      <c r="AJ374" s="36"/>
      <c r="BG374" s="39"/>
      <c r="BH374" s="32"/>
    </row>
    <row r="375">
      <c r="A375" s="36"/>
      <c r="B375" s="36"/>
      <c r="E375" s="36"/>
      <c r="F375" s="36"/>
      <c r="G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7"/>
      <c r="AC375" s="36"/>
      <c r="AD375" s="36"/>
      <c r="AE375" s="37"/>
      <c r="AG375" s="36"/>
      <c r="AH375" s="36"/>
      <c r="AI375" s="36"/>
      <c r="AJ375" s="36"/>
      <c r="BG375" s="39"/>
      <c r="BH375" s="32"/>
    </row>
    <row r="376">
      <c r="A376" s="36"/>
      <c r="B376" s="36"/>
      <c r="E376" s="36"/>
      <c r="F376" s="36"/>
      <c r="G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7"/>
      <c r="AC376" s="36"/>
      <c r="AD376" s="36"/>
      <c r="AE376" s="37"/>
      <c r="AG376" s="36"/>
      <c r="AH376" s="36"/>
      <c r="AI376" s="36"/>
      <c r="AJ376" s="36"/>
      <c r="BG376" s="39"/>
      <c r="BH376" s="32"/>
    </row>
    <row r="377">
      <c r="A377" s="36"/>
      <c r="B377" s="36"/>
      <c r="E377" s="36"/>
      <c r="F377" s="36"/>
      <c r="G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7"/>
      <c r="AC377" s="36"/>
      <c r="AD377" s="36"/>
      <c r="AE377" s="37"/>
      <c r="AG377" s="36"/>
      <c r="AH377" s="36"/>
      <c r="AI377" s="36"/>
      <c r="AJ377" s="36"/>
      <c r="BG377" s="39"/>
      <c r="BH377" s="32"/>
    </row>
    <row r="378">
      <c r="A378" s="36"/>
      <c r="B378" s="36"/>
      <c r="E378" s="36"/>
      <c r="F378" s="36"/>
      <c r="G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7"/>
      <c r="AC378" s="36"/>
      <c r="AD378" s="36"/>
      <c r="AE378" s="37"/>
      <c r="AG378" s="36"/>
      <c r="AH378" s="36"/>
      <c r="AI378" s="36"/>
      <c r="AJ378" s="36"/>
      <c r="BG378" s="39"/>
      <c r="BH378" s="32"/>
    </row>
    <row r="379">
      <c r="A379" s="36"/>
      <c r="B379" s="36"/>
      <c r="E379" s="36"/>
      <c r="F379" s="36"/>
      <c r="G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7"/>
      <c r="AC379" s="36"/>
      <c r="AD379" s="36"/>
      <c r="AE379" s="37"/>
      <c r="AG379" s="36"/>
      <c r="AH379" s="36"/>
      <c r="AI379" s="36"/>
      <c r="AJ379" s="36"/>
      <c r="BG379" s="39"/>
      <c r="BH379" s="32"/>
    </row>
    <row r="380">
      <c r="A380" s="36"/>
      <c r="B380" s="36"/>
      <c r="E380" s="36"/>
      <c r="F380" s="36"/>
      <c r="G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7"/>
      <c r="AC380" s="36"/>
      <c r="AD380" s="36"/>
      <c r="AE380" s="37"/>
      <c r="AG380" s="36"/>
      <c r="AH380" s="36"/>
      <c r="AI380" s="36"/>
      <c r="AJ380" s="36"/>
      <c r="BG380" s="39"/>
      <c r="BH380" s="32"/>
    </row>
    <row r="381">
      <c r="A381" s="36"/>
      <c r="B381" s="36"/>
      <c r="E381" s="36"/>
      <c r="F381" s="36"/>
      <c r="G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7"/>
      <c r="AC381" s="36"/>
      <c r="AD381" s="36"/>
      <c r="AE381" s="37"/>
      <c r="AG381" s="36"/>
      <c r="AH381" s="36"/>
      <c r="AI381" s="36"/>
      <c r="AJ381" s="36"/>
      <c r="BG381" s="39"/>
      <c r="BH381" s="32"/>
    </row>
    <row r="382">
      <c r="A382" s="36"/>
      <c r="B382" s="36"/>
      <c r="E382" s="36"/>
      <c r="F382" s="36"/>
      <c r="G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7"/>
      <c r="AC382" s="36"/>
      <c r="AD382" s="36"/>
      <c r="AE382" s="37"/>
      <c r="AG382" s="36"/>
      <c r="AH382" s="36"/>
      <c r="AI382" s="36"/>
      <c r="AJ382" s="36"/>
      <c r="BG382" s="39"/>
      <c r="BH382" s="32"/>
    </row>
    <row r="383">
      <c r="A383" s="36"/>
      <c r="B383" s="36"/>
      <c r="E383" s="36"/>
      <c r="F383" s="36"/>
      <c r="G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7"/>
      <c r="AC383" s="36"/>
      <c r="AD383" s="36"/>
      <c r="AE383" s="37"/>
      <c r="AG383" s="36"/>
      <c r="AH383" s="36"/>
      <c r="AI383" s="36"/>
      <c r="AJ383" s="36"/>
      <c r="BG383" s="39"/>
      <c r="BH383" s="32"/>
    </row>
    <row r="384">
      <c r="A384" s="36"/>
      <c r="B384" s="36"/>
      <c r="E384" s="36"/>
      <c r="F384" s="36"/>
      <c r="G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7"/>
      <c r="AC384" s="36"/>
      <c r="AD384" s="36"/>
      <c r="AE384" s="37"/>
      <c r="AG384" s="36"/>
      <c r="AH384" s="36"/>
      <c r="AI384" s="36"/>
      <c r="AJ384" s="36"/>
      <c r="BG384" s="39"/>
      <c r="BH384" s="32"/>
    </row>
    <row r="385">
      <c r="A385" s="36"/>
      <c r="B385" s="36"/>
      <c r="E385" s="36"/>
      <c r="F385" s="36"/>
      <c r="G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7"/>
      <c r="AC385" s="36"/>
      <c r="AD385" s="36"/>
      <c r="AE385" s="37"/>
      <c r="AG385" s="36"/>
      <c r="AH385" s="36"/>
      <c r="AI385" s="36"/>
      <c r="AJ385" s="36"/>
      <c r="BG385" s="39"/>
      <c r="BH385" s="32"/>
    </row>
    <row r="386">
      <c r="A386" s="36"/>
      <c r="B386" s="36"/>
      <c r="E386" s="36"/>
      <c r="F386" s="36"/>
      <c r="G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7"/>
      <c r="AC386" s="36"/>
      <c r="AD386" s="36"/>
      <c r="AE386" s="37"/>
      <c r="AG386" s="36"/>
      <c r="AH386" s="36"/>
      <c r="AI386" s="36"/>
      <c r="AJ386" s="36"/>
      <c r="BG386" s="39"/>
      <c r="BH386" s="32"/>
    </row>
    <row r="387">
      <c r="A387" s="36"/>
      <c r="B387" s="36"/>
      <c r="E387" s="36"/>
      <c r="F387" s="36"/>
      <c r="G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7"/>
      <c r="AC387" s="36"/>
      <c r="AD387" s="36"/>
      <c r="AE387" s="37"/>
      <c r="AG387" s="36"/>
      <c r="AH387" s="36"/>
      <c r="AI387" s="36"/>
      <c r="AJ387" s="36"/>
      <c r="BG387" s="39"/>
      <c r="BH387" s="32"/>
    </row>
    <row r="388">
      <c r="A388" s="36"/>
      <c r="B388" s="36"/>
      <c r="E388" s="36"/>
      <c r="F388" s="36"/>
      <c r="G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7"/>
      <c r="AC388" s="36"/>
      <c r="AD388" s="36"/>
      <c r="AE388" s="37"/>
      <c r="AG388" s="36"/>
      <c r="AH388" s="36"/>
      <c r="AI388" s="36"/>
      <c r="AJ388" s="36"/>
      <c r="BG388" s="39"/>
      <c r="BH388" s="32"/>
    </row>
    <row r="389">
      <c r="A389" s="36"/>
      <c r="B389" s="36"/>
      <c r="E389" s="36"/>
      <c r="F389" s="36"/>
      <c r="G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7"/>
      <c r="AC389" s="36"/>
      <c r="AD389" s="36"/>
      <c r="AE389" s="37"/>
      <c r="AG389" s="36"/>
      <c r="AH389" s="36"/>
      <c r="AI389" s="36"/>
      <c r="AJ389" s="36"/>
      <c r="BG389" s="39"/>
      <c r="BH389" s="32"/>
    </row>
    <row r="390">
      <c r="A390" s="36"/>
      <c r="B390" s="36"/>
      <c r="E390" s="36"/>
      <c r="F390" s="36"/>
      <c r="G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7"/>
      <c r="AC390" s="36"/>
      <c r="AD390" s="36"/>
      <c r="AE390" s="37"/>
      <c r="AG390" s="36"/>
      <c r="AH390" s="36"/>
      <c r="AI390" s="36"/>
      <c r="AJ390" s="36"/>
      <c r="BG390" s="39"/>
      <c r="BH390" s="32"/>
    </row>
    <row r="391">
      <c r="A391" s="36"/>
      <c r="B391" s="36"/>
      <c r="E391" s="36"/>
      <c r="F391" s="36"/>
      <c r="G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7"/>
      <c r="AC391" s="36"/>
      <c r="AD391" s="36"/>
      <c r="AE391" s="37"/>
      <c r="AG391" s="36"/>
      <c r="AH391" s="36"/>
      <c r="AI391" s="36"/>
      <c r="AJ391" s="36"/>
      <c r="BG391" s="39"/>
      <c r="BH391" s="32"/>
    </row>
    <row r="392">
      <c r="A392" s="36"/>
      <c r="B392" s="36"/>
      <c r="E392" s="36"/>
      <c r="F392" s="36"/>
      <c r="G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7"/>
      <c r="AC392" s="36"/>
      <c r="AD392" s="36"/>
      <c r="AE392" s="37"/>
      <c r="AG392" s="36"/>
      <c r="AH392" s="36"/>
      <c r="AI392" s="36"/>
      <c r="AJ392" s="36"/>
      <c r="BG392" s="39"/>
      <c r="BH392" s="32"/>
    </row>
    <row r="393">
      <c r="A393" s="36"/>
      <c r="B393" s="36"/>
      <c r="E393" s="36"/>
      <c r="F393" s="36"/>
      <c r="G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7"/>
      <c r="AC393" s="36"/>
      <c r="AD393" s="36"/>
      <c r="AE393" s="37"/>
      <c r="AG393" s="36"/>
      <c r="AH393" s="36"/>
      <c r="AI393" s="36"/>
      <c r="AJ393" s="36"/>
      <c r="BG393" s="39"/>
      <c r="BH393" s="32"/>
    </row>
    <row r="394">
      <c r="A394" s="36"/>
      <c r="B394" s="36"/>
      <c r="E394" s="36"/>
      <c r="F394" s="36"/>
      <c r="G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7"/>
      <c r="AC394" s="36"/>
      <c r="AD394" s="36"/>
      <c r="AE394" s="37"/>
      <c r="AG394" s="36"/>
      <c r="AH394" s="36"/>
      <c r="AI394" s="36"/>
      <c r="AJ394" s="36"/>
      <c r="BG394" s="39"/>
      <c r="BH394" s="32"/>
    </row>
    <row r="395">
      <c r="A395" s="36"/>
      <c r="B395" s="36"/>
      <c r="E395" s="36"/>
      <c r="F395" s="36"/>
      <c r="G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7"/>
      <c r="AC395" s="36"/>
      <c r="AD395" s="36"/>
      <c r="AE395" s="37"/>
      <c r="AG395" s="36"/>
      <c r="AH395" s="36"/>
      <c r="AI395" s="36"/>
      <c r="AJ395" s="36"/>
      <c r="BG395" s="39"/>
      <c r="BH395" s="32"/>
    </row>
    <row r="396">
      <c r="A396" s="36"/>
      <c r="B396" s="36"/>
      <c r="E396" s="36"/>
      <c r="F396" s="36"/>
      <c r="G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7"/>
      <c r="AC396" s="36"/>
      <c r="AD396" s="36"/>
      <c r="AE396" s="37"/>
      <c r="AG396" s="36"/>
      <c r="AH396" s="36"/>
      <c r="AI396" s="36"/>
      <c r="AJ396" s="36"/>
      <c r="BG396" s="39"/>
      <c r="BH396" s="32"/>
    </row>
    <row r="397">
      <c r="A397" s="36"/>
      <c r="B397" s="36"/>
      <c r="E397" s="36"/>
      <c r="F397" s="36"/>
      <c r="G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7"/>
      <c r="AC397" s="36"/>
      <c r="AD397" s="36"/>
      <c r="AE397" s="37"/>
      <c r="AG397" s="36"/>
      <c r="AH397" s="36"/>
      <c r="AI397" s="36"/>
      <c r="AJ397" s="36"/>
      <c r="BG397" s="39"/>
      <c r="BH397" s="32"/>
    </row>
    <row r="398">
      <c r="A398" s="36"/>
      <c r="B398" s="36"/>
      <c r="E398" s="36"/>
      <c r="F398" s="36"/>
      <c r="G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7"/>
      <c r="AC398" s="36"/>
      <c r="AD398" s="36"/>
      <c r="AE398" s="37"/>
      <c r="AG398" s="36"/>
      <c r="AH398" s="36"/>
      <c r="AI398" s="36"/>
      <c r="AJ398" s="36"/>
      <c r="BG398" s="39"/>
      <c r="BH398" s="32"/>
    </row>
    <row r="399">
      <c r="A399" s="36"/>
      <c r="B399" s="36"/>
      <c r="E399" s="36"/>
      <c r="F399" s="36"/>
      <c r="G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7"/>
      <c r="AC399" s="36"/>
      <c r="AD399" s="36"/>
      <c r="AE399" s="37"/>
      <c r="AG399" s="36"/>
      <c r="AH399" s="36"/>
      <c r="AI399" s="36"/>
      <c r="AJ399" s="36"/>
      <c r="BG399" s="39"/>
      <c r="BH399" s="32"/>
    </row>
    <row r="400">
      <c r="A400" s="36"/>
      <c r="B400" s="36"/>
      <c r="E400" s="36"/>
      <c r="F400" s="36"/>
      <c r="G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7"/>
      <c r="AC400" s="36"/>
      <c r="AD400" s="36"/>
      <c r="AE400" s="37"/>
      <c r="AG400" s="36"/>
      <c r="AH400" s="36"/>
      <c r="AI400" s="36"/>
      <c r="AJ400" s="36"/>
      <c r="BG400" s="39"/>
      <c r="BH400" s="32"/>
    </row>
    <row r="401">
      <c r="A401" s="36"/>
      <c r="B401" s="36"/>
      <c r="E401" s="36"/>
      <c r="F401" s="36"/>
      <c r="G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7"/>
      <c r="AC401" s="36"/>
      <c r="AD401" s="36"/>
      <c r="AE401" s="37"/>
      <c r="AG401" s="36"/>
      <c r="AH401" s="36"/>
      <c r="AI401" s="36"/>
      <c r="AJ401" s="36"/>
      <c r="BG401" s="39"/>
      <c r="BH401" s="32"/>
    </row>
    <row r="402">
      <c r="A402" s="36"/>
      <c r="B402" s="36"/>
      <c r="E402" s="36"/>
      <c r="F402" s="36"/>
      <c r="G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7"/>
      <c r="AC402" s="36"/>
      <c r="AD402" s="36"/>
      <c r="AE402" s="37"/>
      <c r="AG402" s="36"/>
      <c r="AH402" s="36"/>
      <c r="AI402" s="36"/>
      <c r="AJ402" s="36"/>
      <c r="BG402" s="39"/>
      <c r="BH402" s="32"/>
    </row>
    <row r="403">
      <c r="A403" s="36"/>
      <c r="B403" s="36"/>
      <c r="E403" s="36"/>
      <c r="F403" s="36"/>
      <c r="G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7"/>
      <c r="AC403" s="36"/>
      <c r="AD403" s="36"/>
      <c r="AE403" s="37"/>
      <c r="AG403" s="36"/>
      <c r="AH403" s="36"/>
      <c r="AI403" s="36"/>
      <c r="AJ403" s="36"/>
      <c r="BG403" s="39"/>
      <c r="BH403" s="32"/>
    </row>
    <row r="404">
      <c r="A404" s="36"/>
      <c r="B404" s="36"/>
      <c r="E404" s="36"/>
      <c r="F404" s="36"/>
      <c r="G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7"/>
      <c r="AC404" s="36"/>
      <c r="AD404" s="36"/>
      <c r="AE404" s="37"/>
      <c r="AG404" s="36"/>
      <c r="AH404" s="36"/>
      <c r="AI404" s="36"/>
      <c r="AJ404" s="36"/>
      <c r="BG404" s="39"/>
      <c r="BH404" s="32"/>
    </row>
    <row r="405">
      <c r="A405" s="36"/>
      <c r="B405" s="36"/>
      <c r="E405" s="36"/>
      <c r="F405" s="36"/>
      <c r="G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7"/>
      <c r="AC405" s="36"/>
      <c r="AD405" s="36"/>
      <c r="AE405" s="37"/>
      <c r="AG405" s="36"/>
      <c r="AH405" s="36"/>
      <c r="AI405" s="36"/>
      <c r="AJ405" s="36"/>
      <c r="BG405" s="39"/>
      <c r="BH405" s="32"/>
    </row>
    <row r="406">
      <c r="A406" s="36"/>
      <c r="B406" s="36"/>
      <c r="E406" s="36"/>
      <c r="F406" s="36"/>
      <c r="G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7"/>
      <c r="AC406" s="36"/>
      <c r="AD406" s="36"/>
      <c r="AE406" s="37"/>
      <c r="AG406" s="36"/>
      <c r="AH406" s="36"/>
      <c r="AI406" s="36"/>
      <c r="AJ406" s="36"/>
      <c r="BG406" s="39"/>
      <c r="BH406" s="32"/>
    </row>
    <row r="407">
      <c r="A407" s="36"/>
      <c r="B407" s="36"/>
      <c r="E407" s="36"/>
      <c r="F407" s="36"/>
      <c r="G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7"/>
      <c r="AC407" s="36"/>
      <c r="AD407" s="36"/>
      <c r="AE407" s="37"/>
      <c r="AG407" s="36"/>
      <c r="AH407" s="36"/>
      <c r="AI407" s="36"/>
      <c r="AJ407" s="36"/>
      <c r="BG407" s="39"/>
      <c r="BH407" s="32"/>
    </row>
    <row r="408">
      <c r="A408" s="36"/>
      <c r="B408" s="36"/>
      <c r="E408" s="36"/>
      <c r="F408" s="36"/>
      <c r="G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7"/>
      <c r="AC408" s="36"/>
      <c r="AD408" s="36"/>
      <c r="AE408" s="37"/>
      <c r="AG408" s="36"/>
      <c r="AH408" s="36"/>
      <c r="AI408" s="36"/>
      <c r="AJ408" s="36"/>
      <c r="BG408" s="39"/>
      <c r="BH408" s="32"/>
    </row>
    <row r="409">
      <c r="A409" s="36"/>
      <c r="B409" s="36"/>
      <c r="E409" s="36"/>
      <c r="F409" s="36"/>
      <c r="G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7"/>
      <c r="AC409" s="36"/>
      <c r="AD409" s="36"/>
      <c r="AE409" s="37"/>
      <c r="AG409" s="36"/>
      <c r="AH409" s="36"/>
      <c r="AI409" s="36"/>
      <c r="AJ409" s="36"/>
      <c r="BG409" s="39"/>
      <c r="BH409" s="32"/>
    </row>
    <row r="410">
      <c r="A410" s="36"/>
      <c r="B410" s="36"/>
      <c r="E410" s="36"/>
      <c r="F410" s="36"/>
      <c r="G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7"/>
      <c r="AC410" s="36"/>
      <c r="AD410" s="36"/>
      <c r="AE410" s="37"/>
      <c r="AG410" s="36"/>
      <c r="AH410" s="36"/>
      <c r="AI410" s="36"/>
      <c r="AJ410" s="36"/>
      <c r="BG410" s="39"/>
      <c r="BH410" s="32"/>
    </row>
    <row r="411">
      <c r="A411" s="36"/>
      <c r="B411" s="36"/>
      <c r="E411" s="36"/>
      <c r="F411" s="36"/>
      <c r="G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7"/>
      <c r="AC411" s="36"/>
      <c r="AD411" s="36"/>
      <c r="AE411" s="37"/>
      <c r="AG411" s="36"/>
      <c r="AH411" s="36"/>
      <c r="AI411" s="36"/>
      <c r="AJ411" s="36"/>
      <c r="BG411" s="39"/>
      <c r="BH411" s="32"/>
    </row>
    <row r="412">
      <c r="A412" s="36"/>
      <c r="B412" s="36"/>
      <c r="E412" s="36"/>
      <c r="F412" s="36"/>
      <c r="G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7"/>
      <c r="AC412" s="36"/>
      <c r="AD412" s="36"/>
      <c r="AE412" s="37"/>
      <c r="AG412" s="36"/>
      <c r="AH412" s="36"/>
      <c r="AI412" s="36"/>
      <c r="AJ412" s="36"/>
      <c r="BG412" s="39"/>
      <c r="BH412" s="32"/>
    </row>
    <row r="413">
      <c r="A413" s="36"/>
      <c r="B413" s="36"/>
      <c r="E413" s="36"/>
      <c r="F413" s="36"/>
      <c r="G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7"/>
      <c r="AC413" s="36"/>
      <c r="AD413" s="36"/>
      <c r="AE413" s="37"/>
      <c r="AG413" s="36"/>
      <c r="AH413" s="36"/>
      <c r="AI413" s="36"/>
      <c r="AJ413" s="36"/>
      <c r="BG413" s="39"/>
      <c r="BH413" s="32"/>
    </row>
    <row r="414">
      <c r="A414" s="36"/>
      <c r="B414" s="36"/>
      <c r="E414" s="36"/>
      <c r="F414" s="36"/>
      <c r="G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7"/>
      <c r="AC414" s="36"/>
      <c r="AD414" s="36"/>
      <c r="AE414" s="37"/>
      <c r="AG414" s="36"/>
      <c r="AH414" s="36"/>
      <c r="AI414" s="36"/>
      <c r="AJ414" s="36"/>
      <c r="BG414" s="39"/>
      <c r="BH414" s="32"/>
    </row>
    <row r="415">
      <c r="A415" s="36"/>
      <c r="B415" s="36"/>
      <c r="E415" s="36"/>
      <c r="F415" s="36"/>
      <c r="G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7"/>
      <c r="AC415" s="36"/>
      <c r="AD415" s="36"/>
      <c r="AE415" s="37"/>
      <c r="AG415" s="36"/>
      <c r="AH415" s="36"/>
      <c r="AI415" s="36"/>
      <c r="AJ415" s="36"/>
      <c r="BG415" s="39"/>
      <c r="BH415" s="32"/>
    </row>
    <row r="416">
      <c r="A416" s="36"/>
      <c r="B416" s="36"/>
      <c r="E416" s="36"/>
      <c r="F416" s="36"/>
      <c r="G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7"/>
      <c r="AC416" s="36"/>
      <c r="AD416" s="36"/>
      <c r="AE416" s="37"/>
      <c r="AG416" s="36"/>
      <c r="AH416" s="36"/>
      <c r="AI416" s="36"/>
      <c r="AJ416" s="36"/>
      <c r="BG416" s="39"/>
      <c r="BH416" s="32"/>
    </row>
    <row r="417">
      <c r="A417" s="36"/>
      <c r="B417" s="36"/>
      <c r="E417" s="36"/>
      <c r="F417" s="36"/>
      <c r="G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7"/>
      <c r="AC417" s="36"/>
      <c r="AD417" s="36"/>
      <c r="AE417" s="37"/>
      <c r="AG417" s="36"/>
      <c r="AH417" s="36"/>
      <c r="AI417" s="36"/>
      <c r="AJ417" s="36"/>
      <c r="BG417" s="39"/>
      <c r="BH417" s="32"/>
    </row>
    <row r="418">
      <c r="A418" s="36"/>
      <c r="B418" s="36"/>
      <c r="E418" s="36"/>
      <c r="F418" s="36"/>
      <c r="G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7"/>
      <c r="AC418" s="36"/>
      <c r="AD418" s="36"/>
      <c r="AE418" s="37"/>
      <c r="AG418" s="36"/>
      <c r="AH418" s="36"/>
      <c r="AI418" s="36"/>
      <c r="AJ418" s="36"/>
      <c r="BG418" s="39"/>
      <c r="BH418" s="32"/>
    </row>
    <row r="419">
      <c r="A419" s="36"/>
      <c r="B419" s="36"/>
      <c r="E419" s="36"/>
      <c r="F419" s="36"/>
      <c r="G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7"/>
      <c r="AC419" s="36"/>
      <c r="AD419" s="36"/>
      <c r="AE419" s="37"/>
      <c r="AG419" s="36"/>
      <c r="AH419" s="36"/>
      <c r="AI419" s="36"/>
      <c r="AJ419" s="36"/>
      <c r="BG419" s="39"/>
      <c r="BH419" s="32"/>
    </row>
    <row r="420">
      <c r="A420" s="36"/>
      <c r="B420" s="36"/>
      <c r="E420" s="36"/>
      <c r="F420" s="36"/>
      <c r="G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7"/>
      <c r="AC420" s="36"/>
      <c r="AD420" s="36"/>
      <c r="AE420" s="37"/>
      <c r="AG420" s="36"/>
      <c r="AH420" s="36"/>
      <c r="AI420" s="36"/>
      <c r="AJ420" s="36"/>
      <c r="BG420" s="39"/>
      <c r="BH420" s="32"/>
    </row>
    <row r="421">
      <c r="A421" s="36"/>
      <c r="B421" s="36"/>
      <c r="E421" s="36"/>
      <c r="F421" s="36"/>
      <c r="G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7"/>
      <c r="AC421" s="36"/>
      <c r="AD421" s="36"/>
      <c r="AE421" s="37"/>
      <c r="AG421" s="36"/>
      <c r="AH421" s="36"/>
      <c r="AI421" s="36"/>
      <c r="AJ421" s="36"/>
      <c r="BG421" s="39"/>
      <c r="BH421" s="32"/>
    </row>
    <row r="422">
      <c r="A422" s="36"/>
      <c r="B422" s="36"/>
      <c r="E422" s="36"/>
      <c r="F422" s="36"/>
      <c r="G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7"/>
      <c r="AC422" s="36"/>
      <c r="AD422" s="36"/>
      <c r="AE422" s="37"/>
      <c r="AG422" s="36"/>
      <c r="AH422" s="36"/>
      <c r="AI422" s="36"/>
      <c r="AJ422" s="36"/>
      <c r="BG422" s="39"/>
      <c r="BH422" s="32"/>
    </row>
    <row r="423">
      <c r="A423" s="36"/>
      <c r="B423" s="36"/>
      <c r="E423" s="36"/>
      <c r="F423" s="36"/>
      <c r="G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7"/>
      <c r="AC423" s="36"/>
      <c r="AD423" s="36"/>
      <c r="AE423" s="37"/>
      <c r="AG423" s="36"/>
      <c r="AH423" s="36"/>
      <c r="AI423" s="36"/>
      <c r="AJ423" s="36"/>
      <c r="BG423" s="39"/>
      <c r="BH423" s="32"/>
    </row>
    <row r="424">
      <c r="A424" s="36"/>
      <c r="B424" s="36"/>
      <c r="E424" s="36"/>
      <c r="F424" s="36"/>
      <c r="G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7"/>
      <c r="AC424" s="36"/>
      <c r="AD424" s="36"/>
      <c r="AE424" s="37"/>
      <c r="AG424" s="36"/>
      <c r="AH424" s="36"/>
      <c r="AI424" s="36"/>
      <c r="AJ424" s="36"/>
      <c r="BG424" s="39"/>
      <c r="BH424" s="32"/>
    </row>
    <row r="425">
      <c r="A425" s="36"/>
      <c r="B425" s="36"/>
      <c r="E425" s="36"/>
      <c r="F425" s="36"/>
      <c r="G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7"/>
      <c r="AC425" s="36"/>
      <c r="AD425" s="36"/>
      <c r="AE425" s="37"/>
      <c r="AG425" s="36"/>
      <c r="AH425" s="36"/>
      <c r="AI425" s="36"/>
      <c r="AJ425" s="36"/>
      <c r="BG425" s="39"/>
      <c r="BH425" s="32"/>
    </row>
    <row r="426">
      <c r="A426" s="36"/>
      <c r="B426" s="36"/>
      <c r="E426" s="36"/>
      <c r="F426" s="36"/>
      <c r="G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7"/>
      <c r="AC426" s="36"/>
      <c r="AD426" s="36"/>
      <c r="AE426" s="37"/>
      <c r="AG426" s="36"/>
      <c r="AH426" s="36"/>
      <c r="AI426" s="36"/>
      <c r="AJ426" s="36"/>
      <c r="BG426" s="39"/>
      <c r="BH426" s="32"/>
    </row>
    <row r="427">
      <c r="A427" s="36"/>
      <c r="B427" s="36"/>
      <c r="E427" s="36"/>
      <c r="F427" s="36"/>
      <c r="G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7"/>
      <c r="AC427" s="36"/>
      <c r="AD427" s="36"/>
      <c r="AE427" s="37"/>
      <c r="AG427" s="36"/>
      <c r="AH427" s="36"/>
      <c r="AI427" s="36"/>
      <c r="AJ427" s="36"/>
      <c r="BG427" s="39"/>
      <c r="BH427" s="32"/>
    </row>
    <row r="428">
      <c r="A428" s="36"/>
      <c r="B428" s="36"/>
      <c r="E428" s="36"/>
      <c r="F428" s="36"/>
      <c r="G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7"/>
      <c r="AC428" s="36"/>
      <c r="AD428" s="36"/>
      <c r="AE428" s="37"/>
      <c r="AG428" s="36"/>
      <c r="AH428" s="36"/>
      <c r="AI428" s="36"/>
      <c r="AJ428" s="36"/>
      <c r="BG428" s="39"/>
      <c r="BH428" s="32"/>
    </row>
    <row r="429">
      <c r="A429" s="36"/>
      <c r="B429" s="36"/>
      <c r="E429" s="36"/>
      <c r="F429" s="36"/>
      <c r="G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7"/>
      <c r="AC429" s="36"/>
      <c r="AD429" s="36"/>
      <c r="AE429" s="37"/>
      <c r="AG429" s="36"/>
      <c r="AH429" s="36"/>
      <c r="AI429" s="36"/>
      <c r="AJ429" s="36"/>
      <c r="BG429" s="39"/>
      <c r="BH429" s="32"/>
    </row>
    <row r="430">
      <c r="A430" s="36"/>
      <c r="B430" s="36"/>
      <c r="E430" s="36"/>
      <c r="F430" s="36"/>
      <c r="G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7"/>
      <c r="AC430" s="36"/>
      <c r="AD430" s="36"/>
      <c r="AE430" s="37"/>
      <c r="AG430" s="36"/>
      <c r="AH430" s="36"/>
      <c r="AI430" s="36"/>
      <c r="AJ430" s="36"/>
      <c r="BG430" s="39"/>
      <c r="BH430" s="32"/>
    </row>
    <row r="431">
      <c r="A431" s="36"/>
      <c r="B431" s="36"/>
      <c r="E431" s="36"/>
      <c r="F431" s="36"/>
      <c r="G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7"/>
      <c r="AC431" s="36"/>
      <c r="AD431" s="36"/>
      <c r="AE431" s="37"/>
      <c r="AG431" s="36"/>
      <c r="AH431" s="36"/>
      <c r="AI431" s="36"/>
      <c r="AJ431" s="36"/>
      <c r="BG431" s="39"/>
      <c r="BH431" s="32"/>
    </row>
    <row r="432">
      <c r="A432" s="36"/>
      <c r="B432" s="36"/>
      <c r="E432" s="36"/>
      <c r="F432" s="36"/>
      <c r="G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7"/>
      <c r="AC432" s="36"/>
      <c r="AD432" s="36"/>
      <c r="AE432" s="37"/>
      <c r="AG432" s="36"/>
      <c r="AH432" s="36"/>
      <c r="AI432" s="36"/>
      <c r="AJ432" s="36"/>
      <c r="BG432" s="39"/>
      <c r="BH432" s="32"/>
    </row>
    <row r="433">
      <c r="A433" s="36"/>
      <c r="B433" s="36"/>
      <c r="E433" s="36"/>
      <c r="F433" s="36"/>
      <c r="G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7"/>
      <c r="AC433" s="36"/>
      <c r="AD433" s="36"/>
      <c r="AE433" s="37"/>
      <c r="AG433" s="36"/>
      <c r="AH433" s="36"/>
      <c r="AI433" s="36"/>
      <c r="AJ433" s="36"/>
      <c r="BG433" s="39"/>
      <c r="BH433" s="32"/>
    </row>
    <row r="434">
      <c r="A434" s="36"/>
      <c r="B434" s="36"/>
      <c r="E434" s="36"/>
      <c r="F434" s="36"/>
      <c r="G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7"/>
      <c r="AC434" s="36"/>
      <c r="AD434" s="36"/>
      <c r="AE434" s="37"/>
      <c r="AG434" s="36"/>
      <c r="AH434" s="36"/>
      <c r="AI434" s="36"/>
      <c r="AJ434" s="36"/>
      <c r="BG434" s="39"/>
      <c r="BH434" s="32"/>
    </row>
    <row r="435">
      <c r="A435" s="36"/>
      <c r="B435" s="36"/>
      <c r="E435" s="36"/>
      <c r="F435" s="36"/>
      <c r="G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7"/>
      <c r="AC435" s="36"/>
      <c r="AD435" s="36"/>
      <c r="AE435" s="37"/>
      <c r="AG435" s="36"/>
      <c r="AH435" s="36"/>
      <c r="AI435" s="36"/>
      <c r="AJ435" s="36"/>
      <c r="BG435" s="39"/>
      <c r="BH435" s="32"/>
    </row>
    <row r="436">
      <c r="A436" s="36"/>
      <c r="B436" s="36"/>
      <c r="E436" s="36"/>
      <c r="F436" s="36"/>
      <c r="G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7"/>
      <c r="AC436" s="36"/>
      <c r="AD436" s="36"/>
      <c r="AE436" s="37"/>
      <c r="AG436" s="36"/>
      <c r="AH436" s="36"/>
      <c r="AI436" s="36"/>
      <c r="AJ436" s="36"/>
      <c r="BG436" s="39"/>
      <c r="BH436" s="32"/>
    </row>
    <row r="437">
      <c r="A437" s="36"/>
      <c r="B437" s="36"/>
      <c r="E437" s="36"/>
      <c r="F437" s="36"/>
      <c r="G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7"/>
      <c r="AC437" s="36"/>
      <c r="AD437" s="36"/>
      <c r="AE437" s="37"/>
      <c r="AG437" s="36"/>
      <c r="AH437" s="36"/>
      <c r="AI437" s="36"/>
      <c r="AJ437" s="36"/>
      <c r="BG437" s="39"/>
      <c r="BH437" s="32"/>
    </row>
    <row r="438">
      <c r="A438" s="36"/>
      <c r="B438" s="36"/>
      <c r="E438" s="36"/>
      <c r="F438" s="36"/>
      <c r="G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7"/>
      <c r="AC438" s="36"/>
      <c r="AD438" s="36"/>
      <c r="AE438" s="37"/>
      <c r="AG438" s="36"/>
      <c r="AH438" s="36"/>
      <c r="AI438" s="36"/>
      <c r="AJ438" s="36"/>
      <c r="BG438" s="39"/>
      <c r="BH438" s="32"/>
    </row>
    <row r="439">
      <c r="A439" s="36"/>
      <c r="B439" s="36"/>
      <c r="E439" s="36"/>
      <c r="F439" s="36"/>
      <c r="G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7"/>
      <c r="AC439" s="36"/>
      <c r="AD439" s="36"/>
      <c r="AE439" s="37"/>
      <c r="AG439" s="36"/>
      <c r="AH439" s="36"/>
      <c r="AI439" s="36"/>
      <c r="AJ439" s="36"/>
      <c r="BG439" s="39"/>
      <c r="BH439" s="32"/>
    </row>
    <row r="440">
      <c r="A440" s="36"/>
      <c r="B440" s="36"/>
      <c r="E440" s="36"/>
      <c r="F440" s="36"/>
      <c r="G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7"/>
      <c r="AC440" s="36"/>
      <c r="AD440" s="36"/>
      <c r="AE440" s="37"/>
      <c r="AG440" s="36"/>
      <c r="AH440" s="36"/>
      <c r="AI440" s="36"/>
      <c r="AJ440" s="36"/>
      <c r="BG440" s="39"/>
      <c r="BH440" s="32"/>
    </row>
    <row r="441">
      <c r="A441" s="36"/>
      <c r="B441" s="36"/>
      <c r="E441" s="36"/>
      <c r="F441" s="36"/>
      <c r="G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7"/>
      <c r="AC441" s="36"/>
      <c r="AD441" s="36"/>
      <c r="AE441" s="37"/>
      <c r="AG441" s="36"/>
      <c r="AH441" s="36"/>
      <c r="AI441" s="36"/>
      <c r="AJ441" s="36"/>
      <c r="BG441" s="39"/>
      <c r="BH441" s="32"/>
    </row>
    <row r="442">
      <c r="A442" s="36"/>
      <c r="B442" s="36"/>
      <c r="E442" s="36"/>
      <c r="F442" s="36"/>
      <c r="G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7"/>
      <c r="AC442" s="36"/>
      <c r="AD442" s="36"/>
      <c r="AE442" s="37"/>
      <c r="AG442" s="36"/>
      <c r="AH442" s="36"/>
      <c r="AI442" s="36"/>
      <c r="AJ442" s="36"/>
      <c r="BG442" s="39"/>
      <c r="BH442" s="32"/>
    </row>
    <row r="443">
      <c r="A443" s="36"/>
      <c r="B443" s="36"/>
      <c r="E443" s="36"/>
      <c r="F443" s="36"/>
      <c r="G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7"/>
      <c r="AC443" s="36"/>
      <c r="AD443" s="36"/>
      <c r="AE443" s="37"/>
      <c r="AG443" s="36"/>
      <c r="AH443" s="36"/>
      <c r="AI443" s="36"/>
      <c r="AJ443" s="36"/>
      <c r="BG443" s="39"/>
      <c r="BH443" s="32"/>
    </row>
    <row r="444">
      <c r="A444" s="36"/>
      <c r="B444" s="36"/>
      <c r="E444" s="36"/>
      <c r="F444" s="36"/>
      <c r="G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7"/>
      <c r="AC444" s="36"/>
      <c r="AD444" s="36"/>
      <c r="AE444" s="37"/>
      <c r="AG444" s="36"/>
      <c r="AH444" s="36"/>
      <c r="AI444" s="36"/>
      <c r="AJ444" s="36"/>
      <c r="BG444" s="39"/>
      <c r="BH444" s="32"/>
    </row>
    <row r="445">
      <c r="A445" s="36"/>
      <c r="B445" s="36"/>
      <c r="E445" s="36"/>
      <c r="F445" s="36"/>
      <c r="G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7"/>
      <c r="AC445" s="36"/>
      <c r="AD445" s="36"/>
      <c r="AE445" s="37"/>
      <c r="AG445" s="36"/>
      <c r="AH445" s="36"/>
      <c r="AI445" s="36"/>
      <c r="AJ445" s="36"/>
      <c r="BG445" s="39"/>
      <c r="BH445" s="32"/>
    </row>
    <row r="446">
      <c r="A446" s="36"/>
      <c r="B446" s="36"/>
      <c r="E446" s="36"/>
      <c r="F446" s="36"/>
      <c r="G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7"/>
      <c r="AC446" s="36"/>
      <c r="AD446" s="36"/>
      <c r="AE446" s="37"/>
      <c r="AG446" s="36"/>
      <c r="AH446" s="36"/>
      <c r="AI446" s="36"/>
      <c r="AJ446" s="36"/>
      <c r="BG446" s="39"/>
      <c r="BH446" s="32"/>
    </row>
    <row r="447">
      <c r="A447" s="36"/>
      <c r="B447" s="36"/>
      <c r="E447" s="36"/>
      <c r="F447" s="36"/>
      <c r="G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7"/>
      <c r="AC447" s="36"/>
      <c r="AD447" s="36"/>
      <c r="AE447" s="37"/>
      <c r="AG447" s="36"/>
      <c r="AH447" s="36"/>
      <c r="AI447" s="36"/>
      <c r="AJ447" s="36"/>
      <c r="BG447" s="39"/>
      <c r="BH447" s="32"/>
    </row>
    <row r="448">
      <c r="A448" s="36"/>
      <c r="B448" s="36"/>
      <c r="E448" s="36"/>
      <c r="F448" s="36"/>
      <c r="G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7"/>
      <c r="AC448" s="36"/>
      <c r="AD448" s="36"/>
      <c r="AE448" s="37"/>
      <c r="AG448" s="36"/>
      <c r="AH448" s="36"/>
      <c r="AI448" s="36"/>
      <c r="AJ448" s="36"/>
      <c r="BG448" s="39"/>
      <c r="BH448" s="32"/>
    </row>
    <row r="449">
      <c r="A449" s="36"/>
      <c r="B449" s="36"/>
      <c r="E449" s="36"/>
      <c r="F449" s="36"/>
      <c r="G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7"/>
      <c r="AC449" s="36"/>
      <c r="AD449" s="36"/>
      <c r="AE449" s="37"/>
      <c r="AG449" s="36"/>
      <c r="AH449" s="36"/>
      <c r="AI449" s="36"/>
      <c r="AJ449" s="36"/>
      <c r="BG449" s="39"/>
      <c r="BH449" s="32"/>
    </row>
    <row r="450">
      <c r="A450" s="36"/>
      <c r="B450" s="36"/>
      <c r="E450" s="36"/>
      <c r="F450" s="36"/>
      <c r="G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7"/>
      <c r="AC450" s="36"/>
      <c r="AD450" s="36"/>
      <c r="AE450" s="37"/>
      <c r="AG450" s="36"/>
      <c r="AH450" s="36"/>
      <c r="AI450" s="36"/>
      <c r="AJ450" s="36"/>
      <c r="BG450" s="39"/>
      <c r="BH450" s="32"/>
    </row>
    <row r="451">
      <c r="A451" s="36"/>
      <c r="B451" s="36"/>
      <c r="E451" s="36"/>
      <c r="F451" s="36"/>
      <c r="G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7"/>
      <c r="AC451" s="36"/>
      <c r="AD451" s="36"/>
      <c r="AE451" s="37"/>
      <c r="AG451" s="36"/>
      <c r="AH451" s="36"/>
      <c r="AI451" s="36"/>
      <c r="AJ451" s="36"/>
      <c r="BG451" s="39"/>
      <c r="BH451" s="32"/>
    </row>
    <row r="452">
      <c r="A452" s="36"/>
      <c r="B452" s="36"/>
      <c r="E452" s="36"/>
      <c r="F452" s="36"/>
      <c r="G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7"/>
      <c r="AC452" s="36"/>
      <c r="AD452" s="36"/>
      <c r="AE452" s="37"/>
      <c r="AG452" s="36"/>
      <c r="AH452" s="36"/>
      <c r="AI452" s="36"/>
      <c r="AJ452" s="36"/>
      <c r="BG452" s="39"/>
      <c r="BH452" s="32"/>
    </row>
    <row r="453">
      <c r="A453" s="36"/>
      <c r="B453" s="36"/>
      <c r="E453" s="36"/>
      <c r="F453" s="36"/>
      <c r="G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7"/>
      <c r="AC453" s="36"/>
      <c r="AD453" s="36"/>
      <c r="AE453" s="37"/>
      <c r="AG453" s="36"/>
      <c r="AH453" s="36"/>
      <c r="AI453" s="36"/>
      <c r="AJ453" s="36"/>
      <c r="BG453" s="39"/>
      <c r="BH453" s="32"/>
    </row>
    <row r="454">
      <c r="A454" s="36"/>
      <c r="B454" s="36"/>
      <c r="E454" s="36"/>
      <c r="F454" s="36"/>
      <c r="G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7"/>
      <c r="AC454" s="36"/>
      <c r="AD454" s="36"/>
      <c r="AE454" s="37"/>
      <c r="AG454" s="36"/>
      <c r="AH454" s="36"/>
      <c r="AI454" s="36"/>
      <c r="AJ454" s="36"/>
      <c r="BG454" s="39"/>
      <c r="BH454" s="32"/>
    </row>
    <row r="455">
      <c r="A455" s="36"/>
      <c r="B455" s="36"/>
      <c r="E455" s="36"/>
      <c r="F455" s="36"/>
      <c r="G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7"/>
      <c r="AC455" s="36"/>
      <c r="AD455" s="36"/>
      <c r="AE455" s="37"/>
      <c r="AG455" s="36"/>
      <c r="AH455" s="36"/>
      <c r="AI455" s="36"/>
      <c r="AJ455" s="36"/>
      <c r="BG455" s="39"/>
      <c r="BH455" s="32"/>
    </row>
    <row r="456">
      <c r="A456" s="36"/>
      <c r="B456" s="36"/>
      <c r="E456" s="36"/>
      <c r="F456" s="36"/>
      <c r="G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7"/>
      <c r="AC456" s="36"/>
      <c r="AD456" s="36"/>
      <c r="AE456" s="37"/>
      <c r="AG456" s="36"/>
      <c r="AH456" s="36"/>
      <c r="AI456" s="36"/>
      <c r="AJ456" s="36"/>
      <c r="BG456" s="39"/>
      <c r="BH456" s="32"/>
    </row>
    <row r="457">
      <c r="A457" s="36"/>
      <c r="B457" s="36"/>
      <c r="E457" s="36"/>
      <c r="F457" s="36"/>
      <c r="G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7"/>
      <c r="AC457" s="36"/>
      <c r="AD457" s="36"/>
      <c r="AE457" s="37"/>
      <c r="AG457" s="36"/>
      <c r="AH457" s="36"/>
      <c r="AI457" s="36"/>
      <c r="AJ457" s="36"/>
      <c r="BG457" s="39"/>
      <c r="BH457" s="32"/>
    </row>
    <row r="458">
      <c r="A458" s="36"/>
      <c r="B458" s="36"/>
      <c r="E458" s="36"/>
      <c r="F458" s="36"/>
      <c r="G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7"/>
      <c r="AC458" s="36"/>
      <c r="AD458" s="36"/>
      <c r="AE458" s="37"/>
      <c r="AG458" s="36"/>
      <c r="AH458" s="36"/>
      <c r="AI458" s="36"/>
      <c r="AJ458" s="36"/>
      <c r="BG458" s="39"/>
      <c r="BH458" s="32"/>
    </row>
    <row r="459">
      <c r="A459" s="36"/>
      <c r="B459" s="36"/>
      <c r="E459" s="36"/>
      <c r="F459" s="36"/>
      <c r="G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7"/>
      <c r="AC459" s="36"/>
      <c r="AD459" s="36"/>
      <c r="AE459" s="37"/>
      <c r="AG459" s="36"/>
      <c r="AH459" s="36"/>
      <c r="AI459" s="36"/>
      <c r="AJ459" s="36"/>
      <c r="BG459" s="39"/>
      <c r="BH459" s="32"/>
    </row>
    <row r="460">
      <c r="A460" s="36"/>
      <c r="B460" s="36"/>
      <c r="E460" s="36"/>
      <c r="F460" s="36"/>
      <c r="G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7"/>
      <c r="AC460" s="36"/>
      <c r="AD460" s="36"/>
      <c r="AE460" s="37"/>
      <c r="AG460" s="36"/>
      <c r="AH460" s="36"/>
      <c r="AI460" s="36"/>
      <c r="AJ460" s="36"/>
      <c r="BG460" s="39"/>
      <c r="BH460" s="32"/>
    </row>
    <row r="461">
      <c r="A461" s="36"/>
      <c r="B461" s="36"/>
      <c r="E461" s="36"/>
      <c r="F461" s="36"/>
      <c r="G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7"/>
      <c r="AC461" s="36"/>
      <c r="AD461" s="36"/>
      <c r="AE461" s="37"/>
      <c r="AG461" s="36"/>
      <c r="AH461" s="36"/>
      <c r="AI461" s="36"/>
      <c r="AJ461" s="36"/>
      <c r="BG461" s="39"/>
      <c r="BH461" s="32"/>
    </row>
    <row r="462">
      <c r="A462" s="36"/>
      <c r="B462" s="36"/>
      <c r="E462" s="36"/>
      <c r="F462" s="36"/>
      <c r="G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7"/>
      <c r="AC462" s="36"/>
      <c r="AD462" s="36"/>
      <c r="AE462" s="37"/>
      <c r="AG462" s="36"/>
      <c r="AH462" s="36"/>
      <c r="AI462" s="36"/>
      <c r="AJ462" s="36"/>
      <c r="BG462" s="39"/>
      <c r="BH462" s="32"/>
    </row>
    <row r="463">
      <c r="A463" s="36"/>
      <c r="B463" s="36"/>
      <c r="E463" s="36"/>
      <c r="F463" s="36"/>
      <c r="G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7"/>
      <c r="AC463" s="36"/>
      <c r="AD463" s="36"/>
      <c r="AE463" s="37"/>
      <c r="AG463" s="36"/>
      <c r="AH463" s="36"/>
      <c r="AI463" s="36"/>
      <c r="AJ463" s="36"/>
      <c r="BG463" s="39"/>
      <c r="BH463" s="32"/>
    </row>
    <row r="464">
      <c r="A464" s="36"/>
      <c r="B464" s="36"/>
      <c r="E464" s="36"/>
      <c r="F464" s="36"/>
      <c r="G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7"/>
      <c r="AC464" s="36"/>
      <c r="AD464" s="36"/>
      <c r="AE464" s="37"/>
      <c r="AG464" s="36"/>
      <c r="AH464" s="36"/>
      <c r="AI464" s="36"/>
      <c r="AJ464" s="36"/>
      <c r="BG464" s="39"/>
      <c r="BH464" s="32"/>
    </row>
    <row r="465">
      <c r="A465" s="36"/>
      <c r="B465" s="36"/>
      <c r="E465" s="36"/>
      <c r="F465" s="36"/>
      <c r="G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7"/>
      <c r="AC465" s="36"/>
      <c r="AD465" s="36"/>
      <c r="AE465" s="37"/>
      <c r="AG465" s="36"/>
      <c r="AH465" s="36"/>
      <c r="AI465" s="36"/>
      <c r="AJ465" s="36"/>
      <c r="BG465" s="39"/>
      <c r="BH465" s="32"/>
    </row>
    <row r="466">
      <c r="A466" s="36"/>
      <c r="B466" s="36"/>
      <c r="E466" s="36"/>
      <c r="F466" s="36"/>
      <c r="G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7"/>
      <c r="AC466" s="36"/>
      <c r="AD466" s="36"/>
      <c r="AE466" s="37"/>
      <c r="AG466" s="36"/>
      <c r="AH466" s="36"/>
      <c r="AI466" s="36"/>
      <c r="AJ466" s="36"/>
      <c r="BG466" s="39"/>
      <c r="BH466" s="32"/>
    </row>
    <row r="467">
      <c r="A467" s="36"/>
      <c r="B467" s="36"/>
      <c r="E467" s="36"/>
      <c r="F467" s="36"/>
      <c r="G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7"/>
      <c r="AC467" s="36"/>
      <c r="AD467" s="36"/>
      <c r="AE467" s="37"/>
      <c r="AG467" s="36"/>
      <c r="AH467" s="36"/>
      <c r="AI467" s="36"/>
      <c r="AJ467" s="36"/>
      <c r="BG467" s="39"/>
      <c r="BH467" s="32"/>
    </row>
    <row r="468">
      <c r="A468" s="36"/>
      <c r="B468" s="36"/>
      <c r="E468" s="36"/>
      <c r="F468" s="36"/>
      <c r="G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7"/>
      <c r="AC468" s="36"/>
      <c r="AD468" s="36"/>
      <c r="AE468" s="37"/>
      <c r="AG468" s="36"/>
      <c r="AH468" s="36"/>
      <c r="AI468" s="36"/>
      <c r="AJ468" s="36"/>
      <c r="BG468" s="39"/>
      <c r="BH468" s="32"/>
    </row>
    <row r="469">
      <c r="A469" s="36"/>
      <c r="B469" s="36"/>
      <c r="E469" s="36"/>
      <c r="F469" s="36"/>
      <c r="G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7"/>
      <c r="AC469" s="36"/>
      <c r="AD469" s="36"/>
      <c r="AE469" s="37"/>
      <c r="AG469" s="36"/>
      <c r="AH469" s="36"/>
      <c r="AI469" s="36"/>
      <c r="AJ469" s="36"/>
      <c r="BG469" s="39"/>
      <c r="BH469" s="32"/>
    </row>
    <row r="470">
      <c r="A470" s="36"/>
      <c r="B470" s="36"/>
      <c r="E470" s="36"/>
      <c r="F470" s="36"/>
      <c r="G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7"/>
      <c r="AC470" s="36"/>
      <c r="AD470" s="36"/>
      <c r="AE470" s="37"/>
      <c r="AG470" s="36"/>
      <c r="AH470" s="36"/>
      <c r="AI470" s="36"/>
      <c r="AJ470" s="36"/>
      <c r="BG470" s="39"/>
      <c r="BH470" s="32"/>
    </row>
    <row r="471">
      <c r="A471" s="36"/>
      <c r="B471" s="36"/>
      <c r="E471" s="36"/>
      <c r="F471" s="36"/>
      <c r="G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7"/>
      <c r="AC471" s="36"/>
      <c r="AD471" s="36"/>
      <c r="AE471" s="37"/>
      <c r="AG471" s="36"/>
      <c r="AH471" s="36"/>
      <c r="AI471" s="36"/>
      <c r="AJ471" s="36"/>
      <c r="BG471" s="39"/>
      <c r="BH471" s="32"/>
    </row>
    <row r="472">
      <c r="A472" s="36"/>
      <c r="B472" s="36"/>
      <c r="E472" s="36"/>
      <c r="F472" s="36"/>
      <c r="G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7"/>
      <c r="AC472" s="36"/>
      <c r="AD472" s="36"/>
      <c r="AE472" s="37"/>
      <c r="AG472" s="36"/>
      <c r="AH472" s="36"/>
      <c r="AI472" s="36"/>
      <c r="AJ472" s="36"/>
      <c r="BG472" s="39"/>
      <c r="BH472" s="32"/>
    </row>
    <row r="473">
      <c r="A473" s="36"/>
      <c r="B473" s="36"/>
      <c r="E473" s="36"/>
      <c r="F473" s="36"/>
      <c r="G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7"/>
      <c r="AC473" s="36"/>
      <c r="AD473" s="36"/>
      <c r="AE473" s="37"/>
      <c r="AG473" s="36"/>
      <c r="AH473" s="36"/>
      <c r="AI473" s="36"/>
      <c r="AJ473" s="36"/>
      <c r="BG473" s="39"/>
      <c r="BH473" s="32"/>
    </row>
    <row r="474">
      <c r="A474" s="36"/>
      <c r="B474" s="36"/>
      <c r="E474" s="36"/>
      <c r="F474" s="36"/>
      <c r="G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7"/>
      <c r="AC474" s="36"/>
      <c r="AD474" s="36"/>
      <c r="AE474" s="37"/>
      <c r="AG474" s="36"/>
      <c r="AH474" s="36"/>
      <c r="AI474" s="36"/>
      <c r="AJ474" s="36"/>
      <c r="BG474" s="39"/>
      <c r="BH474" s="32"/>
    </row>
    <row r="475">
      <c r="A475" s="36"/>
      <c r="B475" s="36"/>
      <c r="E475" s="36"/>
      <c r="F475" s="36"/>
      <c r="G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7"/>
      <c r="AC475" s="36"/>
      <c r="AD475" s="36"/>
      <c r="AE475" s="37"/>
      <c r="AG475" s="36"/>
      <c r="AH475" s="36"/>
      <c r="AI475" s="36"/>
      <c r="AJ475" s="36"/>
      <c r="BG475" s="39"/>
      <c r="BH475" s="32"/>
    </row>
    <row r="476">
      <c r="A476" s="36"/>
      <c r="B476" s="36"/>
      <c r="E476" s="36"/>
      <c r="F476" s="36"/>
      <c r="G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7"/>
      <c r="AC476" s="36"/>
      <c r="AD476" s="36"/>
      <c r="AE476" s="37"/>
      <c r="AG476" s="36"/>
      <c r="AH476" s="36"/>
      <c r="AI476" s="36"/>
      <c r="AJ476" s="36"/>
      <c r="BG476" s="39"/>
      <c r="BH476" s="32"/>
    </row>
    <row r="477">
      <c r="A477" s="36"/>
      <c r="B477" s="36"/>
      <c r="E477" s="36"/>
      <c r="F477" s="36"/>
      <c r="G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7"/>
      <c r="AC477" s="36"/>
      <c r="AD477" s="36"/>
      <c r="AE477" s="37"/>
      <c r="AG477" s="36"/>
      <c r="AH477" s="36"/>
      <c r="AI477" s="36"/>
      <c r="AJ477" s="36"/>
      <c r="BG477" s="39"/>
      <c r="BH477" s="32"/>
    </row>
    <row r="478">
      <c r="A478" s="36"/>
      <c r="B478" s="36"/>
      <c r="E478" s="36"/>
      <c r="F478" s="36"/>
      <c r="G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7"/>
      <c r="AC478" s="36"/>
      <c r="AD478" s="36"/>
      <c r="AE478" s="37"/>
      <c r="AG478" s="36"/>
      <c r="AH478" s="36"/>
      <c r="AI478" s="36"/>
      <c r="AJ478" s="36"/>
      <c r="BG478" s="39"/>
      <c r="BH478" s="32"/>
    </row>
    <row r="479">
      <c r="A479" s="36"/>
      <c r="B479" s="36"/>
      <c r="E479" s="36"/>
      <c r="F479" s="36"/>
      <c r="G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7"/>
      <c r="AC479" s="36"/>
      <c r="AD479" s="36"/>
      <c r="AE479" s="37"/>
      <c r="AG479" s="36"/>
      <c r="AH479" s="36"/>
      <c r="AI479" s="36"/>
      <c r="AJ479" s="36"/>
      <c r="BG479" s="39"/>
      <c r="BH479" s="32"/>
    </row>
    <row r="480">
      <c r="A480" s="36"/>
      <c r="B480" s="36"/>
      <c r="E480" s="36"/>
      <c r="F480" s="36"/>
      <c r="G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7"/>
      <c r="AC480" s="36"/>
      <c r="AD480" s="36"/>
      <c r="AE480" s="37"/>
      <c r="AG480" s="36"/>
      <c r="AH480" s="36"/>
      <c r="AI480" s="36"/>
      <c r="AJ480" s="36"/>
      <c r="BG480" s="39"/>
      <c r="BH480" s="32"/>
    </row>
    <row r="481">
      <c r="A481" s="36"/>
      <c r="B481" s="36"/>
      <c r="E481" s="36"/>
      <c r="F481" s="36"/>
      <c r="G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7"/>
      <c r="AC481" s="36"/>
      <c r="AD481" s="36"/>
      <c r="AE481" s="37"/>
      <c r="AG481" s="36"/>
      <c r="AH481" s="36"/>
      <c r="AI481" s="36"/>
      <c r="AJ481" s="36"/>
      <c r="BG481" s="39"/>
      <c r="BH481" s="32"/>
    </row>
    <row r="482">
      <c r="A482" s="36"/>
      <c r="B482" s="36"/>
      <c r="E482" s="36"/>
      <c r="F482" s="36"/>
      <c r="G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7"/>
      <c r="AC482" s="36"/>
      <c r="AD482" s="36"/>
      <c r="AE482" s="37"/>
      <c r="AG482" s="36"/>
      <c r="AH482" s="36"/>
      <c r="AI482" s="36"/>
      <c r="AJ482" s="36"/>
      <c r="BG482" s="39"/>
      <c r="BH482" s="32"/>
    </row>
    <row r="483">
      <c r="A483" s="36"/>
      <c r="B483" s="36"/>
      <c r="E483" s="36"/>
      <c r="F483" s="36"/>
      <c r="G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7"/>
      <c r="AC483" s="36"/>
      <c r="AD483" s="36"/>
      <c r="AE483" s="37"/>
      <c r="AG483" s="36"/>
      <c r="AH483" s="36"/>
      <c r="AI483" s="36"/>
      <c r="AJ483" s="36"/>
      <c r="BG483" s="39"/>
      <c r="BH483" s="32"/>
    </row>
    <row r="484">
      <c r="A484" s="36"/>
      <c r="B484" s="36"/>
      <c r="E484" s="36"/>
      <c r="F484" s="36"/>
      <c r="G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7"/>
      <c r="AC484" s="36"/>
      <c r="AD484" s="36"/>
      <c r="AE484" s="37"/>
      <c r="AG484" s="36"/>
      <c r="AH484" s="36"/>
      <c r="AI484" s="36"/>
      <c r="AJ484" s="36"/>
      <c r="BG484" s="39"/>
      <c r="BH484" s="32"/>
    </row>
    <row r="485">
      <c r="A485" s="36"/>
      <c r="B485" s="36"/>
      <c r="E485" s="36"/>
      <c r="F485" s="36"/>
      <c r="G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7"/>
      <c r="AC485" s="36"/>
      <c r="AD485" s="36"/>
      <c r="AE485" s="37"/>
      <c r="AG485" s="36"/>
      <c r="AH485" s="36"/>
      <c r="AI485" s="36"/>
      <c r="AJ485" s="36"/>
      <c r="BG485" s="39"/>
      <c r="BH485" s="32"/>
    </row>
    <row r="486">
      <c r="A486" s="36"/>
      <c r="B486" s="36"/>
      <c r="E486" s="36"/>
      <c r="F486" s="36"/>
      <c r="G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7"/>
      <c r="AC486" s="36"/>
      <c r="AD486" s="36"/>
      <c r="AE486" s="37"/>
      <c r="AG486" s="36"/>
      <c r="AH486" s="36"/>
      <c r="AI486" s="36"/>
      <c r="AJ486" s="36"/>
      <c r="BG486" s="39"/>
      <c r="BH486" s="32"/>
    </row>
    <row r="487">
      <c r="A487" s="36"/>
      <c r="B487" s="36"/>
      <c r="E487" s="36"/>
      <c r="F487" s="36"/>
      <c r="G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7"/>
      <c r="AC487" s="36"/>
      <c r="AD487" s="36"/>
      <c r="AE487" s="37"/>
      <c r="AG487" s="36"/>
      <c r="AH487" s="36"/>
      <c r="AI487" s="36"/>
      <c r="AJ487" s="36"/>
      <c r="BG487" s="39"/>
      <c r="BH487" s="32"/>
    </row>
    <row r="488">
      <c r="A488" s="36"/>
      <c r="B488" s="36"/>
      <c r="E488" s="36"/>
      <c r="F488" s="36"/>
      <c r="G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7"/>
      <c r="AC488" s="36"/>
      <c r="AD488" s="36"/>
      <c r="AE488" s="37"/>
      <c r="AG488" s="36"/>
      <c r="AH488" s="36"/>
      <c r="AI488" s="36"/>
      <c r="AJ488" s="36"/>
      <c r="BG488" s="39"/>
      <c r="BH488" s="32"/>
    </row>
    <row r="489">
      <c r="A489" s="36"/>
      <c r="B489" s="36"/>
      <c r="E489" s="36"/>
      <c r="F489" s="36"/>
      <c r="G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7"/>
      <c r="AC489" s="36"/>
      <c r="AD489" s="36"/>
      <c r="AE489" s="37"/>
      <c r="AG489" s="36"/>
      <c r="AH489" s="36"/>
      <c r="AI489" s="36"/>
      <c r="AJ489" s="36"/>
      <c r="BG489" s="39"/>
      <c r="BH489" s="32"/>
    </row>
    <row r="490">
      <c r="A490" s="36"/>
      <c r="B490" s="36"/>
      <c r="E490" s="36"/>
      <c r="F490" s="36"/>
      <c r="G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7"/>
      <c r="AC490" s="36"/>
      <c r="AD490" s="36"/>
      <c r="AE490" s="37"/>
      <c r="AG490" s="36"/>
      <c r="AH490" s="36"/>
      <c r="AI490" s="36"/>
      <c r="AJ490" s="36"/>
      <c r="BG490" s="39"/>
      <c r="BH490" s="32"/>
    </row>
    <row r="491">
      <c r="A491" s="36"/>
      <c r="B491" s="36"/>
      <c r="E491" s="36"/>
      <c r="F491" s="36"/>
      <c r="G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7"/>
      <c r="AC491" s="36"/>
      <c r="AD491" s="36"/>
      <c r="AE491" s="37"/>
      <c r="AG491" s="36"/>
      <c r="AH491" s="36"/>
      <c r="AI491" s="36"/>
      <c r="AJ491" s="36"/>
      <c r="BG491" s="39"/>
      <c r="BH491" s="32"/>
    </row>
    <row r="492">
      <c r="A492" s="36"/>
      <c r="B492" s="36"/>
      <c r="E492" s="36"/>
      <c r="F492" s="36"/>
      <c r="G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7"/>
      <c r="AC492" s="36"/>
      <c r="AD492" s="36"/>
      <c r="AE492" s="37"/>
      <c r="AG492" s="36"/>
      <c r="AH492" s="36"/>
      <c r="AI492" s="36"/>
      <c r="AJ492" s="36"/>
      <c r="BG492" s="39"/>
      <c r="BH492" s="32"/>
    </row>
    <row r="493">
      <c r="A493" s="36"/>
      <c r="B493" s="36"/>
      <c r="E493" s="36"/>
      <c r="F493" s="36"/>
      <c r="G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7"/>
      <c r="AC493" s="36"/>
      <c r="AD493" s="36"/>
      <c r="AE493" s="37"/>
      <c r="AG493" s="36"/>
      <c r="AH493" s="36"/>
      <c r="AI493" s="36"/>
      <c r="AJ493" s="36"/>
      <c r="BG493" s="39"/>
      <c r="BH493" s="32"/>
    </row>
    <row r="494">
      <c r="A494" s="36"/>
      <c r="B494" s="36"/>
      <c r="E494" s="36"/>
      <c r="F494" s="36"/>
      <c r="G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7"/>
      <c r="AC494" s="36"/>
      <c r="AD494" s="36"/>
      <c r="AE494" s="37"/>
      <c r="AG494" s="36"/>
      <c r="AH494" s="36"/>
      <c r="AI494" s="36"/>
      <c r="AJ494" s="36"/>
      <c r="BG494" s="39"/>
      <c r="BH494" s="32"/>
    </row>
    <row r="495">
      <c r="A495" s="36"/>
      <c r="B495" s="36"/>
      <c r="E495" s="36"/>
      <c r="F495" s="36"/>
      <c r="G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7"/>
      <c r="AC495" s="36"/>
      <c r="AD495" s="36"/>
      <c r="AE495" s="37"/>
      <c r="AG495" s="36"/>
      <c r="AH495" s="36"/>
      <c r="AI495" s="36"/>
      <c r="AJ495" s="36"/>
      <c r="BG495" s="39"/>
      <c r="BH495" s="32"/>
    </row>
    <row r="496">
      <c r="A496" s="36"/>
      <c r="B496" s="36"/>
      <c r="E496" s="36"/>
      <c r="F496" s="36"/>
      <c r="G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7"/>
      <c r="AC496" s="36"/>
      <c r="AD496" s="36"/>
      <c r="AE496" s="37"/>
      <c r="AG496" s="36"/>
      <c r="AH496" s="36"/>
      <c r="AI496" s="36"/>
      <c r="AJ496" s="36"/>
      <c r="BG496" s="39"/>
      <c r="BH496" s="32"/>
    </row>
    <row r="497">
      <c r="A497" s="36"/>
      <c r="B497" s="36"/>
      <c r="E497" s="36"/>
      <c r="F497" s="36"/>
      <c r="G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7"/>
      <c r="AC497" s="36"/>
      <c r="AD497" s="36"/>
      <c r="AE497" s="37"/>
      <c r="AG497" s="36"/>
      <c r="AH497" s="36"/>
      <c r="AI497" s="36"/>
      <c r="AJ497" s="36"/>
      <c r="BG497" s="39"/>
      <c r="BH497" s="32"/>
    </row>
    <row r="498">
      <c r="A498" s="36"/>
      <c r="B498" s="36"/>
      <c r="E498" s="36"/>
      <c r="F498" s="36"/>
      <c r="G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7"/>
      <c r="AC498" s="36"/>
      <c r="AD498" s="36"/>
      <c r="AE498" s="37"/>
      <c r="AG498" s="36"/>
      <c r="AH498" s="36"/>
      <c r="AI498" s="36"/>
      <c r="AJ498" s="36"/>
      <c r="BG498" s="39"/>
      <c r="BH498" s="32"/>
    </row>
    <row r="499">
      <c r="A499" s="36"/>
      <c r="B499" s="36"/>
      <c r="E499" s="36"/>
      <c r="F499" s="36"/>
      <c r="G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7"/>
      <c r="AC499" s="36"/>
      <c r="AD499" s="36"/>
      <c r="AE499" s="37"/>
      <c r="AG499" s="36"/>
      <c r="AH499" s="36"/>
      <c r="AI499" s="36"/>
      <c r="AJ499" s="36"/>
      <c r="BG499" s="39"/>
      <c r="BH499" s="32"/>
    </row>
    <row r="500">
      <c r="A500" s="36"/>
      <c r="B500" s="36"/>
      <c r="E500" s="36"/>
      <c r="F500" s="36"/>
      <c r="G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7"/>
      <c r="AC500" s="36"/>
      <c r="AD500" s="36"/>
      <c r="AE500" s="37"/>
      <c r="AG500" s="36"/>
      <c r="AH500" s="36"/>
      <c r="AI500" s="36"/>
      <c r="AJ500" s="36"/>
      <c r="BG500" s="39"/>
      <c r="BH500" s="32"/>
    </row>
    <row r="501">
      <c r="A501" s="36"/>
      <c r="B501" s="36"/>
      <c r="E501" s="36"/>
      <c r="F501" s="36"/>
      <c r="G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7"/>
      <c r="AC501" s="36"/>
      <c r="AD501" s="36"/>
      <c r="AE501" s="37"/>
      <c r="AG501" s="36"/>
      <c r="AH501" s="36"/>
      <c r="AI501" s="36"/>
      <c r="AJ501" s="36"/>
      <c r="BG501" s="39"/>
      <c r="BH501" s="32"/>
    </row>
    <row r="502">
      <c r="A502" s="36"/>
      <c r="B502" s="36"/>
      <c r="E502" s="36"/>
      <c r="F502" s="36"/>
      <c r="G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7"/>
      <c r="AC502" s="36"/>
      <c r="AD502" s="36"/>
      <c r="AE502" s="37"/>
      <c r="AG502" s="36"/>
      <c r="AH502" s="36"/>
      <c r="AI502" s="36"/>
      <c r="AJ502" s="36"/>
      <c r="BG502" s="39"/>
      <c r="BH502" s="32"/>
    </row>
    <row r="503">
      <c r="A503" s="36"/>
      <c r="B503" s="36"/>
      <c r="E503" s="36"/>
      <c r="F503" s="36"/>
      <c r="G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7"/>
      <c r="AC503" s="36"/>
      <c r="AD503" s="36"/>
      <c r="AE503" s="37"/>
      <c r="AG503" s="36"/>
      <c r="AH503" s="36"/>
      <c r="AI503" s="36"/>
      <c r="AJ503" s="36"/>
      <c r="BG503" s="39"/>
      <c r="BH503" s="32"/>
    </row>
    <row r="504">
      <c r="A504" s="36"/>
      <c r="B504" s="36"/>
      <c r="E504" s="36"/>
      <c r="F504" s="36"/>
      <c r="G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7"/>
      <c r="AC504" s="36"/>
      <c r="AD504" s="36"/>
      <c r="AE504" s="37"/>
      <c r="AG504" s="36"/>
      <c r="AH504" s="36"/>
      <c r="AI504" s="36"/>
      <c r="AJ504" s="36"/>
      <c r="BG504" s="39"/>
      <c r="BH504" s="32"/>
    </row>
    <row r="505">
      <c r="A505" s="36"/>
      <c r="B505" s="36"/>
      <c r="E505" s="36"/>
      <c r="F505" s="36"/>
      <c r="G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7"/>
      <c r="AC505" s="36"/>
      <c r="AD505" s="36"/>
      <c r="AE505" s="37"/>
      <c r="AG505" s="36"/>
      <c r="AH505" s="36"/>
      <c r="AI505" s="36"/>
      <c r="AJ505" s="36"/>
      <c r="BG505" s="39"/>
      <c r="BH505" s="32"/>
    </row>
    <row r="506">
      <c r="A506" s="36"/>
      <c r="B506" s="36"/>
      <c r="E506" s="36"/>
      <c r="F506" s="36"/>
      <c r="G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7"/>
      <c r="AC506" s="36"/>
      <c r="AD506" s="36"/>
      <c r="AE506" s="37"/>
      <c r="AG506" s="36"/>
      <c r="AH506" s="36"/>
      <c r="AI506" s="36"/>
      <c r="AJ506" s="36"/>
      <c r="BG506" s="39"/>
      <c r="BH506" s="32"/>
    </row>
    <row r="507">
      <c r="A507" s="36"/>
      <c r="B507" s="36"/>
      <c r="E507" s="36"/>
      <c r="F507" s="36"/>
      <c r="G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7"/>
      <c r="AC507" s="36"/>
      <c r="AD507" s="36"/>
      <c r="AE507" s="37"/>
      <c r="AG507" s="36"/>
      <c r="AH507" s="36"/>
      <c r="AI507" s="36"/>
      <c r="AJ507" s="36"/>
      <c r="BG507" s="39"/>
      <c r="BH507" s="32"/>
    </row>
    <row r="508">
      <c r="A508" s="36"/>
      <c r="B508" s="36"/>
      <c r="E508" s="36"/>
      <c r="F508" s="36"/>
      <c r="G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7"/>
      <c r="AC508" s="36"/>
      <c r="AD508" s="36"/>
      <c r="AE508" s="37"/>
      <c r="AG508" s="36"/>
      <c r="AH508" s="36"/>
      <c r="AI508" s="36"/>
      <c r="AJ508" s="36"/>
      <c r="BG508" s="39"/>
      <c r="BH508" s="32"/>
    </row>
    <row r="509">
      <c r="A509" s="36"/>
      <c r="B509" s="36"/>
      <c r="E509" s="36"/>
      <c r="F509" s="36"/>
      <c r="G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7"/>
      <c r="AC509" s="36"/>
      <c r="AD509" s="36"/>
      <c r="AE509" s="37"/>
      <c r="AG509" s="36"/>
      <c r="AH509" s="36"/>
      <c r="AI509" s="36"/>
      <c r="AJ509" s="36"/>
      <c r="BG509" s="39"/>
      <c r="BH509" s="32"/>
    </row>
    <row r="510">
      <c r="A510" s="36"/>
      <c r="B510" s="36"/>
      <c r="E510" s="36"/>
      <c r="F510" s="36"/>
      <c r="G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7"/>
      <c r="AC510" s="36"/>
      <c r="AD510" s="36"/>
      <c r="AE510" s="37"/>
      <c r="AG510" s="36"/>
      <c r="AH510" s="36"/>
      <c r="AI510" s="36"/>
      <c r="AJ510" s="36"/>
      <c r="BG510" s="39"/>
      <c r="BH510" s="32"/>
    </row>
    <row r="511">
      <c r="A511" s="36"/>
      <c r="B511" s="36"/>
      <c r="E511" s="36"/>
      <c r="F511" s="36"/>
      <c r="G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7"/>
      <c r="AC511" s="36"/>
      <c r="AD511" s="36"/>
      <c r="AE511" s="37"/>
      <c r="AG511" s="36"/>
      <c r="AH511" s="36"/>
      <c r="AI511" s="36"/>
      <c r="AJ511" s="36"/>
      <c r="BG511" s="39"/>
      <c r="BH511" s="32"/>
    </row>
    <row r="512">
      <c r="A512" s="36"/>
      <c r="B512" s="36"/>
      <c r="E512" s="36"/>
      <c r="F512" s="36"/>
      <c r="G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7"/>
      <c r="AC512" s="36"/>
      <c r="AD512" s="36"/>
      <c r="AE512" s="37"/>
      <c r="AG512" s="36"/>
      <c r="AH512" s="36"/>
      <c r="AI512" s="36"/>
      <c r="AJ512" s="36"/>
      <c r="BG512" s="39"/>
      <c r="BH512" s="32"/>
    </row>
    <row r="513">
      <c r="A513" s="36"/>
      <c r="B513" s="36"/>
      <c r="E513" s="36"/>
      <c r="F513" s="36"/>
      <c r="G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7"/>
      <c r="AC513" s="36"/>
      <c r="AD513" s="36"/>
      <c r="AE513" s="37"/>
      <c r="AG513" s="36"/>
      <c r="AH513" s="36"/>
      <c r="AI513" s="36"/>
      <c r="AJ513" s="36"/>
      <c r="BG513" s="39"/>
      <c r="BH513" s="32"/>
    </row>
    <row r="514">
      <c r="A514" s="36"/>
      <c r="B514" s="36"/>
      <c r="E514" s="36"/>
      <c r="F514" s="36"/>
      <c r="G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7"/>
      <c r="AC514" s="36"/>
      <c r="AD514" s="36"/>
      <c r="AE514" s="37"/>
      <c r="AG514" s="36"/>
      <c r="AH514" s="36"/>
      <c r="AI514" s="36"/>
      <c r="AJ514" s="36"/>
      <c r="BG514" s="39"/>
      <c r="BH514" s="32"/>
    </row>
    <row r="515">
      <c r="A515" s="36"/>
      <c r="B515" s="36"/>
      <c r="E515" s="36"/>
      <c r="F515" s="36"/>
      <c r="G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7"/>
      <c r="AC515" s="36"/>
      <c r="AD515" s="36"/>
      <c r="AE515" s="37"/>
      <c r="AG515" s="36"/>
      <c r="AH515" s="36"/>
      <c r="AI515" s="36"/>
      <c r="AJ515" s="36"/>
      <c r="BG515" s="39"/>
      <c r="BH515" s="32"/>
    </row>
    <row r="516">
      <c r="A516" s="36"/>
      <c r="B516" s="36"/>
      <c r="E516" s="36"/>
      <c r="F516" s="36"/>
      <c r="G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7"/>
      <c r="AC516" s="36"/>
      <c r="AD516" s="36"/>
      <c r="AE516" s="37"/>
      <c r="AG516" s="36"/>
      <c r="AH516" s="36"/>
      <c r="AI516" s="36"/>
      <c r="AJ516" s="36"/>
      <c r="BG516" s="39"/>
      <c r="BH516" s="32"/>
    </row>
    <row r="517">
      <c r="A517" s="36"/>
      <c r="B517" s="36"/>
      <c r="E517" s="36"/>
      <c r="F517" s="36"/>
      <c r="G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7"/>
      <c r="AC517" s="36"/>
      <c r="AD517" s="36"/>
      <c r="AE517" s="37"/>
      <c r="AG517" s="36"/>
      <c r="AH517" s="36"/>
      <c r="AI517" s="36"/>
      <c r="AJ517" s="36"/>
      <c r="BG517" s="39"/>
      <c r="BH517" s="32"/>
    </row>
    <row r="518">
      <c r="A518" s="36"/>
      <c r="B518" s="36"/>
      <c r="E518" s="36"/>
      <c r="F518" s="36"/>
      <c r="G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7"/>
      <c r="AC518" s="36"/>
      <c r="AD518" s="36"/>
      <c r="AE518" s="37"/>
      <c r="AG518" s="36"/>
      <c r="AH518" s="36"/>
      <c r="AI518" s="36"/>
      <c r="AJ518" s="36"/>
      <c r="BG518" s="39"/>
      <c r="BH518" s="32"/>
    </row>
    <row r="519">
      <c r="A519" s="36"/>
      <c r="B519" s="36"/>
      <c r="E519" s="36"/>
      <c r="F519" s="36"/>
      <c r="G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7"/>
      <c r="AC519" s="36"/>
      <c r="AD519" s="36"/>
      <c r="AE519" s="37"/>
      <c r="AG519" s="36"/>
      <c r="AH519" s="36"/>
      <c r="AI519" s="36"/>
      <c r="AJ519" s="36"/>
      <c r="BG519" s="39"/>
      <c r="BH519" s="32"/>
    </row>
    <row r="520">
      <c r="A520" s="36"/>
      <c r="B520" s="36"/>
      <c r="E520" s="36"/>
      <c r="F520" s="36"/>
      <c r="G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7"/>
      <c r="AC520" s="36"/>
      <c r="AD520" s="36"/>
      <c r="AE520" s="37"/>
      <c r="AG520" s="36"/>
      <c r="AH520" s="36"/>
      <c r="AI520" s="36"/>
      <c r="AJ520" s="36"/>
      <c r="BG520" s="39"/>
      <c r="BH520" s="32"/>
    </row>
    <row r="521">
      <c r="A521" s="36"/>
      <c r="B521" s="36"/>
      <c r="E521" s="36"/>
      <c r="F521" s="36"/>
      <c r="G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7"/>
      <c r="AC521" s="36"/>
      <c r="AD521" s="36"/>
      <c r="AE521" s="37"/>
      <c r="AG521" s="36"/>
      <c r="AH521" s="36"/>
      <c r="AI521" s="36"/>
      <c r="AJ521" s="36"/>
      <c r="BG521" s="39"/>
      <c r="BH521" s="32"/>
    </row>
    <row r="522">
      <c r="A522" s="36"/>
      <c r="B522" s="36"/>
      <c r="E522" s="36"/>
      <c r="F522" s="36"/>
      <c r="G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7"/>
      <c r="AC522" s="36"/>
      <c r="AD522" s="36"/>
      <c r="AE522" s="37"/>
      <c r="AG522" s="36"/>
      <c r="AH522" s="36"/>
      <c r="AI522" s="36"/>
      <c r="AJ522" s="36"/>
      <c r="BG522" s="39"/>
      <c r="BH522" s="32"/>
    </row>
    <row r="523">
      <c r="A523" s="36"/>
      <c r="B523" s="36"/>
      <c r="E523" s="36"/>
      <c r="F523" s="36"/>
      <c r="G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7"/>
      <c r="AC523" s="36"/>
      <c r="AD523" s="36"/>
      <c r="AE523" s="37"/>
      <c r="AG523" s="36"/>
      <c r="AH523" s="36"/>
      <c r="AI523" s="36"/>
      <c r="AJ523" s="36"/>
      <c r="BG523" s="39"/>
      <c r="BH523" s="32"/>
    </row>
    <row r="524">
      <c r="A524" s="36"/>
      <c r="B524" s="36"/>
      <c r="E524" s="36"/>
      <c r="F524" s="36"/>
      <c r="G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7"/>
      <c r="AC524" s="36"/>
      <c r="AD524" s="36"/>
      <c r="AE524" s="37"/>
      <c r="AG524" s="36"/>
      <c r="AH524" s="36"/>
      <c r="AI524" s="36"/>
      <c r="AJ524" s="36"/>
      <c r="BG524" s="39"/>
      <c r="BH524" s="32"/>
    </row>
    <row r="525">
      <c r="A525" s="36"/>
      <c r="B525" s="36"/>
      <c r="E525" s="36"/>
      <c r="F525" s="36"/>
      <c r="G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7"/>
      <c r="AC525" s="36"/>
      <c r="AD525" s="36"/>
      <c r="AE525" s="37"/>
      <c r="AG525" s="36"/>
      <c r="AH525" s="36"/>
      <c r="AI525" s="36"/>
      <c r="AJ525" s="36"/>
      <c r="BG525" s="39"/>
      <c r="BH525" s="32"/>
    </row>
    <row r="526">
      <c r="A526" s="36"/>
      <c r="B526" s="36"/>
      <c r="E526" s="36"/>
      <c r="F526" s="36"/>
      <c r="G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7"/>
      <c r="AC526" s="36"/>
      <c r="AD526" s="36"/>
      <c r="AE526" s="37"/>
      <c r="AG526" s="36"/>
      <c r="AH526" s="36"/>
      <c r="AI526" s="36"/>
      <c r="AJ526" s="36"/>
      <c r="BG526" s="39"/>
      <c r="BH526" s="32"/>
    </row>
    <row r="527">
      <c r="A527" s="36"/>
      <c r="B527" s="36"/>
      <c r="E527" s="36"/>
      <c r="F527" s="36"/>
      <c r="G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7"/>
      <c r="AC527" s="36"/>
      <c r="AD527" s="36"/>
      <c r="AE527" s="37"/>
      <c r="AG527" s="36"/>
      <c r="AH527" s="36"/>
      <c r="AI527" s="36"/>
      <c r="AJ527" s="36"/>
      <c r="BG527" s="39"/>
      <c r="BH527" s="32"/>
    </row>
    <row r="528">
      <c r="A528" s="36"/>
      <c r="B528" s="36"/>
      <c r="E528" s="36"/>
      <c r="F528" s="36"/>
      <c r="G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7"/>
      <c r="AC528" s="36"/>
      <c r="AD528" s="36"/>
      <c r="AE528" s="37"/>
      <c r="AG528" s="36"/>
      <c r="AH528" s="36"/>
      <c r="AI528" s="36"/>
      <c r="AJ528" s="36"/>
      <c r="BG528" s="39"/>
      <c r="BH528" s="32"/>
    </row>
    <row r="529">
      <c r="A529" s="36"/>
      <c r="B529" s="36"/>
      <c r="E529" s="36"/>
      <c r="F529" s="36"/>
      <c r="G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7"/>
      <c r="AC529" s="36"/>
      <c r="AD529" s="36"/>
      <c r="AE529" s="37"/>
      <c r="AG529" s="36"/>
      <c r="AH529" s="36"/>
      <c r="AI529" s="36"/>
      <c r="AJ529" s="36"/>
      <c r="BG529" s="39"/>
      <c r="BH529" s="32"/>
    </row>
    <row r="530">
      <c r="A530" s="36"/>
      <c r="B530" s="36"/>
      <c r="E530" s="36"/>
      <c r="F530" s="36"/>
      <c r="G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7"/>
      <c r="AC530" s="36"/>
      <c r="AD530" s="36"/>
      <c r="AE530" s="37"/>
      <c r="AG530" s="36"/>
      <c r="AH530" s="36"/>
      <c r="AI530" s="36"/>
      <c r="AJ530" s="36"/>
      <c r="BG530" s="39"/>
      <c r="BH530" s="32"/>
    </row>
    <row r="531">
      <c r="A531" s="36"/>
      <c r="B531" s="36"/>
      <c r="E531" s="36"/>
      <c r="F531" s="36"/>
      <c r="G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7"/>
      <c r="AC531" s="36"/>
      <c r="AD531" s="36"/>
      <c r="AE531" s="37"/>
      <c r="AG531" s="36"/>
      <c r="AH531" s="36"/>
      <c r="AI531" s="36"/>
      <c r="AJ531" s="36"/>
      <c r="BG531" s="39"/>
      <c r="BH531" s="32"/>
    </row>
    <row r="532">
      <c r="A532" s="36"/>
      <c r="B532" s="36"/>
      <c r="E532" s="36"/>
      <c r="F532" s="36"/>
      <c r="G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7"/>
      <c r="AC532" s="36"/>
      <c r="AD532" s="36"/>
      <c r="AE532" s="37"/>
      <c r="AG532" s="36"/>
      <c r="AH532" s="36"/>
      <c r="AI532" s="36"/>
      <c r="AJ532" s="36"/>
      <c r="BG532" s="39"/>
      <c r="BH532" s="32"/>
    </row>
    <row r="533">
      <c r="A533" s="36"/>
      <c r="B533" s="36"/>
      <c r="E533" s="36"/>
      <c r="F533" s="36"/>
      <c r="G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7"/>
      <c r="AC533" s="36"/>
      <c r="AD533" s="36"/>
      <c r="AE533" s="37"/>
      <c r="AG533" s="36"/>
      <c r="AH533" s="36"/>
      <c r="AI533" s="36"/>
      <c r="AJ533" s="36"/>
      <c r="BG533" s="39"/>
      <c r="BH533" s="32"/>
    </row>
    <row r="534">
      <c r="A534" s="36"/>
      <c r="B534" s="36"/>
      <c r="E534" s="36"/>
      <c r="F534" s="36"/>
      <c r="G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7"/>
      <c r="AC534" s="36"/>
      <c r="AD534" s="36"/>
      <c r="AE534" s="37"/>
      <c r="AG534" s="36"/>
      <c r="AH534" s="36"/>
      <c r="AI534" s="36"/>
      <c r="AJ534" s="36"/>
      <c r="BG534" s="39"/>
      <c r="BH534" s="32"/>
    </row>
    <row r="535">
      <c r="A535" s="36"/>
      <c r="B535" s="36"/>
      <c r="E535" s="36"/>
      <c r="F535" s="36"/>
      <c r="G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7"/>
      <c r="AC535" s="36"/>
      <c r="AD535" s="36"/>
      <c r="AE535" s="37"/>
      <c r="AG535" s="36"/>
      <c r="AH535" s="36"/>
      <c r="AI535" s="36"/>
      <c r="AJ535" s="36"/>
      <c r="BG535" s="39"/>
      <c r="BH535" s="32"/>
    </row>
    <row r="536">
      <c r="A536" s="36"/>
      <c r="B536" s="36"/>
      <c r="E536" s="36"/>
      <c r="F536" s="36"/>
      <c r="G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7"/>
      <c r="AC536" s="36"/>
      <c r="AD536" s="36"/>
      <c r="AE536" s="37"/>
      <c r="AG536" s="36"/>
      <c r="AH536" s="36"/>
      <c r="AI536" s="36"/>
      <c r="AJ536" s="36"/>
      <c r="BG536" s="39"/>
      <c r="BH536" s="32"/>
    </row>
    <row r="537">
      <c r="A537" s="36"/>
      <c r="B537" s="36"/>
      <c r="E537" s="36"/>
      <c r="F537" s="36"/>
      <c r="G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7"/>
      <c r="AC537" s="36"/>
      <c r="AD537" s="36"/>
      <c r="AE537" s="37"/>
      <c r="AG537" s="36"/>
      <c r="AH537" s="36"/>
      <c r="AI537" s="36"/>
      <c r="AJ537" s="36"/>
      <c r="BG537" s="39"/>
      <c r="BH537" s="32"/>
    </row>
    <row r="538">
      <c r="A538" s="36"/>
      <c r="B538" s="36"/>
      <c r="E538" s="36"/>
      <c r="F538" s="36"/>
      <c r="G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7"/>
      <c r="AC538" s="36"/>
      <c r="AD538" s="36"/>
      <c r="AE538" s="37"/>
      <c r="AG538" s="36"/>
      <c r="AH538" s="36"/>
      <c r="AI538" s="36"/>
      <c r="AJ538" s="36"/>
      <c r="BG538" s="39"/>
      <c r="BH538" s="32"/>
    </row>
    <row r="539">
      <c r="A539" s="36"/>
      <c r="B539" s="36"/>
      <c r="E539" s="36"/>
      <c r="F539" s="36"/>
      <c r="G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7"/>
      <c r="AC539" s="36"/>
      <c r="AD539" s="36"/>
      <c r="AE539" s="37"/>
      <c r="AG539" s="36"/>
      <c r="AH539" s="36"/>
      <c r="AI539" s="36"/>
      <c r="AJ539" s="36"/>
      <c r="BG539" s="39"/>
      <c r="BH539" s="32"/>
    </row>
    <row r="540">
      <c r="A540" s="36"/>
      <c r="B540" s="36"/>
      <c r="E540" s="36"/>
      <c r="F540" s="36"/>
      <c r="G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7"/>
      <c r="AC540" s="36"/>
      <c r="AD540" s="36"/>
      <c r="AE540" s="37"/>
      <c r="AG540" s="36"/>
      <c r="AH540" s="36"/>
      <c r="AI540" s="36"/>
      <c r="AJ540" s="36"/>
      <c r="BG540" s="39"/>
      <c r="BH540" s="32"/>
    </row>
    <row r="541">
      <c r="A541" s="36"/>
      <c r="B541" s="36"/>
      <c r="E541" s="36"/>
      <c r="F541" s="36"/>
      <c r="G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7"/>
      <c r="AC541" s="36"/>
      <c r="AD541" s="36"/>
      <c r="AE541" s="37"/>
      <c r="AG541" s="36"/>
      <c r="AH541" s="36"/>
      <c r="AI541" s="36"/>
      <c r="AJ541" s="36"/>
      <c r="BG541" s="39"/>
      <c r="BH541" s="32"/>
    </row>
    <row r="542">
      <c r="A542" s="36"/>
      <c r="B542" s="36"/>
      <c r="E542" s="36"/>
      <c r="F542" s="36"/>
      <c r="G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7"/>
      <c r="AC542" s="36"/>
      <c r="AD542" s="36"/>
      <c r="AE542" s="37"/>
      <c r="AG542" s="36"/>
      <c r="AH542" s="36"/>
      <c r="AI542" s="36"/>
      <c r="AJ542" s="36"/>
      <c r="BG542" s="39"/>
      <c r="BH542" s="32"/>
    </row>
    <row r="543">
      <c r="A543" s="36"/>
      <c r="B543" s="36"/>
      <c r="E543" s="36"/>
      <c r="F543" s="36"/>
      <c r="G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7"/>
      <c r="AC543" s="36"/>
      <c r="AD543" s="36"/>
      <c r="AE543" s="37"/>
      <c r="AG543" s="36"/>
      <c r="AH543" s="36"/>
      <c r="AI543" s="36"/>
      <c r="AJ543" s="36"/>
      <c r="BG543" s="39"/>
      <c r="BH543" s="32"/>
    </row>
    <row r="544">
      <c r="A544" s="36"/>
      <c r="B544" s="36"/>
      <c r="E544" s="36"/>
      <c r="F544" s="36"/>
      <c r="G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7"/>
      <c r="AC544" s="36"/>
      <c r="AD544" s="36"/>
      <c r="AE544" s="37"/>
      <c r="AG544" s="36"/>
      <c r="AH544" s="36"/>
      <c r="AI544" s="36"/>
      <c r="AJ544" s="36"/>
      <c r="BG544" s="39"/>
      <c r="BH544" s="32"/>
    </row>
    <row r="545">
      <c r="A545" s="36"/>
      <c r="B545" s="36"/>
      <c r="E545" s="36"/>
      <c r="F545" s="36"/>
      <c r="G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7"/>
      <c r="AC545" s="36"/>
      <c r="AD545" s="36"/>
      <c r="AE545" s="37"/>
      <c r="AG545" s="36"/>
      <c r="AH545" s="36"/>
      <c r="AI545" s="36"/>
      <c r="AJ545" s="36"/>
      <c r="BG545" s="39"/>
      <c r="BH545" s="32"/>
    </row>
    <row r="546">
      <c r="A546" s="36"/>
      <c r="B546" s="36"/>
      <c r="E546" s="36"/>
      <c r="F546" s="36"/>
      <c r="G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7"/>
      <c r="AC546" s="36"/>
      <c r="AD546" s="36"/>
      <c r="AE546" s="37"/>
      <c r="AG546" s="36"/>
      <c r="AH546" s="36"/>
      <c r="AI546" s="36"/>
      <c r="AJ546" s="36"/>
      <c r="BG546" s="39"/>
      <c r="BH546" s="32"/>
    </row>
    <row r="547">
      <c r="A547" s="36"/>
      <c r="B547" s="36"/>
      <c r="E547" s="36"/>
      <c r="F547" s="36"/>
      <c r="G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7"/>
      <c r="AC547" s="36"/>
      <c r="AD547" s="36"/>
      <c r="AE547" s="37"/>
      <c r="AG547" s="36"/>
      <c r="AH547" s="36"/>
      <c r="AI547" s="36"/>
      <c r="AJ547" s="36"/>
      <c r="BG547" s="39"/>
      <c r="BH547" s="32"/>
    </row>
    <row r="548">
      <c r="A548" s="36"/>
      <c r="B548" s="36"/>
      <c r="E548" s="36"/>
      <c r="F548" s="36"/>
      <c r="G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7"/>
      <c r="AC548" s="36"/>
      <c r="AD548" s="36"/>
      <c r="AE548" s="37"/>
      <c r="AG548" s="36"/>
      <c r="AH548" s="36"/>
      <c r="AI548" s="36"/>
      <c r="AJ548" s="36"/>
      <c r="BG548" s="39"/>
      <c r="BH548" s="32"/>
    </row>
    <row r="549">
      <c r="A549" s="36"/>
      <c r="B549" s="36"/>
      <c r="E549" s="36"/>
      <c r="F549" s="36"/>
      <c r="G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7"/>
      <c r="AC549" s="36"/>
      <c r="AD549" s="36"/>
      <c r="AE549" s="37"/>
      <c r="AG549" s="36"/>
      <c r="AH549" s="36"/>
      <c r="AI549" s="36"/>
      <c r="AJ549" s="36"/>
      <c r="BG549" s="39"/>
      <c r="BH549" s="32"/>
    </row>
    <row r="550">
      <c r="A550" s="36"/>
      <c r="B550" s="36"/>
      <c r="E550" s="36"/>
      <c r="F550" s="36"/>
      <c r="G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7"/>
      <c r="AC550" s="36"/>
      <c r="AD550" s="36"/>
      <c r="AE550" s="37"/>
      <c r="AG550" s="36"/>
      <c r="AH550" s="36"/>
      <c r="AI550" s="36"/>
      <c r="AJ550" s="36"/>
      <c r="BG550" s="39"/>
      <c r="BH550" s="32"/>
    </row>
    <row r="551">
      <c r="A551" s="36"/>
      <c r="B551" s="36"/>
      <c r="E551" s="36"/>
      <c r="F551" s="36"/>
      <c r="G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7"/>
      <c r="AC551" s="36"/>
      <c r="AD551" s="36"/>
      <c r="AE551" s="37"/>
      <c r="AG551" s="36"/>
      <c r="AH551" s="36"/>
      <c r="AI551" s="36"/>
      <c r="AJ551" s="36"/>
      <c r="BG551" s="39"/>
      <c r="BH551" s="32"/>
    </row>
    <row r="552">
      <c r="A552" s="36"/>
      <c r="B552" s="36"/>
      <c r="E552" s="36"/>
      <c r="F552" s="36"/>
      <c r="G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7"/>
      <c r="AC552" s="36"/>
      <c r="AD552" s="36"/>
      <c r="AE552" s="37"/>
      <c r="AG552" s="36"/>
      <c r="AH552" s="36"/>
      <c r="AI552" s="36"/>
      <c r="AJ552" s="36"/>
      <c r="BG552" s="39"/>
      <c r="BH552" s="32"/>
    </row>
    <row r="553">
      <c r="A553" s="36"/>
      <c r="B553" s="36"/>
      <c r="E553" s="36"/>
      <c r="F553" s="36"/>
      <c r="G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7"/>
      <c r="AC553" s="36"/>
      <c r="AD553" s="36"/>
      <c r="AE553" s="37"/>
      <c r="AG553" s="36"/>
      <c r="AH553" s="36"/>
      <c r="AI553" s="36"/>
      <c r="AJ553" s="36"/>
      <c r="BG553" s="39"/>
      <c r="BH553" s="32"/>
    </row>
    <row r="554">
      <c r="A554" s="36"/>
      <c r="B554" s="36"/>
      <c r="E554" s="36"/>
      <c r="F554" s="36"/>
      <c r="G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7"/>
      <c r="AC554" s="36"/>
      <c r="AD554" s="36"/>
      <c r="AE554" s="37"/>
      <c r="AG554" s="36"/>
      <c r="AH554" s="36"/>
      <c r="AI554" s="36"/>
      <c r="AJ554" s="36"/>
      <c r="BG554" s="39"/>
      <c r="BH554" s="32"/>
    </row>
    <row r="555">
      <c r="A555" s="36"/>
      <c r="B555" s="36"/>
      <c r="E555" s="36"/>
      <c r="F555" s="36"/>
      <c r="G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7"/>
      <c r="AC555" s="36"/>
      <c r="AD555" s="36"/>
      <c r="AE555" s="37"/>
      <c r="AG555" s="36"/>
      <c r="AH555" s="36"/>
      <c r="AI555" s="36"/>
      <c r="AJ555" s="36"/>
      <c r="BG555" s="39"/>
      <c r="BH555" s="32"/>
    </row>
    <row r="556">
      <c r="A556" s="36"/>
      <c r="B556" s="36"/>
      <c r="E556" s="36"/>
      <c r="F556" s="36"/>
      <c r="G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7"/>
      <c r="AC556" s="36"/>
      <c r="AD556" s="36"/>
      <c r="AE556" s="37"/>
      <c r="AG556" s="36"/>
      <c r="AH556" s="36"/>
      <c r="AI556" s="36"/>
      <c r="AJ556" s="36"/>
      <c r="BG556" s="39"/>
      <c r="BH556" s="32"/>
    </row>
    <row r="557">
      <c r="A557" s="36"/>
      <c r="B557" s="36"/>
      <c r="E557" s="36"/>
      <c r="F557" s="36"/>
      <c r="G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7"/>
      <c r="AC557" s="36"/>
      <c r="AD557" s="36"/>
      <c r="AE557" s="37"/>
      <c r="AG557" s="36"/>
      <c r="AH557" s="36"/>
      <c r="AI557" s="36"/>
      <c r="AJ557" s="36"/>
      <c r="BG557" s="39"/>
      <c r="BH557" s="32"/>
    </row>
    <row r="558">
      <c r="A558" s="36"/>
      <c r="B558" s="36"/>
      <c r="E558" s="36"/>
      <c r="F558" s="36"/>
      <c r="G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7"/>
      <c r="AC558" s="36"/>
      <c r="AD558" s="36"/>
      <c r="AE558" s="37"/>
      <c r="AG558" s="36"/>
      <c r="AH558" s="36"/>
      <c r="AI558" s="36"/>
      <c r="AJ558" s="36"/>
      <c r="BG558" s="39"/>
      <c r="BH558" s="32"/>
    </row>
    <row r="559">
      <c r="A559" s="36"/>
      <c r="B559" s="36"/>
      <c r="E559" s="36"/>
      <c r="F559" s="36"/>
      <c r="G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7"/>
      <c r="AC559" s="36"/>
      <c r="AD559" s="36"/>
      <c r="AE559" s="37"/>
      <c r="AG559" s="36"/>
      <c r="AH559" s="36"/>
      <c r="AI559" s="36"/>
      <c r="AJ559" s="36"/>
      <c r="BG559" s="39"/>
      <c r="BH559" s="32"/>
    </row>
    <row r="560">
      <c r="A560" s="36"/>
      <c r="B560" s="36"/>
      <c r="E560" s="36"/>
      <c r="F560" s="36"/>
      <c r="G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7"/>
      <c r="AC560" s="36"/>
      <c r="AD560" s="36"/>
      <c r="AE560" s="37"/>
      <c r="AG560" s="36"/>
      <c r="AH560" s="36"/>
      <c r="AI560" s="36"/>
      <c r="AJ560" s="36"/>
      <c r="BG560" s="39"/>
      <c r="BH560" s="32"/>
    </row>
    <row r="561">
      <c r="A561" s="36"/>
      <c r="B561" s="36"/>
      <c r="E561" s="36"/>
      <c r="F561" s="36"/>
      <c r="G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7"/>
      <c r="AC561" s="36"/>
      <c r="AD561" s="36"/>
      <c r="AE561" s="37"/>
      <c r="AG561" s="36"/>
      <c r="AH561" s="36"/>
      <c r="AI561" s="36"/>
      <c r="AJ561" s="36"/>
      <c r="BG561" s="39"/>
      <c r="BH561" s="32"/>
    </row>
    <row r="562">
      <c r="A562" s="36"/>
      <c r="B562" s="36"/>
      <c r="E562" s="36"/>
      <c r="F562" s="36"/>
      <c r="G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7"/>
      <c r="AC562" s="36"/>
      <c r="AD562" s="36"/>
      <c r="AE562" s="37"/>
      <c r="AG562" s="36"/>
      <c r="AH562" s="36"/>
      <c r="AI562" s="36"/>
      <c r="AJ562" s="36"/>
      <c r="BG562" s="39"/>
      <c r="BH562" s="32"/>
    </row>
    <row r="563">
      <c r="A563" s="36"/>
      <c r="B563" s="36"/>
      <c r="E563" s="36"/>
      <c r="F563" s="36"/>
      <c r="G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7"/>
      <c r="AC563" s="36"/>
      <c r="AD563" s="36"/>
      <c r="AE563" s="37"/>
      <c r="AG563" s="36"/>
      <c r="AH563" s="36"/>
      <c r="AI563" s="36"/>
      <c r="AJ563" s="36"/>
      <c r="BG563" s="39"/>
      <c r="BH563" s="32"/>
    </row>
    <row r="564">
      <c r="A564" s="36"/>
      <c r="B564" s="36"/>
      <c r="E564" s="36"/>
      <c r="F564" s="36"/>
      <c r="G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7"/>
      <c r="AC564" s="36"/>
      <c r="AD564" s="36"/>
      <c r="AE564" s="37"/>
      <c r="AG564" s="36"/>
      <c r="AH564" s="36"/>
      <c r="AI564" s="36"/>
      <c r="AJ564" s="36"/>
      <c r="BG564" s="39"/>
      <c r="BH564" s="32"/>
    </row>
    <row r="565">
      <c r="A565" s="36"/>
      <c r="B565" s="36"/>
      <c r="E565" s="36"/>
      <c r="F565" s="36"/>
      <c r="G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7"/>
      <c r="AC565" s="36"/>
      <c r="AD565" s="36"/>
      <c r="AE565" s="37"/>
      <c r="AG565" s="36"/>
      <c r="AH565" s="36"/>
      <c r="AI565" s="36"/>
      <c r="AJ565" s="36"/>
      <c r="BG565" s="39"/>
      <c r="BH565" s="32"/>
    </row>
    <row r="566">
      <c r="A566" s="36"/>
      <c r="B566" s="36"/>
      <c r="E566" s="36"/>
      <c r="F566" s="36"/>
      <c r="G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7"/>
      <c r="AC566" s="36"/>
      <c r="AD566" s="36"/>
      <c r="AE566" s="37"/>
      <c r="AG566" s="36"/>
      <c r="AH566" s="36"/>
      <c r="AI566" s="36"/>
      <c r="AJ566" s="36"/>
      <c r="BG566" s="39"/>
      <c r="BH566" s="32"/>
    </row>
    <row r="567">
      <c r="A567" s="36"/>
      <c r="B567" s="36"/>
      <c r="E567" s="36"/>
      <c r="F567" s="36"/>
      <c r="G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7"/>
      <c r="AC567" s="36"/>
      <c r="AD567" s="36"/>
      <c r="AE567" s="37"/>
      <c r="AG567" s="36"/>
      <c r="AH567" s="36"/>
      <c r="AI567" s="36"/>
      <c r="AJ567" s="36"/>
      <c r="BG567" s="39"/>
      <c r="BH567" s="32"/>
    </row>
    <row r="568">
      <c r="A568" s="36"/>
      <c r="B568" s="36"/>
      <c r="E568" s="36"/>
      <c r="F568" s="36"/>
      <c r="G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7"/>
      <c r="AC568" s="36"/>
      <c r="AD568" s="36"/>
      <c r="AE568" s="37"/>
      <c r="AG568" s="36"/>
      <c r="AH568" s="36"/>
      <c r="AI568" s="36"/>
      <c r="AJ568" s="36"/>
      <c r="BG568" s="39"/>
      <c r="BH568" s="32"/>
    </row>
    <row r="569">
      <c r="A569" s="36"/>
      <c r="B569" s="36"/>
      <c r="E569" s="36"/>
      <c r="F569" s="36"/>
      <c r="G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7"/>
      <c r="AC569" s="36"/>
      <c r="AD569" s="36"/>
      <c r="AE569" s="37"/>
      <c r="AG569" s="36"/>
      <c r="AH569" s="36"/>
      <c r="AI569" s="36"/>
      <c r="AJ569" s="36"/>
      <c r="BG569" s="39"/>
      <c r="BH569" s="32"/>
    </row>
    <row r="570">
      <c r="A570" s="36"/>
      <c r="B570" s="36"/>
      <c r="E570" s="36"/>
      <c r="F570" s="36"/>
      <c r="G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7"/>
      <c r="AC570" s="36"/>
      <c r="AD570" s="36"/>
      <c r="AE570" s="37"/>
      <c r="AG570" s="36"/>
      <c r="AH570" s="36"/>
      <c r="AI570" s="36"/>
      <c r="AJ570" s="36"/>
      <c r="BG570" s="39"/>
      <c r="BH570" s="32"/>
    </row>
    <row r="571">
      <c r="A571" s="36"/>
      <c r="B571" s="36"/>
      <c r="E571" s="36"/>
      <c r="F571" s="36"/>
      <c r="G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7"/>
      <c r="AC571" s="36"/>
      <c r="AD571" s="36"/>
      <c r="AE571" s="37"/>
      <c r="AG571" s="36"/>
      <c r="AH571" s="36"/>
      <c r="AI571" s="36"/>
      <c r="AJ571" s="36"/>
      <c r="BG571" s="39"/>
      <c r="BH571" s="32"/>
    </row>
    <row r="572">
      <c r="A572" s="36"/>
      <c r="B572" s="36"/>
      <c r="E572" s="36"/>
      <c r="F572" s="36"/>
      <c r="G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7"/>
      <c r="AC572" s="36"/>
      <c r="AD572" s="36"/>
      <c r="AE572" s="37"/>
      <c r="AG572" s="36"/>
      <c r="AH572" s="36"/>
      <c r="AI572" s="36"/>
      <c r="AJ572" s="36"/>
      <c r="BG572" s="39"/>
      <c r="BH572" s="32"/>
    </row>
    <row r="573">
      <c r="A573" s="36"/>
      <c r="B573" s="36"/>
      <c r="E573" s="36"/>
      <c r="F573" s="36"/>
      <c r="G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7"/>
      <c r="AC573" s="36"/>
      <c r="AD573" s="36"/>
      <c r="AE573" s="37"/>
      <c r="AG573" s="36"/>
      <c r="AH573" s="36"/>
      <c r="AI573" s="36"/>
      <c r="AJ573" s="36"/>
      <c r="BG573" s="39"/>
      <c r="BH573" s="32"/>
    </row>
    <row r="574">
      <c r="A574" s="36"/>
      <c r="B574" s="36"/>
      <c r="E574" s="36"/>
      <c r="F574" s="36"/>
      <c r="G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7"/>
      <c r="AC574" s="36"/>
      <c r="AD574" s="36"/>
      <c r="AE574" s="37"/>
      <c r="AG574" s="36"/>
      <c r="AH574" s="36"/>
      <c r="AI574" s="36"/>
      <c r="AJ574" s="36"/>
      <c r="BG574" s="39"/>
      <c r="BH574" s="32"/>
    </row>
    <row r="575">
      <c r="A575" s="36"/>
      <c r="B575" s="36"/>
      <c r="E575" s="36"/>
      <c r="F575" s="36"/>
      <c r="G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7"/>
      <c r="AC575" s="36"/>
      <c r="AD575" s="36"/>
      <c r="AE575" s="37"/>
      <c r="AG575" s="36"/>
      <c r="AH575" s="36"/>
      <c r="AI575" s="36"/>
      <c r="AJ575" s="36"/>
      <c r="BG575" s="39"/>
      <c r="BH575" s="32"/>
    </row>
    <row r="576">
      <c r="A576" s="36"/>
      <c r="B576" s="36"/>
      <c r="E576" s="36"/>
      <c r="F576" s="36"/>
      <c r="G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7"/>
      <c r="AC576" s="36"/>
      <c r="AD576" s="36"/>
      <c r="AE576" s="37"/>
      <c r="AG576" s="36"/>
      <c r="AH576" s="36"/>
      <c r="AI576" s="36"/>
      <c r="AJ576" s="36"/>
      <c r="BG576" s="39"/>
      <c r="BH576" s="32"/>
    </row>
    <row r="577">
      <c r="A577" s="36"/>
      <c r="B577" s="36"/>
      <c r="E577" s="36"/>
      <c r="F577" s="36"/>
      <c r="G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7"/>
      <c r="AC577" s="36"/>
      <c r="AD577" s="36"/>
      <c r="AE577" s="37"/>
      <c r="AG577" s="36"/>
      <c r="AH577" s="36"/>
      <c r="AI577" s="36"/>
      <c r="AJ577" s="36"/>
      <c r="BG577" s="39"/>
      <c r="BH577" s="32"/>
    </row>
    <row r="578">
      <c r="A578" s="36"/>
      <c r="B578" s="36"/>
      <c r="E578" s="36"/>
      <c r="F578" s="36"/>
      <c r="G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7"/>
      <c r="AC578" s="36"/>
      <c r="AD578" s="36"/>
      <c r="AE578" s="37"/>
      <c r="AG578" s="36"/>
      <c r="AH578" s="36"/>
      <c r="AI578" s="36"/>
      <c r="AJ578" s="36"/>
      <c r="BG578" s="39"/>
      <c r="BH578" s="32"/>
    </row>
    <row r="579">
      <c r="A579" s="36"/>
      <c r="B579" s="36"/>
      <c r="E579" s="36"/>
      <c r="F579" s="36"/>
      <c r="G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7"/>
      <c r="AC579" s="36"/>
      <c r="AD579" s="36"/>
      <c r="AE579" s="37"/>
      <c r="AG579" s="36"/>
      <c r="AH579" s="36"/>
      <c r="AI579" s="36"/>
      <c r="AJ579" s="36"/>
      <c r="BG579" s="39"/>
      <c r="BH579" s="32"/>
    </row>
    <row r="580">
      <c r="A580" s="36"/>
      <c r="B580" s="36"/>
      <c r="E580" s="36"/>
      <c r="F580" s="36"/>
      <c r="G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7"/>
      <c r="AC580" s="36"/>
      <c r="AD580" s="36"/>
      <c r="AE580" s="37"/>
      <c r="AG580" s="36"/>
      <c r="AH580" s="36"/>
      <c r="AI580" s="36"/>
      <c r="AJ580" s="36"/>
      <c r="BG580" s="39"/>
      <c r="BH580" s="32"/>
    </row>
    <row r="581">
      <c r="A581" s="36"/>
      <c r="B581" s="36"/>
      <c r="E581" s="36"/>
      <c r="F581" s="36"/>
      <c r="G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7"/>
      <c r="AC581" s="36"/>
      <c r="AD581" s="36"/>
      <c r="AE581" s="37"/>
      <c r="AG581" s="36"/>
      <c r="AH581" s="36"/>
      <c r="AI581" s="36"/>
      <c r="AJ581" s="36"/>
      <c r="BG581" s="39"/>
      <c r="BH581" s="32"/>
    </row>
    <row r="582">
      <c r="A582" s="36"/>
      <c r="B582" s="36"/>
      <c r="E582" s="36"/>
      <c r="F582" s="36"/>
      <c r="G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7"/>
      <c r="AC582" s="36"/>
      <c r="AD582" s="36"/>
      <c r="AE582" s="37"/>
      <c r="AG582" s="36"/>
      <c r="AH582" s="36"/>
      <c r="AI582" s="36"/>
      <c r="AJ582" s="36"/>
      <c r="BG582" s="39"/>
      <c r="BH582" s="32"/>
    </row>
    <row r="583">
      <c r="A583" s="36"/>
      <c r="B583" s="36"/>
      <c r="E583" s="36"/>
      <c r="F583" s="36"/>
      <c r="G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7"/>
      <c r="AC583" s="36"/>
      <c r="AD583" s="36"/>
      <c r="AE583" s="37"/>
      <c r="AG583" s="36"/>
      <c r="AH583" s="36"/>
      <c r="AI583" s="36"/>
      <c r="AJ583" s="36"/>
      <c r="BG583" s="39"/>
      <c r="BH583" s="32"/>
    </row>
    <row r="584">
      <c r="A584" s="36"/>
      <c r="B584" s="36"/>
      <c r="E584" s="36"/>
      <c r="F584" s="36"/>
      <c r="G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7"/>
      <c r="AC584" s="36"/>
      <c r="AD584" s="36"/>
      <c r="AE584" s="37"/>
      <c r="AG584" s="36"/>
      <c r="AH584" s="36"/>
      <c r="AI584" s="36"/>
      <c r="AJ584" s="36"/>
      <c r="BG584" s="39"/>
      <c r="BH584" s="32"/>
    </row>
    <row r="585">
      <c r="A585" s="36"/>
      <c r="B585" s="36"/>
      <c r="E585" s="36"/>
      <c r="F585" s="36"/>
      <c r="G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7"/>
      <c r="AC585" s="36"/>
      <c r="AD585" s="36"/>
      <c r="AE585" s="37"/>
      <c r="AG585" s="36"/>
      <c r="AH585" s="36"/>
      <c r="AI585" s="36"/>
      <c r="AJ585" s="36"/>
      <c r="BG585" s="39"/>
      <c r="BH585" s="32"/>
    </row>
    <row r="586">
      <c r="A586" s="36"/>
      <c r="B586" s="36"/>
      <c r="E586" s="36"/>
      <c r="F586" s="36"/>
      <c r="G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7"/>
      <c r="AC586" s="36"/>
      <c r="AD586" s="36"/>
      <c r="AE586" s="37"/>
      <c r="AG586" s="36"/>
      <c r="AH586" s="36"/>
      <c r="AI586" s="36"/>
      <c r="AJ586" s="36"/>
      <c r="BG586" s="39"/>
      <c r="BH586" s="32"/>
    </row>
    <row r="587">
      <c r="A587" s="36"/>
      <c r="B587" s="36"/>
      <c r="E587" s="36"/>
      <c r="F587" s="36"/>
      <c r="G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7"/>
      <c r="AC587" s="36"/>
      <c r="AD587" s="36"/>
      <c r="AE587" s="37"/>
      <c r="AG587" s="36"/>
      <c r="AH587" s="36"/>
      <c r="AI587" s="36"/>
      <c r="AJ587" s="36"/>
      <c r="BG587" s="39"/>
      <c r="BH587" s="32"/>
    </row>
    <row r="588">
      <c r="A588" s="36"/>
      <c r="B588" s="36"/>
      <c r="E588" s="36"/>
      <c r="F588" s="36"/>
      <c r="G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7"/>
      <c r="AC588" s="36"/>
      <c r="AD588" s="36"/>
      <c r="AE588" s="37"/>
      <c r="AG588" s="36"/>
      <c r="AH588" s="36"/>
      <c r="AI588" s="36"/>
      <c r="AJ588" s="36"/>
      <c r="BG588" s="39"/>
      <c r="BH588" s="32"/>
    </row>
    <row r="589">
      <c r="A589" s="36"/>
      <c r="B589" s="36"/>
      <c r="E589" s="36"/>
      <c r="F589" s="36"/>
      <c r="G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7"/>
      <c r="AC589" s="36"/>
      <c r="AD589" s="36"/>
      <c r="AE589" s="37"/>
      <c r="AG589" s="36"/>
      <c r="AH589" s="36"/>
      <c r="AI589" s="36"/>
      <c r="AJ589" s="36"/>
      <c r="BG589" s="39"/>
      <c r="BH589" s="32"/>
    </row>
    <row r="590">
      <c r="A590" s="36"/>
      <c r="B590" s="36"/>
      <c r="E590" s="36"/>
      <c r="F590" s="36"/>
      <c r="G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7"/>
      <c r="AC590" s="36"/>
      <c r="AD590" s="36"/>
      <c r="AE590" s="37"/>
      <c r="AG590" s="36"/>
      <c r="AH590" s="36"/>
      <c r="AI590" s="36"/>
      <c r="AJ590" s="36"/>
      <c r="BG590" s="39"/>
      <c r="BH590" s="32"/>
    </row>
    <row r="591">
      <c r="A591" s="36"/>
      <c r="B591" s="36"/>
      <c r="E591" s="36"/>
      <c r="F591" s="36"/>
      <c r="G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7"/>
      <c r="AC591" s="36"/>
      <c r="AD591" s="36"/>
      <c r="AE591" s="37"/>
      <c r="AG591" s="36"/>
      <c r="AH591" s="36"/>
      <c r="AI591" s="36"/>
      <c r="AJ591" s="36"/>
      <c r="BG591" s="39"/>
      <c r="BH591" s="32"/>
    </row>
    <row r="592">
      <c r="A592" s="36"/>
      <c r="B592" s="36"/>
      <c r="E592" s="36"/>
      <c r="F592" s="36"/>
      <c r="G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7"/>
      <c r="AC592" s="36"/>
      <c r="AD592" s="36"/>
      <c r="AE592" s="37"/>
      <c r="AG592" s="36"/>
      <c r="AH592" s="36"/>
      <c r="AI592" s="36"/>
      <c r="AJ592" s="36"/>
      <c r="BG592" s="39"/>
      <c r="BH592" s="32"/>
    </row>
    <row r="593">
      <c r="A593" s="36"/>
      <c r="B593" s="36"/>
      <c r="E593" s="36"/>
      <c r="F593" s="36"/>
      <c r="G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7"/>
      <c r="AC593" s="36"/>
      <c r="AD593" s="36"/>
      <c r="AE593" s="37"/>
      <c r="AG593" s="36"/>
      <c r="AH593" s="36"/>
      <c r="AI593" s="36"/>
      <c r="AJ593" s="36"/>
      <c r="BG593" s="39"/>
      <c r="BH593" s="32"/>
    </row>
    <row r="594">
      <c r="A594" s="36"/>
      <c r="B594" s="36"/>
      <c r="E594" s="36"/>
      <c r="F594" s="36"/>
      <c r="G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7"/>
      <c r="AC594" s="36"/>
      <c r="AD594" s="36"/>
      <c r="AE594" s="37"/>
      <c r="AG594" s="36"/>
      <c r="AH594" s="36"/>
      <c r="AI594" s="36"/>
      <c r="AJ594" s="36"/>
      <c r="BG594" s="39"/>
      <c r="BH594" s="32"/>
    </row>
    <row r="595">
      <c r="A595" s="36"/>
      <c r="B595" s="36"/>
      <c r="E595" s="36"/>
      <c r="F595" s="36"/>
      <c r="G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7"/>
      <c r="AC595" s="36"/>
      <c r="AD595" s="36"/>
      <c r="AE595" s="37"/>
      <c r="AG595" s="36"/>
      <c r="AH595" s="36"/>
      <c r="AI595" s="36"/>
      <c r="AJ595" s="36"/>
      <c r="BG595" s="39"/>
      <c r="BH595" s="32"/>
    </row>
    <row r="596">
      <c r="A596" s="36"/>
      <c r="B596" s="36"/>
      <c r="E596" s="36"/>
      <c r="F596" s="36"/>
      <c r="G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7"/>
      <c r="AC596" s="36"/>
      <c r="AD596" s="36"/>
      <c r="AE596" s="37"/>
      <c r="AG596" s="36"/>
      <c r="AH596" s="36"/>
      <c r="AI596" s="36"/>
      <c r="AJ596" s="36"/>
      <c r="BG596" s="39"/>
      <c r="BH596" s="32"/>
    </row>
    <row r="597">
      <c r="A597" s="36"/>
      <c r="B597" s="36"/>
      <c r="E597" s="36"/>
      <c r="F597" s="36"/>
      <c r="G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7"/>
      <c r="AC597" s="36"/>
      <c r="AD597" s="36"/>
      <c r="AE597" s="37"/>
      <c r="AG597" s="36"/>
      <c r="AH597" s="36"/>
      <c r="AI597" s="36"/>
      <c r="AJ597" s="36"/>
      <c r="BG597" s="39"/>
      <c r="BH597" s="32"/>
    </row>
    <row r="598">
      <c r="A598" s="36"/>
      <c r="B598" s="36"/>
      <c r="E598" s="36"/>
      <c r="F598" s="36"/>
      <c r="G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7"/>
      <c r="AC598" s="36"/>
      <c r="AD598" s="36"/>
      <c r="AE598" s="37"/>
      <c r="AG598" s="36"/>
      <c r="AH598" s="36"/>
      <c r="AI598" s="36"/>
      <c r="AJ598" s="36"/>
      <c r="BG598" s="39"/>
      <c r="BH598" s="32"/>
    </row>
    <row r="599">
      <c r="A599" s="36"/>
      <c r="B599" s="36"/>
      <c r="E599" s="36"/>
      <c r="F599" s="36"/>
      <c r="G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7"/>
      <c r="AC599" s="36"/>
      <c r="AD599" s="36"/>
      <c r="AE599" s="37"/>
      <c r="AG599" s="36"/>
      <c r="AH599" s="36"/>
      <c r="AI599" s="36"/>
      <c r="AJ599" s="36"/>
      <c r="BG599" s="39"/>
      <c r="BH599" s="32"/>
    </row>
    <row r="600">
      <c r="A600" s="36"/>
      <c r="B600" s="36"/>
      <c r="E600" s="36"/>
      <c r="F600" s="36"/>
      <c r="G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7"/>
      <c r="AC600" s="36"/>
      <c r="AD600" s="36"/>
      <c r="AE600" s="37"/>
      <c r="AG600" s="36"/>
      <c r="AH600" s="36"/>
      <c r="AI600" s="36"/>
      <c r="AJ600" s="36"/>
      <c r="BG600" s="39"/>
      <c r="BH600" s="32"/>
    </row>
    <row r="601">
      <c r="A601" s="36"/>
      <c r="B601" s="36"/>
      <c r="E601" s="36"/>
      <c r="F601" s="36"/>
      <c r="G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7"/>
      <c r="AC601" s="36"/>
      <c r="AD601" s="36"/>
      <c r="AE601" s="37"/>
      <c r="AG601" s="36"/>
      <c r="AH601" s="36"/>
      <c r="AI601" s="36"/>
      <c r="AJ601" s="36"/>
      <c r="BG601" s="39"/>
      <c r="BH601" s="32"/>
    </row>
    <row r="602">
      <c r="A602" s="36"/>
      <c r="B602" s="36"/>
      <c r="E602" s="36"/>
      <c r="F602" s="36"/>
      <c r="G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7"/>
      <c r="AC602" s="36"/>
      <c r="AD602" s="36"/>
      <c r="AE602" s="37"/>
      <c r="AG602" s="36"/>
      <c r="AH602" s="36"/>
      <c r="AI602" s="36"/>
      <c r="AJ602" s="36"/>
      <c r="BG602" s="39"/>
      <c r="BH602" s="32"/>
    </row>
    <row r="603">
      <c r="A603" s="36"/>
      <c r="B603" s="36"/>
      <c r="E603" s="36"/>
      <c r="F603" s="36"/>
      <c r="G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7"/>
      <c r="AC603" s="36"/>
      <c r="AD603" s="36"/>
      <c r="AE603" s="37"/>
      <c r="AG603" s="36"/>
      <c r="AH603" s="36"/>
      <c r="AI603" s="36"/>
      <c r="AJ603" s="36"/>
      <c r="BG603" s="39"/>
      <c r="BH603" s="32"/>
    </row>
    <row r="604">
      <c r="A604" s="36"/>
      <c r="B604" s="36"/>
      <c r="E604" s="36"/>
      <c r="F604" s="36"/>
      <c r="G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7"/>
      <c r="AC604" s="36"/>
      <c r="AD604" s="36"/>
      <c r="AE604" s="37"/>
      <c r="AG604" s="36"/>
      <c r="AH604" s="36"/>
      <c r="AI604" s="36"/>
      <c r="AJ604" s="36"/>
      <c r="BG604" s="39"/>
      <c r="BH604" s="32"/>
    </row>
    <row r="605">
      <c r="A605" s="36"/>
      <c r="B605" s="36"/>
      <c r="E605" s="36"/>
      <c r="F605" s="36"/>
      <c r="G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7"/>
      <c r="AC605" s="36"/>
      <c r="AD605" s="36"/>
      <c r="AE605" s="37"/>
      <c r="AG605" s="36"/>
      <c r="AH605" s="36"/>
      <c r="AI605" s="36"/>
      <c r="AJ605" s="36"/>
      <c r="BG605" s="39"/>
      <c r="BH605" s="32"/>
    </row>
    <row r="606">
      <c r="A606" s="36"/>
      <c r="B606" s="36"/>
      <c r="E606" s="36"/>
      <c r="F606" s="36"/>
      <c r="G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7"/>
      <c r="AC606" s="36"/>
      <c r="AD606" s="36"/>
      <c r="AE606" s="37"/>
      <c r="AG606" s="36"/>
      <c r="AH606" s="36"/>
      <c r="AI606" s="36"/>
      <c r="AJ606" s="36"/>
      <c r="BG606" s="39"/>
      <c r="BH606" s="32"/>
    </row>
    <row r="607">
      <c r="A607" s="36"/>
      <c r="B607" s="36"/>
      <c r="E607" s="36"/>
      <c r="F607" s="36"/>
      <c r="G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7"/>
      <c r="AC607" s="36"/>
      <c r="AD607" s="36"/>
      <c r="AE607" s="37"/>
      <c r="AG607" s="36"/>
      <c r="AH607" s="36"/>
      <c r="AI607" s="36"/>
      <c r="AJ607" s="36"/>
      <c r="BG607" s="39"/>
      <c r="BH607" s="32"/>
    </row>
    <row r="608">
      <c r="A608" s="36"/>
      <c r="B608" s="36"/>
      <c r="E608" s="36"/>
      <c r="F608" s="36"/>
      <c r="G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7"/>
      <c r="AC608" s="36"/>
      <c r="AD608" s="36"/>
      <c r="AE608" s="37"/>
      <c r="AG608" s="36"/>
      <c r="AH608" s="36"/>
      <c r="AI608" s="36"/>
      <c r="AJ608" s="36"/>
      <c r="BG608" s="39"/>
      <c r="BH608" s="32"/>
    </row>
    <row r="609">
      <c r="A609" s="36"/>
      <c r="B609" s="36"/>
      <c r="E609" s="36"/>
      <c r="F609" s="36"/>
      <c r="G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7"/>
      <c r="AC609" s="36"/>
      <c r="AD609" s="36"/>
      <c r="AE609" s="37"/>
      <c r="AG609" s="36"/>
      <c r="AH609" s="36"/>
      <c r="AI609" s="36"/>
      <c r="AJ609" s="36"/>
      <c r="BG609" s="39"/>
      <c r="BH609" s="32"/>
    </row>
    <row r="610">
      <c r="A610" s="36"/>
      <c r="B610" s="36"/>
      <c r="E610" s="36"/>
      <c r="F610" s="36"/>
      <c r="G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7"/>
      <c r="AC610" s="36"/>
      <c r="AD610" s="36"/>
      <c r="AE610" s="37"/>
      <c r="AG610" s="36"/>
      <c r="AH610" s="36"/>
      <c r="AI610" s="36"/>
      <c r="AJ610" s="36"/>
      <c r="BG610" s="39"/>
      <c r="BH610" s="32"/>
    </row>
    <row r="611">
      <c r="A611" s="36"/>
      <c r="B611" s="36"/>
      <c r="E611" s="36"/>
      <c r="F611" s="36"/>
      <c r="G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7"/>
      <c r="AC611" s="36"/>
      <c r="AD611" s="36"/>
      <c r="AE611" s="37"/>
      <c r="AG611" s="36"/>
      <c r="AH611" s="36"/>
      <c r="AI611" s="36"/>
      <c r="AJ611" s="36"/>
      <c r="BG611" s="39"/>
      <c r="BH611" s="32"/>
    </row>
    <row r="612">
      <c r="A612" s="36"/>
      <c r="B612" s="36"/>
      <c r="E612" s="36"/>
      <c r="F612" s="36"/>
      <c r="G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7"/>
      <c r="AC612" s="36"/>
      <c r="AD612" s="36"/>
      <c r="AE612" s="37"/>
      <c r="AG612" s="36"/>
      <c r="AH612" s="36"/>
      <c r="AI612" s="36"/>
      <c r="AJ612" s="36"/>
      <c r="BG612" s="39"/>
      <c r="BH612" s="32"/>
    </row>
    <row r="613">
      <c r="A613" s="36"/>
      <c r="B613" s="36"/>
      <c r="E613" s="36"/>
      <c r="F613" s="36"/>
      <c r="G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7"/>
      <c r="AC613" s="36"/>
      <c r="AD613" s="36"/>
      <c r="AE613" s="37"/>
      <c r="AG613" s="36"/>
      <c r="AH613" s="36"/>
      <c r="AI613" s="36"/>
      <c r="AJ613" s="36"/>
      <c r="BG613" s="39"/>
      <c r="BH613" s="32"/>
    </row>
    <row r="614">
      <c r="A614" s="36"/>
      <c r="B614" s="36"/>
      <c r="E614" s="36"/>
      <c r="F614" s="36"/>
      <c r="G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7"/>
      <c r="AC614" s="36"/>
      <c r="AD614" s="36"/>
      <c r="AE614" s="37"/>
      <c r="AG614" s="36"/>
      <c r="AH614" s="36"/>
      <c r="AI614" s="36"/>
      <c r="AJ614" s="36"/>
      <c r="BG614" s="39"/>
      <c r="BH614" s="32"/>
    </row>
    <row r="615">
      <c r="A615" s="36"/>
      <c r="B615" s="36"/>
      <c r="E615" s="36"/>
      <c r="F615" s="36"/>
      <c r="G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7"/>
      <c r="AC615" s="36"/>
      <c r="AD615" s="36"/>
      <c r="AE615" s="37"/>
      <c r="AG615" s="36"/>
      <c r="AH615" s="36"/>
      <c r="AI615" s="36"/>
      <c r="AJ615" s="36"/>
      <c r="BG615" s="39"/>
      <c r="BH615" s="32"/>
    </row>
    <row r="616">
      <c r="A616" s="36"/>
      <c r="B616" s="36"/>
      <c r="E616" s="36"/>
      <c r="F616" s="36"/>
      <c r="G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7"/>
      <c r="AC616" s="36"/>
      <c r="AD616" s="36"/>
      <c r="AE616" s="37"/>
      <c r="AG616" s="36"/>
      <c r="AH616" s="36"/>
      <c r="AI616" s="36"/>
      <c r="AJ616" s="36"/>
      <c r="BG616" s="39"/>
      <c r="BH616" s="32"/>
    </row>
    <row r="617">
      <c r="A617" s="36"/>
      <c r="B617" s="36"/>
      <c r="E617" s="36"/>
      <c r="F617" s="36"/>
      <c r="G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7"/>
      <c r="AC617" s="36"/>
      <c r="AD617" s="36"/>
      <c r="AE617" s="37"/>
      <c r="AG617" s="36"/>
      <c r="AH617" s="36"/>
      <c r="AI617" s="36"/>
      <c r="AJ617" s="36"/>
      <c r="BG617" s="39"/>
      <c r="BH617" s="32"/>
    </row>
    <row r="618">
      <c r="A618" s="36"/>
      <c r="B618" s="36"/>
      <c r="E618" s="36"/>
      <c r="F618" s="36"/>
      <c r="G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7"/>
      <c r="AC618" s="36"/>
      <c r="AD618" s="36"/>
      <c r="AE618" s="37"/>
      <c r="AG618" s="36"/>
      <c r="AH618" s="36"/>
      <c r="AI618" s="36"/>
      <c r="AJ618" s="36"/>
      <c r="BG618" s="39"/>
      <c r="BH618" s="32"/>
    </row>
    <row r="619">
      <c r="A619" s="36"/>
      <c r="B619" s="36"/>
      <c r="E619" s="36"/>
      <c r="F619" s="36"/>
      <c r="G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7"/>
      <c r="AC619" s="36"/>
      <c r="AD619" s="36"/>
      <c r="AE619" s="37"/>
      <c r="AG619" s="36"/>
      <c r="AH619" s="36"/>
      <c r="AI619" s="36"/>
      <c r="AJ619" s="36"/>
      <c r="BG619" s="39"/>
      <c r="BH619" s="32"/>
    </row>
    <row r="620">
      <c r="A620" s="36"/>
      <c r="B620" s="36"/>
      <c r="E620" s="36"/>
      <c r="F620" s="36"/>
      <c r="G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7"/>
      <c r="AC620" s="36"/>
      <c r="AD620" s="36"/>
      <c r="AE620" s="37"/>
      <c r="AG620" s="36"/>
      <c r="AH620" s="36"/>
      <c r="AI620" s="36"/>
      <c r="AJ620" s="36"/>
      <c r="BG620" s="39"/>
      <c r="BH620" s="32"/>
    </row>
    <row r="621">
      <c r="A621" s="36"/>
      <c r="B621" s="36"/>
      <c r="E621" s="36"/>
      <c r="F621" s="36"/>
      <c r="G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7"/>
      <c r="AC621" s="36"/>
      <c r="AD621" s="36"/>
      <c r="AE621" s="37"/>
      <c r="AG621" s="36"/>
      <c r="AH621" s="36"/>
      <c r="AI621" s="36"/>
      <c r="AJ621" s="36"/>
      <c r="BG621" s="39"/>
      <c r="BH621" s="32"/>
    </row>
    <row r="622">
      <c r="A622" s="36"/>
      <c r="B622" s="36"/>
      <c r="E622" s="36"/>
      <c r="F622" s="36"/>
      <c r="G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7"/>
      <c r="AC622" s="36"/>
      <c r="AD622" s="36"/>
      <c r="AE622" s="37"/>
      <c r="AG622" s="36"/>
      <c r="AH622" s="36"/>
      <c r="AI622" s="36"/>
      <c r="AJ622" s="36"/>
      <c r="BG622" s="39"/>
      <c r="BH622" s="32"/>
    </row>
    <row r="623">
      <c r="A623" s="36"/>
      <c r="B623" s="36"/>
      <c r="E623" s="36"/>
      <c r="F623" s="36"/>
      <c r="G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7"/>
      <c r="AC623" s="36"/>
      <c r="AD623" s="36"/>
      <c r="AE623" s="37"/>
      <c r="AG623" s="36"/>
      <c r="AH623" s="36"/>
      <c r="AI623" s="36"/>
      <c r="AJ623" s="36"/>
      <c r="BG623" s="39"/>
      <c r="BH623" s="32"/>
    </row>
    <row r="624">
      <c r="A624" s="36"/>
      <c r="B624" s="36"/>
      <c r="E624" s="36"/>
      <c r="F624" s="36"/>
      <c r="G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7"/>
      <c r="AC624" s="36"/>
      <c r="AD624" s="36"/>
      <c r="AE624" s="37"/>
      <c r="AG624" s="36"/>
      <c r="AH624" s="36"/>
      <c r="AI624" s="36"/>
      <c r="AJ624" s="36"/>
      <c r="BG624" s="39"/>
      <c r="BH624" s="32"/>
    </row>
    <row r="625">
      <c r="A625" s="36"/>
      <c r="B625" s="36"/>
      <c r="E625" s="36"/>
      <c r="F625" s="36"/>
      <c r="G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7"/>
      <c r="AC625" s="36"/>
      <c r="AD625" s="36"/>
      <c r="AE625" s="37"/>
      <c r="AG625" s="36"/>
      <c r="AH625" s="36"/>
      <c r="AI625" s="36"/>
      <c r="AJ625" s="36"/>
      <c r="BG625" s="39"/>
      <c r="BH625" s="32"/>
    </row>
    <row r="626">
      <c r="A626" s="36"/>
      <c r="B626" s="36"/>
      <c r="E626" s="36"/>
      <c r="F626" s="36"/>
      <c r="G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7"/>
      <c r="AC626" s="36"/>
      <c r="AD626" s="36"/>
      <c r="AE626" s="37"/>
      <c r="AG626" s="36"/>
      <c r="AH626" s="36"/>
      <c r="AI626" s="36"/>
      <c r="AJ626" s="36"/>
      <c r="BG626" s="39"/>
      <c r="BH626" s="32"/>
    </row>
    <row r="627">
      <c r="A627" s="36"/>
      <c r="B627" s="36"/>
      <c r="E627" s="36"/>
      <c r="F627" s="36"/>
      <c r="G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7"/>
      <c r="AC627" s="36"/>
      <c r="AD627" s="36"/>
      <c r="AE627" s="37"/>
      <c r="AG627" s="36"/>
      <c r="AH627" s="36"/>
      <c r="AI627" s="36"/>
      <c r="AJ627" s="36"/>
      <c r="BG627" s="39"/>
      <c r="BH627" s="32"/>
    </row>
    <row r="628">
      <c r="A628" s="36"/>
      <c r="B628" s="36"/>
      <c r="E628" s="36"/>
      <c r="F628" s="36"/>
      <c r="G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7"/>
      <c r="AC628" s="36"/>
      <c r="AD628" s="36"/>
      <c r="AE628" s="37"/>
      <c r="AG628" s="36"/>
      <c r="AH628" s="36"/>
      <c r="AI628" s="36"/>
      <c r="AJ628" s="36"/>
      <c r="BG628" s="39"/>
      <c r="BH628" s="32"/>
    </row>
    <row r="629">
      <c r="A629" s="36"/>
      <c r="B629" s="36"/>
      <c r="E629" s="36"/>
      <c r="F629" s="36"/>
      <c r="G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7"/>
      <c r="AC629" s="36"/>
      <c r="AD629" s="36"/>
      <c r="AE629" s="37"/>
      <c r="AG629" s="36"/>
      <c r="AH629" s="36"/>
      <c r="AI629" s="36"/>
      <c r="AJ629" s="36"/>
      <c r="BG629" s="39"/>
      <c r="BH629" s="32"/>
    </row>
    <row r="630">
      <c r="A630" s="36"/>
      <c r="B630" s="36"/>
      <c r="E630" s="36"/>
      <c r="F630" s="36"/>
      <c r="G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7"/>
      <c r="AC630" s="36"/>
      <c r="AD630" s="36"/>
      <c r="AE630" s="37"/>
      <c r="AG630" s="36"/>
      <c r="AH630" s="36"/>
      <c r="AI630" s="36"/>
      <c r="AJ630" s="36"/>
      <c r="BG630" s="39"/>
      <c r="BH630" s="32"/>
    </row>
    <row r="631">
      <c r="A631" s="36"/>
      <c r="B631" s="36"/>
      <c r="E631" s="36"/>
      <c r="F631" s="36"/>
      <c r="G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7"/>
      <c r="AC631" s="36"/>
      <c r="AD631" s="36"/>
      <c r="AE631" s="37"/>
      <c r="AG631" s="36"/>
      <c r="AH631" s="36"/>
      <c r="AI631" s="36"/>
      <c r="AJ631" s="36"/>
      <c r="BG631" s="39"/>
      <c r="BH631" s="32"/>
    </row>
    <row r="632">
      <c r="A632" s="36"/>
      <c r="B632" s="36"/>
      <c r="E632" s="36"/>
      <c r="F632" s="36"/>
      <c r="G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7"/>
      <c r="AC632" s="36"/>
      <c r="AD632" s="36"/>
      <c r="AE632" s="37"/>
      <c r="AG632" s="36"/>
      <c r="AH632" s="36"/>
      <c r="AI632" s="36"/>
      <c r="AJ632" s="36"/>
      <c r="BG632" s="39"/>
      <c r="BH632" s="32"/>
    </row>
    <row r="633">
      <c r="A633" s="36"/>
      <c r="B633" s="36"/>
      <c r="E633" s="36"/>
      <c r="F633" s="36"/>
      <c r="G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7"/>
      <c r="AC633" s="36"/>
      <c r="AD633" s="36"/>
      <c r="AE633" s="37"/>
      <c r="AG633" s="36"/>
      <c r="AH633" s="36"/>
      <c r="AI633" s="36"/>
      <c r="AJ633" s="36"/>
      <c r="BG633" s="39"/>
      <c r="BH633" s="32"/>
    </row>
    <row r="634">
      <c r="A634" s="36"/>
      <c r="B634" s="36"/>
      <c r="E634" s="36"/>
      <c r="F634" s="36"/>
      <c r="G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7"/>
      <c r="AC634" s="36"/>
      <c r="AD634" s="36"/>
      <c r="AE634" s="37"/>
      <c r="AG634" s="36"/>
      <c r="AH634" s="36"/>
      <c r="AI634" s="36"/>
      <c r="AJ634" s="36"/>
      <c r="BG634" s="39"/>
      <c r="BH634" s="32"/>
    </row>
    <row r="635">
      <c r="A635" s="36"/>
      <c r="B635" s="36"/>
      <c r="E635" s="36"/>
      <c r="F635" s="36"/>
      <c r="G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7"/>
      <c r="AC635" s="36"/>
      <c r="AD635" s="36"/>
      <c r="AE635" s="37"/>
      <c r="AG635" s="36"/>
      <c r="AH635" s="36"/>
      <c r="AI635" s="36"/>
      <c r="AJ635" s="36"/>
      <c r="BG635" s="39"/>
      <c r="BH635" s="32"/>
    </row>
    <row r="636">
      <c r="A636" s="36"/>
      <c r="B636" s="36"/>
      <c r="E636" s="36"/>
      <c r="F636" s="36"/>
      <c r="G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7"/>
      <c r="AC636" s="36"/>
      <c r="AD636" s="36"/>
      <c r="AE636" s="37"/>
      <c r="AG636" s="36"/>
      <c r="AH636" s="36"/>
      <c r="AI636" s="36"/>
      <c r="AJ636" s="36"/>
      <c r="BG636" s="39"/>
      <c r="BH636" s="32"/>
    </row>
    <row r="637">
      <c r="A637" s="36"/>
      <c r="B637" s="36"/>
      <c r="E637" s="36"/>
      <c r="F637" s="36"/>
      <c r="G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7"/>
      <c r="AC637" s="36"/>
      <c r="AD637" s="36"/>
      <c r="AE637" s="37"/>
      <c r="AG637" s="36"/>
      <c r="AH637" s="36"/>
      <c r="AI637" s="36"/>
      <c r="AJ637" s="36"/>
      <c r="BG637" s="39"/>
      <c r="BH637" s="32"/>
    </row>
    <row r="638">
      <c r="A638" s="36"/>
      <c r="B638" s="36"/>
      <c r="E638" s="36"/>
      <c r="F638" s="36"/>
      <c r="G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7"/>
      <c r="AC638" s="36"/>
      <c r="AD638" s="36"/>
      <c r="AE638" s="37"/>
      <c r="AG638" s="36"/>
      <c r="AH638" s="36"/>
      <c r="AI638" s="36"/>
      <c r="AJ638" s="36"/>
      <c r="BG638" s="39"/>
      <c r="BH638" s="32"/>
    </row>
    <row r="639">
      <c r="A639" s="36"/>
      <c r="B639" s="36"/>
      <c r="E639" s="36"/>
      <c r="F639" s="36"/>
      <c r="G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7"/>
      <c r="AC639" s="36"/>
      <c r="AD639" s="36"/>
      <c r="AE639" s="37"/>
      <c r="AG639" s="36"/>
      <c r="AH639" s="36"/>
      <c r="AI639" s="36"/>
      <c r="AJ639" s="36"/>
      <c r="BG639" s="39"/>
      <c r="BH639" s="32"/>
    </row>
    <row r="640">
      <c r="A640" s="36"/>
      <c r="B640" s="36"/>
      <c r="E640" s="36"/>
      <c r="F640" s="36"/>
      <c r="G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7"/>
      <c r="AC640" s="36"/>
      <c r="AD640" s="36"/>
      <c r="AE640" s="37"/>
      <c r="AG640" s="36"/>
      <c r="AH640" s="36"/>
      <c r="AI640" s="36"/>
      <c r="AJ640" s="36"/>
      <c r="BG640" s="39"/>
      <c r="BH640" s="32"/>
    </row>
    <row r="641">
      <c r="A641" s="36"/>
      <c r="B641" s="36"/>
      <c r="E641" s="36"/>
      <c r="F641" s="36"/>
      <c r="G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7"/>
      <c r="AC641" s="36"/>
      <c r="AD641" s="36"/>
      <c r="AE641" s="37"/>
      <c r="AG641" s="36"/>
      <c r="AH641" s="36"/>
      <c r="AI641" s="36"/>
      <c r="AJ641" s="36"/>
      <c r="BG641" s="39"/>
      <c r="BH641" s="32"/>
    </row>
    <row r="642">
      <c r="A642" s="36"/>
      <c r="B642" s="36"/>
      <c r="E642" s="36"/>
      <c r="F642" s="36"/>
      <c r="G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7"/>
      <c r="AC642" s="36"/>
      <c r="AD642" s="36"/>
      <c r="AE642" s="37"/>
      <c r="AG642" s="36"/>
      <c r="AH642" s="36"/>
      <c r="AI642" s="36"/>
      <c r="AJ642" s="36"/>
      <c r="BG642" s="39"/>
      <c r="BH642" s="32"/>
    </row>
    <row r="643">
      <c r="A643" s="36"/>
      <c r="B643" s="36"/>
      <c r="E643" s="36"/>
      <c r="F643" s="36"/>
      <c r="G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7"/>
      <c r="AC643" s="36"/>
      <c r="AD643" s="36"/>
      <c r="AE643" s="37"/>
      <c r="AG643" s="36"/>
      <c r="AH643" s="36"/>
      <c r="AI643" s="36"/>
      <c r="AJ643" s="36"/>
      <c r="BG643" s="39"/>
      <c r="BH643" s="32"/>
    </row>
    <row r="644">
      <c r="A644" s="36"/>
      <c r="B644" s="36"/>
      <c r="E644" s="36"/>
      <c r="F644" s="36"/>
      <c r="G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7"/>
      <c r="AC644" s="36"/>
      <c r="AD644" s="36"/>
      <c r="AE644" s="37"/>
      <c r="AG644" s="36"/>
      <c r="AH644" s="36"/>
      <c r="AI644" s="36"/>
      <c r="AJ644" s="36"/>
      <c r="BG644" s="39"/>
      <c r="BH644" s="32"/>
    </row>
    <row r="645">
      <c r="A645" s="36"/>
      <c r="B645" s="36"/>
      <c r="E645" s="36"/>
      <c r="F645" s="36"/>
      <c r="G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7"/>
      <c r="AC645" s="36"/>
      <c r="AD645" s="36"/>
      <c r="AE645" s="37"/>
      <c r="AG645" s="36"/>
      <c r="AH645" s="36"/>
      <c r="AI645" s="36"/>
      <c r="AJ645" s="36"/>
      <c r="BG645" s="39"/>
      <c r="BH645" s="32"/>
    </row>
    <row r="646">
      <c r="A646" s="36"/>
      <c r="B646" s="36"/>
      <c r="E646" s="36"/>
      <c r="F646" s="36"/>
      <c r="G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7"/>
      <c r="AC646" s="36"/>
      <c r="AD646" s="36"/>
      <c r="AE646" s="37"/>
      <c r="AG646" s="36"/>
      <c r="AH646" s="36"/>
      <c r="AI646" s="36"/>
      <c r="AJ646" s="36"/>
      <c r="BG646" s="39"/>
      <c r="BH646" s="32"/>
    </row>
    <row r="647">
      <c r="A647" s="36"/>
      <c r="B647" s="36"/>
      <c r="E647" s="36"/>
      <c r="F647" s="36"/>
      <c r="G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7"/>
      <c r="AC647" s="36"/>
      <c r="AD647" s="36"/>
      <c r="AE647" s="37"/>
      <c r="AG647" s="36"/>
      <c r="AH647" s="36"/>
      <c r="AI647" s="36"/>
      <c r="AJ647" s="36"/>
      <c r="BG647" s="39"/>
      <c r="BH647" s="32"/>
    </row>
    <row r="648">
      <c r="A648" s="36"/>
      <c r="B648" s="36"/>
      <c r="E648" s="36"/>
      <c r="F648" s="36"/>
      <c r="G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7"/>
      <c r="AC648" s="36"/>
      <c r="AD648" s="36"/>
      <c r="AE648" s="37"/>
      <c r="AG648" s="36"/>
      <c r="AH648" s="36"/>
      <c r="AI648" s="36"/>
      <c r="AJ648" s="36"/>
      <c r="BG648" s="39"/>
      <c r="BH648" s="32"/>
    </row>
    <row r="649">
      <c r="A649" s="36"/>
      <c r="B649" s="36"/>
      <c r="E649" s="36"/>
      <c r="F649" s="36"/>
      <c r="G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7"/>
      <c r="AC649" s="36"/>
      <c r="AD649" s="36"/>
      <c r="AE649" s="37"/>
      <c r="AG649" s="36"/>
      <c r="AH649" s="36"/>
      <c r="AI649" s="36"/>
      <c r="AJ649" s="36"/>
      <c r="BG649" s="39"/>
      <c r="BH649" s="32"/>
    </row>
    <row r="650">
      <c r="A650" s="36"/>
      <c r="B650" s="36"/>
      <c r="E650" s="36"/>
      <c r="F650" s="36"/>
      <c r="G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7"/>
      <c r="AC650" s="36"/>
      <c r="AD650" s="36"/>
      <c r="AE650" s="37"/>
      <c r="AG650" s="36"/>
      <c r="AH650" s="36"/>
      <c r="AI650" s="36"/>
      <c r="AJ650" s="36"/>
      <c r="BG650" s="39"/>
      <c r="BH650" s="32"/>
    </row>
    <row r="651">
      <c r="A651" s="36"/>
      <c r="B651" s="36"/>
      <c r="E651" s="36"/>
      <c r="F651" s="36"/>
      <c r="G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7"/>
      <c r="AC651" s="36"/>
      <c r="AD651" s="36"/>
      <c r="AE651" s="37"/>
      <c r="AG651" s="36"/>
      <c r="AH651" s="36"/>
      <c r="AI651" s="36"/>
      <c r="AJ651" s="36"/>
      <c r="BG651" s="39"/>
      <c r="BH651" s="32"/>
    </row>
    <row r="652">
      <c r="A652" s="36"/>
      <c r="B652" s="36"/>
      <c r="E652" s="36"/>
      <c r="F652" s="36"/>
      <c r="G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7"/>
      <c r="AC652" s="36"/>
      <c r="AD652" s="36"/>
      <c r="AE652" s="37"/>
      <c r="AG652" s="36"/>
      <c r="AH652" s="36"/>
      <c r="AI652" s="36"/>
      <c r="AJ652" s="36"/>
      <c r="BG652" s="39"/>
      <c r="BH652" s="32"/>
    </row>
    <row r="653">
      <c r="A653" s="36"/>
      <c r="B653" s="36"/>
      <c r="E653" s="36"/>
      <c r="F653" s="36"/>
      <c r="G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7"/>
      <c r="AC653" s="36"/>
      <c r="AD653" s="36"/>
      <c r="AE653" s="37"/>
      <c r="AG653" s="36"/>
      <c r="AH653" s="36"/>
      <c r="AI653" s="36"/>
      <c r="AJ653" s="36"/>
      <c r="BG653" s="39"/>
      <c r="BH653" s="32"/>
    </row>
    <row r="654">
      <c r="A654" s="36"/>
      <c r="B654" s="36"/>
      <c r="E654" s="36"/>
      <c r="F654" s="36"/>
      <c r="G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7"/>
      <c r="AC654" s="36"/>
      <c r="AD654" s="36"/>
      <c r="AE654" s="37"/>
      <c r="AG654" s="36"/>
      <c r="AH654" s="36"/>
      <c r="AI654" s="36"/>
      <c r="AJ654" s="36"/>
      <c r="BG654" s="39"/>
      <c r="BH654" s="32"/>
    </row>
    <row r="655">
      <c r="A655" s="36"/>
      <c r="B655" s="36"/>
      <c r="E655" s="36"/>
      <c r="F655" s="36"/>
      <c r="G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7"/>
      <c r="AC655" s="36"/>
      <c r="AD655" s="36"/>
      <c r="AE655" s="37"/>
      <c r="AG655" s="36"/>
      <c r="AH655" s="36"/>
      <c r="AI655" s="36"/>
      <c r="AJ655" s="36"/>
      <c r="BG655" s="39"/>
      <c r="BH655" s="32"/>
    </row>
    <row r="656">
      <c r="A656" s="36"/>
      <c r="B656" s="36"/>
      <c r="E656" s="36"/>
      <c r="F656" s="36"/>
      <c r="G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7"/>
      <c r="AC656" s="36"/>
      <c r="AD656" s="36"/>
      <c r="AE656" s="37"/>
      <c r="AG656" s="36"/>
      <c r="AH656" s="36"/>
      <c r="AI656" s="36"/>
      <c r="AJ656" s="36"/>
      <c r="BG656" s="39"/>
      <c r="BH656" s="32"/>
    </row>
    <row r="657">
      <c r="A657" s="36"/>
      <c r="B657" s="36"/>
      <c r="E657" s="36"/>
      <c r="F657" s="36"/>
      <c r="G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7"/>
      <c r="AC657" s="36"/>
      <c r="AD657" s="36"/>
      <c r="AE657" s="37"/>
      <c r="AG657" s="36"/>
      <c r="AH657" s="36"/>
      <c r="AI657" s="36"/>
      <c r="AJ657" s="36"/>
      <c r="BG657" s="39"/>
      <c r="BH657" s="32"/>
    </row>
    <row r="658">
      <c r="A658" s="36"/>
      <c r="B658" s="36"/>
      <c r="E658" s="36"/>
      <c r="F658" s="36"/>
      <c r="G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7"/>
      <c r="AC658" s="36"/>
      <c r="AD658" s="36"/>
      <c r="AE658" s="37"/>
      <c r="AG658" s="36"/>
      <c r="AH658" s="36"/>
      <c r="AI658" s="36"/>
      <c r="AJ658" s="36"/>
      <c r="BG658" s="39"/>
      <c r="BH658" s="32"/>
    </row>
    <row r="659">
      <c r="A659" s="36"/>
      <c r="B659" s="36"/>
      <c r="E659" s="36"/>
      <c r="F659" s="36"/>
      <c r="G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7"/>
      <c r="AC659" s="36"/>
      <c r="AD659" s="36"/>
      <c r="AE659" s="37"/>
      <c r="AG659" s="36"/>
      <c r="AH659" s="36"/>
      <c r="AI659" s="36"/>
      <c r="AJ659" s="36"/>
      <c r="BG659" s="39"/>
      <c r="BH659" s="32"/>
    </row>
    <row r="660">
      <c r="A660" s="36"/>
      <c r="B660" s="36"/>
      <c r="E660" s="36"/>
      <c r="F660" s="36"/>
      <c r="G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7"/>
      <c r="AC660" s="36"/>
      <c r="AD660" s="36"/>
      <c r="AE660" s="37"/>
      <c r="AG660" s="36"/>
      <c r="AH660" s="36"/>
      <c r="AI660" s="36"/>
      <c r="AJ660" s="36"/>
      <c r="BG660" s="39"/>
      <c r="BH660" s="32"/>
    </row>
    <row r="661">
      <c r="A661" s="36"/>
      <c r="B661" s="36"/>
      <c r="E661" s="36"/>
      <c r="F661" s="36"/>
      <c r="G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7"/>
      <c r="AC661" s="36"/>
      <c r="AD661" s="36"/>
      <c r="AE661" s="37"/>
      <c r="AG661" s="36"/>
      <c r="AH661" s="36"/>
      <c r="AI661" s="36"/>
      <c r="AJ661" s="36"/>
      <c r="BG661" s="39"/>
      <c r="BH661" s="32"/>
    </row>
    <row r="662">
      <c r="A662" s="36"/>
      <c r="B662" s="36"/>
      <c r="E662" s="36"/>
      <c r="F662" s="36"/>
      <c r="G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7"/>
      <c r="AC662" s="36"/>
      <c r="AD662" s="36"/>
      <c r="AE662" s="37"/>
      <c r="AG662" s="36"/>
      <c r="AH662" s="36"/>
      <c r="AI662" s="36"/>
      <c r="AJ662" s="36"/>
      <c r="BG662" s="39"/>
      <c r="BH662" s="32"/>
    </row>
    <row r="663">
      <c r="A663" s="36"/>
      <c r="B663" s="36"/>
      <c r="E663" s="36"/>
      <c r="F663" s="36"/>
      <c r="G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7"/>
      <c r="AC663" s="36"/>
      <c r="AD663" s="36"/>
      <c r="AE663" s="37"/>
      <c r="AG663" s="36"/>
      <c r="AH663" s="36"/>
      <c r="AI663" s="36"/>
      <c r="AJ663" s="36"/>
      <c r="BG663" s="39"/>
      <c r="BH663" s="32"/>
    </row>
    <row r="664">
      <c r="A664" s="36"/>
      <c r="B664" s="36"/>
      <c r="E664" s="36"/>
      <c r="F664" s="36"/>
      <c r="G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7"/>
      <c r="AC664" s="36"/>
      <c r="AD664" s="36"/>
      <c r="AE664" s="37"/>
      <c r="AG664" s="36"/>
      <c r="AH664" s="36"/>
      <c r="AI664" s="36"/>
      <c r="AJ664" s="36"/>
      <c r="BG664" s="39"/>
      <c r="BH664" s="32"/>
    </row>
    <row r="665">
      <c r="A665" s="36"/>
      <c r="B665" s="36"/>
      <c r="E665" s="36"/>
      <c r="F665" s="36"/>
      <c r="G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7"/>
      <c r="AC665" s="36"/>
      <c r="AD665" s="36"/>
      <c r="AE665" s="37"/>
      <c r="AG665" s="36"/>
      <c r="AH665" s="36"/>
      <c r="AI665" s="36"/>
      <c r="AJ665" s="36"/>
      <c r="BG665" s="39"/>
      <c r="BH665" s="32"/>
    </row>
    <row r="666">
      <c r="A666" s="36"/>
      <c r="B666" s="36"/>
      <c r="E666" s="36"/>
      <c r="F666" s="36"/>
      <c r="G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7"/>
      <c r="AC666" s="36"/>
      <c r="AD666" s="36"/>
      <c r="AE666" s="37"/>
      <c r="AG666" s="36"/>
      <c r="AH666" s="36"/>
      <c r="AI666" s="36"/>
      <c r="AJ666" s="36"/>
      <c r="BG666" s="39"/>
      <c r="BH666" s="32"/>
    </row>
    <row r="667">
      <c r="A667" s="36"/>
      <c r="B667" s="36"/>
      <c r="E667" s="36"/>
      <c r="F667" s="36"/>
      <c r="G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7"/>
      <c r="AC667" s="36"/>
      <c r="AD667" s="36"/>
      <c r="AE667" s="37"/>
      <c r="AG667" s="36"/>
      <c r="AH667" s="36"/>
      <c r="AI667" s="36"/>
      <c r="AJ667" s="36"/>
      <c r="BG667" s="39"/>
      <c r="BH667" s="32"/>
    </row>
    <row r="668">
      <c r="A668" s="36"/>
      <c r="B668" s="36"/>
      <c r="E668" s="36"/>
      <c r="F668" s="36"/>
      <c r="G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7"/>
      <c r="AC668" s="36"/>
      <c r="AD668" s="36"/>
      <c r="AE668" s="37"/>
      <c r="AG668" s="36"/>
      <c r="AH668" s="36"/>
      <c r="AI668" s="36"/>
      <c r="AJ668" s="36"/>
      <c r="BG668" s="39"/>
      <c r="BH668" s="32"/>
    </row>
    <row r="669">
      <c r="A669" s="36"/>
      <c r="B669" s="36"/>
      <c r="E669" s="36"/>
      <c r="F669" s="36"/>
      <c r="G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7"/>
      <c r="AC669" s="36"/>
      <c r="AD669" s="36"/>
      <c r="AE669" s="37"/>
      <c r="AG669" s="36"/>
      <c r="AH669" s="36"/>
      <c r="AI669" s="36"/>
      <c r="AJ669" s="36"/>
      <c r="BG669" s="39"/>
      <c r="BH669" s="32"/>
    </row>
    <row r="670">
      <c r="A670" s="36"/>
      <c r="B670" s="36"/>
      <c r="E670" s="36"/>
      <c r="F670" s="36"/>
      <c r="G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7"/>
      <c r="AC670" s="36"/>
      <c r="AD670" s="36"/>
      <c r="AE670" s="37"/>
      <c r="AG670" s="36"/>
      <c r="AH670" s="36"/>
      <c r="AI670" s="36"/>
      <c r="AJ670" s="36"/>
      <c r="BG670" s="39"/>
      <c r="BH670" s="32"/>
    </row>
    <row r="671">
      <c r="A671" s="36"/>
      <c r="B671" s="36"/>
      <c r="E671" s="36"/>
      <c r="F671" s="36"/>
      <c r="G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7"/>
      <c r="AC671" s="36"/>
      <c r="AD671" s="36"/>
      <c r="AE671" s="37"/>
      <c r="AG671" s="36"/>
      <c r="AH671" s="36"/>
      <c r="AI671" s="36"/>
      <c r="AJ671" s="36"/>
      <c r="BG671" s="39"/>
      <c r="BH671" s="32"/>
    </row>
    <row r="672">
      <c r="A672" s="36"/>
      <c r="B672" s="36"/>
      <c r="E672" s="36"/>
      <c r="F672" s="36"/>
      <c r="G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7"/>
      <c r="AC672" s="36"/>
      <c r="AD672" s="36"/>
      <c r="AE672" s="37"/>
      <c r="AG672" s="36"/>
      <c r="AH672" s="36"/>
      <c r="AI672" s="36"/>
      <c r="AJ672" s="36"/>
      <c r="BG672" s="39"/>
      <c r="BH672" s="32"/>
    </row>
    <row r="673">
      <c r="A673" s="36"/>
      <c r="B673" s="36"/>
      <c r="E673" s="36"/>
      <c r="F673" s="36"/>
      <c r="G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7"/>
      <c r="AC673" s="36"/>
      <c r="AD673" s="36"/>
      <c r="AE673" s="37"/>
      <c r="AG673" s="36"/>
      <c r="AH673" s="36"/>
      <c r="AI673" s="36"/>
      <c r="AJ673" s="36"/>
      <c r="BG673" s="39"/>
      <c r="BH673" s="32"/>
    </row>
    <row r="674">
      <c r="A674" s="36"/>
      <c r="B674" s="36"/>
      <c r="E674" s="36"/>
      <c r="F674" s="36"/>
      <c r="G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7"/>
      <c r="AC674" s="36"/>
      <c r="AD674" s="36"/>
      <c r="AE674" s="37"/>
      <c r="AG674" s="36"/>
      <c r="AH674" s="36"/>
      <c r="AI674" s="36"/>
      <c r="AJ674" s="36"/>
      <c r="BG674" s="39"/>
      <c r="BH674" s="32"/>
    </row>
    <row r="675">
      <c r="A675" s="36"/>
      <c r="B675" s="36"/>
      <c r="E675" s="36"/>
      <c r="F675" s="36"/>
      <c r="G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7"/>
      <c r="AC675" s="36"/>
      <c r="AD675" s="36"/>
      <c r="AE675" s="37"/>
      <c r="AG675" s="36"/>
      <c r="AH675" s="36"/>
      <c r="AI675" s="36"/>
      <c r="AJ675" s="36"/>
      <c r="BG675" s="39"/>
      <c r="BH675" s="32"/>
    </row>
    <row r="676">
      <c r="A676" s="36"/>
      <c r="B676" s="36"/>
      <c r="E676" s="36"/>
      <c r="F676" s="36"/>
      <c r="G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7"/>
      <c r="AC676" s="36"/>
      <c r="AD676" s="36"/>
      <c r="AE676" s="37"/>
      <c r="AG676" s="36"/>
      <c r="AH676" s="36"/>
      <c r="AI676" s="36"/>
      <c r="AJ676" s="36"/>
      <c r="BG676" s="39"/>
      <c r="BH676" s="32"/>
    </row>
    <row r="677">
      <c r="A677" s="36"/>
      <c r="B677" s="36"/>
      <c r="E677" s="36"/>
      <c r="F677" s="36"/>
      <c r="G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7"/>
      <c r="AC677" s="36"/>
      <c r="AD677" s="36"/>
      <c r="AE677" s="37"/>
      <c r="AG677" s="36"/>
      <c r="AH677" s="36"/>
      <c r="AI677" s="36"/>
      <c r="AJ677" s="36"/>
      <c r="BG677" s="39"/>
      <c r="BH677" s="32"/>
    </row>
    <row r="678">
      <c r="A678" s="36"/>
      <c r="B678" s="36"/>
      <c r="E678" s="36"/>
      <c r="F678" s="36"/>
      <c r="G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7"/>
      <c r="AC678" s="36"/>
      <c r="AD678" s="36"/>
      <c r="AE678" s="37"/>
      <c r="AG678" s="36"/>
      <c r="AH678" s="36"/>
      <c r="AI678" s="36"/>
      <c r="AJ678" s="36"/>
      <c r="BG678" s="39"/>
      <c r="BH678" s="32"/>
    </row>
    <row r="679">
      <c r="A679" s="36"/>
      <c r="B679" s="36"/>
      <c r="E679" s="36"/>
      <c r="F679" s="36"/>
      <c r="G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7"/>
      <c r="AC679" s="36"/>
      <c r="AD679" s="36"/>
      <c r="AE679" s="37"/>
      <c r="AG679" s="36"/>
      <c r="AH679" s="36"/>
      <c r="AI679" s="36"/>
      <c r="AJ679" s="36"/>
      <c r="BG679" s="39"/>
      <c r="BH679" s="32"/>
    </row>
    <row r="680">
      <c r="A680" s="36"/>
      <c r="B680" s="36"/>
      <c r="E680" s="36"/>
      <c r="F680" s="36"/>
      <c r="G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7"/>
      <c r="AC680" s="36"/>
      <c r="AD680" s="36"/>
      <c r="AE680" s="37"/>
      <c r="AG680" s="36"/>
      <c r="AH680" s="36"/>
      <c r="AI680" s="36"/>
      <c r="AJ680" s="36"/>
      <c r="BG680" s="39"/>
      <c r="BH680" s="32"/>
    </row>
    <row r="681">
      <c r="A681" s="36"/>
      <c r="B681" s="36"/>
      <c r="E681" s="36"/>
      <c r="F681" s="36"/>
      <c r="G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7"/>
      <c r="AC681" s="36"/>
      <c r="AD681" s="36"/>
      <c r="AE681" s="37"/>
      <c r="AG681" s="36"/>
      <c r="AH681" s="36"/>
      <c r="AI681" s="36"/>
      <c r="AJ681" s="36"/>
      <c r="BG681" s="39"/>
      <c r="BH681" s="32"/>
    </row>
    <row r="682">
      <c r="A682" s="36"/>
      <c r="B682" s="36"/>
      <c r="E682" s="36"/>
      <c r="F682" s="36"/>
      <c r="G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7"/>
      <c r="AC682" s="36"/>
      <c r="AD682" s="36"/>
      <c r="AE682" s="37"/>
      <c r="AG682" s="36"/>
      <c r="AH682" s="36"/>
      <c r="AI682" s="36"/>
      <c r="AJ682" s="36"/>
      <c r="BG682" s="39"/>
      <c r="BH682" s="32"/>
    </row>
    <row r="683">
      <c r="A683" s="36"/>
      <c r="B683" s="36"/>
      <c r="E683" s="36"/>
      <c r="F683" s="36"/>
      <c r="G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7"/>
      <c r="AC683" s="36"/>
      <c r="AD683" s="36"/>
      <c r="AE683" s="37"/>
      <c r="AG683" s="36"/>
      <c r="AH683" s="36"/>
      <c r="AI683" s="36"/>
      <c r="AJ683" s="36"/>
      <c r="BG683" s="39"/>
      <c r="BH683" s="32"/>
    </row>
    <row r="684">
      <c r="A684" s="36"/>
      <c r="B684" s="36"/>
      <c r="E684" s="36"/>
      <c r="F684" s="36"/>
      <c r="G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7"/>
      <c r="AC684" s="36"/>
      <c r="AD684" s="36"/>
      <c r="AE684" s="37"/>
      <c r="AG684" s="36"/>
      <c r="AH684" s="36"/>
      <c r="AI684" s="36"/>
      <c r="AJ684" s="36"/>
      <c r="BG684" s="39"/>
      <c r="BH684" s="32"/>
    </row>
    <row r="685">
      <c r="A685" s="36"/>
      <c r="B685" s="36"/>
      <c r="E685" s="36"/>
      <c r="F685" s="36"/>
      <c r="G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7"/>
      <c r="AC685" s="36"/>
      <c r="AD685" s="36"/>
      <c r="AE685" s="37"/>
      <c r="AG685" s="36"/>
      <c r="AH685" s="36"/>
      <c r="AI685" s="36"/>
      <c r="AJ685" s="36"/>
      <c r="BG685" s="39"/>
      <c r="BH685" s="32"/>
    </row>
    <row r="686">
      <c r="A686" s="36"/>
      <c r="B686" s="36"/>
      <c r="E686" s="36"/>
      <c r="F686" s="36"/>
      <c r="G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7"/>
      <c r="AC686" s="36"/>
      <c r="AD686" s="36"/>
      <c r="AE686" s="37"/>
      <c r="AG686" s="36"/>
      <c r="AH686" s="36"/>
      <c r="AI686" s="36"/>
      <c r="AJ686" s="36"/>
      <c r="BG686" s="39"/>
      <c r="BH686" s="32"/>
    </row>
    <row r="687">
      <c r="A687" s="36"/>
      <c r="B687" s="36"/>
      <c r="E687" s="36"/>
      <c r="F687" s="36"/>
      <c r="G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7"/>
      <c r="AC687" s="36"/>
      <c r="AD687" s="36"/>
      <c r="AE687" s="37"/>
      <c r="AG687" s="36"/>
      <c r="AH687" s="36"/>
      <c r="AI687" s="36"/>
      <c r="AJ687" s="36"/>
      <c r="BG687" s="39"/>
      <c r="BH687" s="32"/>
    </row>
    <row r="688">
      <c r="A688" s="36"/>
      <c r="B688" s="36"/>
      <c r="E688" s="36"/>
      <c r="F688" s="36"/>
      <c r="G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7"/>
      <c r="AC688" s="36"/>
      <c r="AD688" s="36"/>
      <c r="AE688" s="37"/>
      <c r="AG688" s="36"/>
      <c r="AH688" s="36"/>
      <c r="AI688" s="36"/>
      <c r="AJ688" s="36"/>
      <c r="BG688" s="39"/>
      <c r="BH688" s="32"/>
    </row>
    <row r="689">
      <c r="A689" s="36"/>
      <c r="B689" s="36"/>
      <c r="E689" s="36"/>
      <c r="F689" s="36"/>
      <c r="G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7"/>
      <c r="AC689" s="36"/>
      <c r="AD689" s="36"/>
      <c r="AE689" s="37"/>
      <c r="AG689" s="36"/>
      <c r="AH689" s="36"/>
      <c r="AI689" s="36"/>
      <c r="AJ689" s="36"/>
      <c r="BG689" s="39"/>
      <c r="BH689" s="32"/>
    </row>
    <row r="690">
      <c r="A690" s="36"/>
      <c r="B690" s="36"/>
      <c r="E690" s="36"/>
      <c r="F690" s="36"/>
      <c r="G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7"/>
      <c r="AC690" s="36"/>
      <c r="AD690" s="36"/>
      <c r="AE690" s="37"/>
      <c r="AG690" s="36"/>
      <c r="AH690" s="36"/>
      <c r="AI690" s="36"/>
      <c r="AJ690" s="36"/>
      <c r="BG690" s="39"/>
      <c r="BH690" s="32"/>
    </row>
    <row r="691">
      <c r="A691" s="36"/>
      <c r="B691" s="36"/>
      <c r="E691" s="36"/>
      <c r="F691" s="36"/>
      <c r="G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7"/>
      <c r="AC691" s="36"/>
      <c r="AD691" s="36"/>
      <c r="AE691" s="37"/>
      <c r="AG691" s="36"/>
      <c r="AH691" s="36"/>
      <c r="AI691" s="36"/>
      <c r="AJ691" s="36"/>
      <c r="BG691" s="39"/>
      <c r="BH691" s="32"/>
    </row>
    <row r="692">
      <c r="A692" s="36"/>
      <c r="B692" s="36"/>
      <c r="E692" s="36"/>
      <c r="F692" s="36"/>
      <c r="G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7"/>
      <c r="AC692" s="36"/>
      <c r="AD692" s="36"/>
      <c r="AE692" s="37"/>
      <c r="AG692" s="36"/>
      <c r="AH692" s="36"/>
      <c r="AI692" s="36"/>
      <c r="AJ692" s="36"/>
      <c r="BG692" s="39"/>
      <c r="BH692" s="32"/>
    </row>
    <row r="693">
      <c r="A693" s="36"/>
      <c r="B693" s="36"/>
      <c r="E693" s="36"/>
      <c r="F693" s="36"/>
      <c r="G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7"/>
      <c r="AC693" s="36"/>
      <c r="AD693" s="36"/>
      <c r="AE693" s="37"/>
      <c r="AG693" s="36"/>
      <c r="AH693" s="36"/>
      <c r="AI693" s="36"/>
      <c r="AJ693" s="36"/>
      <c r="BG693" s="39"/>
      <c r="BH693" s="32"/>
    </row>
    <row r="694">
      <c r="A694" s="36"/>
      <c r="B694" s="36"/>
      <c r="E694" s="36"/>
      <c r="F694" s="36"/>
      <c r="G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7"/>
      <c r="AC694" s="36"/>
      <c r="AD694" s="36"/>
      <c r="AE694" s="37"/>
      <c r="AG694" s="36"/>
      <c r="AH694" s="36"/>
      <c r="AI694" s="36"/>
      <c r="AJ694" s="36"/>
      <c r="BG694" s="39"/>
      <c r="BH694" s="32"/>
    </row>
    <row r="695">
      <c r="A695" s="36"/>
      <c r="B695" s="36"/>
      <c r="E695" s="36"/>
      <c r="F695" s="36"/>
      <c r="G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7"/>
      <c r="AC695" s="36"/>
      <c r="AD695" s="36"/>
      <c r="AE695" s="37"/>
      <c r="AG695" s="36"/>
      <c r="AH695" s="36"/>
      <c r="AI695" s="36"/>
      <c r="AJ695" s="36"/>
      <c r="BG695" s="39"/>
      <c r="BH695" s="32"/>
    </row>
    <row r="696">
      <c r="A696" s="36"/>
      <c r="B696" s="36"/>
      <c r="E696" s="36"/>
      <c r="F696" s="36"/>
      <c r="G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7"/>
      <c r="AC696" s="36"/>
      <c r="AD696" s="36"/>
      <c r="AE696" s="37"/>
      <c r="AG696" s="36"/>
      <c r="AH696" s="36"/>
      <c r="AI696" s="36"/>
      <c r="AJ696" s="36"/>
      <c r="BG696" s="39"/>
      <c r="BH696" s="32"/>
    </row>
    <row r="697">
      <c r="A697" s="36"/>
      <c r="B697" s="36"/>
      <c r="E697" s="36"/>
      <c r="F697" s="36"/>
      <c r="G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7"/>
      <c r="AC697" s="36"/>
      <c r="AD697" s="36"/>
      <c r="AE697" s="37"/>
      <c r="AG697" s="36"/>
      <c r="AH697" s="36"/>
      <c r="AI697" s="36"/>
      <c r="AJ697" s="36"/>
      <c r="BG697" s="39"/>
      <c r="BH697" s="32"/>
    </row>
    <row r="698">
      <c r="A698" s="36"/>
      <c r="B698" s="36"/>
      <c r="E698" s="36"/>
      <c r="F698" s="36"/>
      <c r="G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7"/>
      <c r="AC698" s="36"/>
      <c r="AD698" s="36"/>
      <c r="AE698" s="37"/>
      <c r="AG698" s="36"/>
      <c r="AH698" s="36"/>
      <c r="AI698" s="36"/>
      <c r="AJ698" s="36"/>
      <c r="BG698" s="39"/>
      <c r="BH698" s="32"/>
    </row>
    <row r="699">
      <c r="A699" s="36"/>
      <c r="B699" s="36"/>
      <c r="E699" s="36"/>
      <c r="F699" s="36"/>
      <c r="G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7"/>
      <c r="AC699" s="36"/>
      <c r="AD699" s="36"/>
      <c r="AE699" s="37"/>
      <c r="AG699" s="36"/>
      <c r="AH699" s="36"/>
      <c r="AI699" s="36"/>
      <c r="AJ699" s="36"/>
      <c r="BG699" s="39"/>
      <c r="BH699" s="32"/>
    </row>
    <row r="700">
      <c r="A700" s="36"/>
      <c r="B700" s="36"/>
      <c r="E700" s="36"/>
      <c r="F700" s="36"/>
      <c r="G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7"/>
      <c r="AC700" s="36"/>
      <c r="AD700" s="36"/>
      <c r="AE700" s="37"/>
      <c r="AG700" s="36"/>
      <c r="AH700" s="36"/>
      <c r="AI700" s="36"/>
      <c r="AJ700" s="36"/>
      <c r="BG700" s="39"/>
      <c r="BH700" s="32"/>
    </row>
    <row r="701">
      <c r="A701" s="36"/>
      <c r="B701" s="36"/>
      <c r="E701" s="36"/>
      <c r="F701" s="36"/>
      <c r="G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7"/>
      <c r="AC701" s="36"/>
      <c r="AD701" s="36"/>
      <c r="AE701" s="37"/>
      <c r="AG701" s="36"/>
      <c r="AH701" s="36"/>
      <c r="AI701" s="36"/>
      <c r="AJ701" s="36"/>
      <c r="BG701" s="39"/>
      <c r="BH701" s="32"/>
    </row>
    <row r="702">
      <c r="A702" s="36"/>
      <c r="B702" s="36"/>
      <c r="E702" s="36"/>
      <c r="F702" s="36"/>
      <c r="G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7"/>
      <c r="AC702" s="36"/>
      <c r="AD702" s="36"/>
      <c r="AE702" s="37"/>
      <c r="AG702" s="36"/>
      <c r="AH702" s="36"/>
      <c r="AI702" s="36"/>
      <c r="AJ702" s="36"/>
      <c r="BG702" s="39"/>
      <c r="BH702" s="32"/>
    </row>
    <row r="703">
      <c r="A703" s="36"/>
      <c r="B703" s="36"/>
      <c r="E703" s="36"/>
      <c r="F703" s="36"/>
      <c r="G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7"/>
      <c r="AC703" s="36"/>
      <c r="AD703" s="36"/>
      <c r="AE703" s="37"/>
      <c r="AG703" s="36"/>
      <c r="AH703" s="36"/>
      <c r="AI703" s="36"/>
      <c r="AJ703" s="36"/>
      <c r="BG703" s="39"/>
      <c r="BH703" s="32"/>
    </row>
    <row r="704">
      <c r="A704" s="36"/>
      <c r="B704" s="36"/>
      <c r="E704" s="36"/>
      <c r="F704" s="36"/>
      <c r="G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7"/>
      <c r="AC704" s="36"/>
      <c r="AD704" s="36"/>
      <c r="AE704" s="37"/>
      <c r="AG704" s="36"/>
      <c r="AH704" s="36"/>
      <c r="AI704" s="36"/>
      <c r="AJ704" s="36"/>
      <c r="BG704" s="39"/>
      <c r="BH704" s="32"/>
    </row>
    <row r="705">
      <c r="A705" s="36"/>
      <c r="B705" s="36"/>
      <c r="E705" s="36"/>
      <c r="F705" s="36"/>
      <c r="G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7"/>
      <c r="AC705" s="36"/>
      <c r="AD705" s="36"/>
      <c r="AE705" s="37"/>
      <c r="AG705" s="36"/>
      <c r="AH705" s="36"/>
      <c r="AI705" s="36"/>
      <c r="AJ705" s="36"/>
      <c r="BG705" s="39"/>
      <c r="BH705" s="32"/>
    </row>
    <row r="706">
      <c r="A706" s="36"/>
      <c r="B706" s="36"/>
      <c r="E706" s="36"/>
      <c r="F706" s="36"/>
      <c r="G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7"/>
      <c r="AC706" s="36"/>
      <c r="AD706" s="36"/>
      <c r="AE706" s="37"/>
      <c r="AG706" s="36"/>
      <c r="AH706" s="36"/>
      <c r="AI706" s="36"/>
      <c r="AJ706" s="36"/>
      <c r="BG706" s="39"/>
      <c r="BH706" s="32"/>
    </row>
    <row r="707">
      <c r="A707" s="36"/>
      <c r="B707" s="36"/>
      <c r="E707" s="36"/>
      <c r="F707" s="36"/>
      <c r="G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7"/>
      <c r="AC707" s="36"/>
      <c r="AD707" s="36"/>
      <c r="AE707" s="37"/>
      <c r="AG707" s="36"/>
      <c r="AH707" s="36"/>
      <c r="AI707" s="36"/>
      <c r="AJ707" s="36"/>
      <c r="BG707" s="39"/>
      <c r="BH707" s="32"/>
    </row>
    <row r="708">
      <c r="A708" s="36"/>
      <c r="B708" s="36"/>
      <c r="E708" s="36"/>
      <c r="F708" s="36"/>
      <c r="G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7"/>
      <c r="AC708" s="36"/>
      <c r="AD708" s="36"/>
      <c r="AE708" s="37"/>
      <c r="AG708" s="36"/>
      <c r="AH708" s="36"/>
      <c r="AI708" s="36"/>
      <c r="AJ708" s="36"/>
      <c r="BG708" s="39"/>
      <c r="BH708" s="32"/>
    </row>
    <row r="709">
      <c r="A709" s="36"/>
      <c r="B709" s="36"/>
      <c r="E709" s="36"/>
      <c r="F709" s="36"/>
      <c r="G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7"/>
      <c r="AC709" s="36"/>
      <c r="AD709" s="36"/>
      <c r="AE709" s="37"/>
      <c r="AG709" s="36"/>
      <c r="AH709" s="36"/>
      <c r="AI709" s="36"/>
      <c r="AJ709" s="36"/>
      <c r="BG709" s="39"/>
      <c r="BH709" s="32"/>
    </row>
    <row r="710">
      <c r="A710" s="36"/>
      <c r="B710" s="36"/>
      <c r="E710" s="36"/>
      <c r="F710" s="36"/>
      <c r="G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7"/>
      <c r="AC710" s="36"/>
      <c r="AD710" s="36"/>
      <c r="AE710" s="37"/>
      <c r="AG710" s="36"/>
      <c r="AH710" s="36"/>
      <c r="AI710" s="36"/>
      <c r="AJ710" s="36"/>
      <c r="BG710" s="39"/>
      <c r="BH710" s="32"/>
    </row>
    <row r="711">
      <c r="A711" s="36"/>
      <c r="B711" s="36"/>
      <c r="E711" s="36"/>
      <c r="F711" s="36"/>
      <c r="G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7"/>
      <c r="AC711" s="36"/>
      <c r="AD711" s="36"/>
      <c r="AE711" s="37"/>
      <c r="AG711" s="36"/>
      <c r="AH711" s="36"/>
      <c r="AI711" s="36"/>
      <c r="AJ711" s="36"/>
      <c r="BG711" s="39"/>
      <c r="BH711" s="32"/>
    </row>
    <row r="712">
      <c r="A712" s="36"/>
      <c r="B712" s="36"/>
      <c r="E712" s="36"/>
      <c r="F712" s="36"/>
      <c r="G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7"/>
      <c r="AC712" s="36"/>
      <c r="AD712" s="36"/>
      <c r="AE712" s="37"/>
      <c r="AG712" s="36"/>
      <c r="AH712" s="36"/>
      <c r="AI712" s="36"/>
      <c r="AJ712" s="36"/>
      <c r="BG712" s="39"/>
      <c r="BH712" s="32"/>
    </row>
    <row r="713">
      <c r="A713" s="36"/>
      <c r="B713" s="36"/>
      <c r="E713" s="36"/>
      <c r="F713" s="36"/>
      <c r="G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7"/>
      <c r="AC713" s="36"/>
      <c r="AD713" s="36"/>
      <c r="AE713" s="37"/>
      <c r="AG713" s="36"/>
      <c r="AH713" s="36"/>
      <c r="AI713" s="36"/>
      <c r="AJ713" s="36"/>
      <c r="BG713" s="39"/>
      <c r="BH713" s="32"/>
    </row>
    <row r="714">
      <c r="A714" s="36"/>
      <c r="B714" s="36"/>
      <c r="E714" s="36"/>
      <c r="F714" s="36"/>
      <c r="G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7"/>
      <c r="AC714" s="36"/>
      <c r="AD714" s="36"/>
      <c r="AE714" s="37"/>
      <c r="AG714" s="36"/>
      <c r="AH714" s="36"/>
      <c r="AI714" s="36"/>
      <c r="AJ714" s="36"/>
      <c r="BG714" s="39"/>
      <c r="BH714" s="32"/>
    </row>
    <row r="715">
      <c r="A715" s="36"/>
      <c r="B715" s="36"/>
      <c r="E715" s="36"/>
      <c r="F715" s="36"/>
      <c r="G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7"/>
      <c r="AC715" s="36"/>
      <c r="AD715" s="36"/>
      <c r="AE715" s="37"/>
      <c r="AG715" s="36"/>
      <c r="AH715" s="36"/>
      <c r="AI715" s="36"/>
      <c r="AJ715" s="36"/>
      <c r="BG715" s="39"/>
      <c r="BH715" s="32"/>
    </row>
    <row r="716">
      <c r="A716" s="36"/>
      <c r="B716" s="36"/>
      <c r="E716" s="36"/>
      <c r="F716" s="36"/>
      <c r="G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7"/>
      <c r="AC716" s="36"/>
      <c r="AD716" s="36"/>
      <c r="AE716" s="37"/>
      <c r="AG716" s="36"/>
      <c r="AH716" s="36"/>
      <c r="AI716" s="36"/>
      <c r="AJ716" s="36"/>
      <c r="BG716" s="39"/>
      <c r="BH716" s="32"/>
    </row>
    <row r="717">
      <c r="A717" s="36"/>
      <c r="B717" s="36"/>
      <c r="E717" s="36"/>
      <c r="F717" s="36"/>
      <c r="G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7"/>
      <c r="AC717" s="36"/>
      <c r="AD717" s="36"/>
      <c r="AE717" s="37"/>
      <c r="AG717" s="36"/>
      <c r="AH717" s="36"/>
      <c r="AI717" s="36"/>
      <c r="AJ717" s="36"/>
      <c r="BG717" s="39"/>
      <c r="BH717" s="32"/>
    </row>
    <row r="718">
      <c r="A718" s="36"/>
      <c r="B718" s="36"/>
      <c r="E718" s="36"/>
      <c r="F718" s="36"/>
      <c r="G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7"/>
      <c r="AC718" s="36"/>
      <c r="AD718" s="36"/>
      <c r="AE718" s="37"/>
      <c r="AG718" s="36"/>
      <c r="AH718" s="36"/>
      <c r="AI718" s="36"/>
      <c r="AJ718" s="36"/>
      <c r="BG718" s="39"/>
      <c r="BH718" s="32"/>
    </row>
    <row r="719">
      <c r="A719" s="36"/>
      <c r="B719" s="36"/>
      <c r="E719" s="36"/>
      <c r="F719" s="36"/>
      <c r="G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7"/>
      <c r="AC719" s="36"/>
      <c r="AD719" s="36"/>
      <c r="AE719" s="37"/>
      <c r="AG719" s="36"/>
      <c r="AH719" s="36"/>
      <c r="AI719" s="36"/>
      <c r="AJ719" s="36"/>
      <c r="BG719" s="39"/>
      <c r="BH719" s="32"/>
    </row>
    <row r="720">
      <c r="A720" s="36"/>
      <c r="B720" s="36"/>
      <c r="E720" s="36"/>
      <c r="F720" s="36"/>
      <c r="G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7"/>
      <c r="AC720" s="36"/>
      <c r="AD720" s="36"/>
      <c r="AE720" s="37"/>
      <c r="AG720" s="36"/>
      <c r="AH720" s="36"/>
      <c r="AI720" s="36"/>
      <c r="AJ720" s="36"/>
      <c r="BG720" s="39"/>
      <c r="BH720" s="32"/>
    </row>
    <row r="721">
      <c r="A721" s="36"/>
      <c r="B721" s="36"/>
      <c r="E721" s="36"/>
      <c r="F721" s="36"/>
      <c r="G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7"/>
      <c r="AC721" s="36"/>
      <c r="AD721" s="36"/>
      <c r="AE721" s="37"/>
      <c r="AG721" s="36"/>
      <c r="AH721" s="36"/>
      <c r="AI721" s="36"/>
      <c r="AJ721" s="36"/>
      <c r="BG721" s="39"/>
      <c r="BH721" s="32"/>
    </row>
    <row r="722">
      <c r="A722" s="36"/>
      <c r="B722" s="36"/>
      <c r="E722" s="36"/>
      <c r="F722" s="36"/>
      <c r="G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7"/>
      <c r="AC722" s="36"/>
      <c r="AD722" s="36"/>
      <c r="AE722" s="37"/>
      <c r="AG722" s="36"/>
      <c r="AH722" s="36"/>
      <c r="AI722" s="36"/>
      <c r="AJ722" s="36"/>
      <c r="BG722" s="39"/>
      <c r="BH722" s="32"/>
    </row>
    <row r="723">
      <c r="A723" s="36"/>
      <c r="B723" s="36"/>
      <c r="E723" s="36"/>
      <c r="F723" s="36"/>
      <c r="G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7"/>
      <c r="AC723" s="36"/>
      <c r="AD723" s="36"/>
      <c r="AE723" s="37"/>
      <c r="AG723" s="36"/>
      <c r="AH723" s="36"/>
      <c r="AI723" s="36"/>
      <c r="AJ723" s="36"/>
      <c r="BG723" s="39"/>
      <c r="BH723" s="32"/>
    </row>
    <row r="724">
      <c r="A724" s="36"/>
      <c r="B724" s="36"/>
      <c r="E724" s="36"/>
      <c r="F724" s="36"/>
      <c r="G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7"/>
      <c r="AC724" s="36"/>
      <c r="AD724" s="36"/>
      <c r="AE724" s="37"/>
      <c r="AG724" s="36"/>
      <c r="AH724" s="36"/>
      <c r="AI724" s="36"/>
      <c r="AJ724" s="36"/>
      <c r="BG724" s="39"/>
      <c r="BH724" s="32"/>
    </row>
    <row r="725">
      <c r="A725" s="36"/>
      <c r="B725" s="36"/>
      <c r="E725" s="36"/>
      <c r="F725" s="36"/>
      <c r="G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7"/>
      <c r="AC725" s="36"/>
      <c r="AD725" s="36"/>
      <c r="AE725" s="37"/>
      <c r="AG725" s="36"/>
      <c r="AH725" s="36"/>
      <c r="AI725" s="36"/>
      <c r="AJ725" s="36"/>
      <c r="BG725" s="39"/>
      <c r="BH725" s="32"/>
    </row>
    <row r="726">
      <c r="A726" s="36"/>
      <c r="B726" s="36"/>
      <c r="E726" s="36"/>
      <c r="F726" s="36"/>
      <c r="G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7"/>
      <c r="AC726" s="36"/>
      <c r="AD726" s="36"/>
      <c r="AE726" s="37"/>
      <c r="AG726" s="36"/>
      <c r="AH726" s="36"/>
      <c r="AI726" s="36"/>
      <c r="AJ726" s="36"/>
      <c r="BG726" s="39"/>
      <c r="BH726" s="32"/>
    </row>
    <row r="727">
      <c r="A727" s="36"/>
      <c r="B727" s="36"/>
      <c r="E727" s="36"/>
      <c r="F727" s="36"/>
      <c r="G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7"/>
      <c r="AC727" s="36"/>
      <c r="AD727" s="36"/>
      <c r="AE727" s="37"/>
      <c r="AG727" s="36"/>
      <c r="AH727" s="36"/>
      <c r="AI727" s="36"/>
      <c r="AJ727" s="36"/>
      <c r="BG727" s="39"/>
      <c r="BH727" s="32"/>
    </row>
    <row r="728">
      <c r="A728" s="36"/>
      <c r="B728" s="36"/>
      <c r="E728" s="36"/>
      <c r="F728" s="36"/>
      <c r="G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7"/>
      <c r="AC728" s="36"/>
      <c r="AD728" s="36"/>
      <c r="AE728" s="37"/>
      <c r="AG728" s="36"/>
      <c r="AH728" s="36"/>
      <c r="AI728" s="36"/>
      <c r="AJ728" s="36"/>
      <c r="BG728" s="39"/>
      <c r="BH728" s="32"/>
    </row>
    <row r="729">
      <c r="A729" s="36"/>
      <c r="B729" s="36"/>
      <c r="E729" s="36"/>
      <c r="F729" s="36"/>
      <c r="G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7"/>
      <c r="AC729" s="36"/>
      <c r="AD729" s="36"/>
      <c r="AE729" s="37"/>
      <c r="AG729" s="36"/>
      <c r="AH729" s="36"/>
      <c r="AI729" s="36"/>
      <c r="AJ729" s="36"/>
      <c r="BG729" s="39"/>
      <c r="BH729" s="32"/>
    </row>
    <row r="730">
      <c r="A730" s="36"/>
      <c r="B730" s="36"/>
      <c r="E730" s="36"/>
      <c r="F730" s="36"/>
      <c r="G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7"/>
      <c r="AC730" s="36"/>
      <c r="AD730" s="36"/>
      <c r="AE730" s="37"/>
      <c r="AG730" s="36"/>
      <c r="AH730" s="36"/>
      <c r="AI730" s="36"/>
      <c r="AJ730" s="36"/>
      <c r="BG730" s="39"/>
      <c r="BH730" s="32"/>
    </row>
    <row r="731">
      <c r="A731" s="36"/>
      <c r="B731" s="36"/>
      <c r="E731" s="36"/>
      <c r="F731" s="36"/>
      <c r="G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7"/>
      <c r="AC731" s="36"/>
      <c r="AD731" s="36"/>
      <c r="AE731" s="37"/>
      <c r="AG731" s="36"/>
      <c r="AH731" s="36"/>
      <c r="AI731" s="36"/>
      <c r="AJ731" s="36"/>
      <c r="BG731" s="39"/>
      <c r="BH731" s="32"/>
    </row>
    <row r="732">
      <c r="A732" s="36"/>
      <c r="B732" s="36"/>
      <c r="E732" s="36"/>
      <c r="F732" s="36"/>
      <c r="G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7"/>
      <c r="AC732" s="36"/>
      <c r="AD732" s="36"/>
      <c r="AE732" s="37"/>
      <c r="AG732" s="36"/>
      <c r="AH732" s="36"/>
      <c r="AI732" s="36"/>
      <c r="AJ732" s="36"/>
      <c r="BG732" s="39"/>
      <c r="BH732" s="32"/>
    </row>
    <row r="733">
      <c r="A733" s="36"/>
      <c r="B733" s="36"/>
      <c r="E733" s="36"/>
      <c r="F733" s="36"/>
      <c r="G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7"/>
      <c r="AC733" s="36"/>
      <c r="AD733" s="36"/>
      <c r="AE733" s="37"/>
      <c r="AG733" s="36"/>
      <c r="AH733" s="36"/>
      <c r="AI733" s="36"/>
      <c r="AJ733" s="36"/>
      <c r="BG733" s="39"/>
      <c r="BH733" s="32"/>
    </row>
    <row r="734">
      <c r="A734" s="36"/>
      <c r="B734" s="36"/>
      <c r="E734" s="36"/>
      <c r="F734" s="36"/>
      <c r="G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7"/>
      <c r="AC734" s="36"/>
      <c r="AD734" s="36"/>
      <c r="AE734" s="37"/>
      <c r="AG734" s="36"/>
      <c r="AH734" s="36"/>
      <c r="AI734" s="36"/>
      <c r="AJ734" s="36"/>
      <c r="BG734" s="39"/>
      <c r="BH734" s="32"/>
    </row>
    <row r="735">
      <c r="A735" s="36"/>
      <c r="B735" s="36"/>
      <c r="E735" s="36"/>
      <c r="F735" s="36"/>
      <c r="G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7"/>
      <c r="AC735" s="36"/>
      <c r="AD735" s="36"/>
      <c r="AE735" s="37"/>
      <c r="AG735" s="36"/>
      <c r="AH735" s="36"/>
      <c r="AI735" s="36"/>
      <c r="AJ735" s="36"/>
      <c r="BG735" s="39"/>
      <c r="BH735" s="32"/>
    </row>
    <row r="736">
      <c r="A736" s="36"/>
      <c r="B736" s="36"/>
      <c r="E736" s="36"/>
      <c r="F736" s="36"/>
      <c r="G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7"/>
      <c r="AC736" s="36"/>
      <c r="AD736" s="36"/>
      <c r="AE736" s="37"/>
      <c r="AG736" s="36"/>
      <c r="AH736" s="36"/>
      <c r="AI736" s="36"/>
      <c r="AJ736" s="36"/>
      <c r="BG736" s="39"/>
      <c r="BH736" s="32"/>
    </row>
    <row r="737">
      <c r="A737" s="36"/>
      <c r="B737" s="36"/>
      <c r="E737" s="36"/>
      <c r="F737" s="36"/>
      <c r="G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7"/>
      <c r="AC737" s="36"/>
      <c r="AD737" s="36"/>
      <c r="AE737" s="37"/>
      <c r="AG737" s="36"/>
      <c r="AH737" s="36"/>
      <c r="AI737" s="36"/>
      <c r="AJ737" s="36"/>
      <c r="BG737" s="39"/>
      <c r="BH737" s="32"/>
    </row>
    <row r="738">
      <c r="A738" s="36"/>
      <c r="B738" s="36"/>
      <c r="E738" s="36"/>
      <c r="F738" s="36"/>
      <c r="G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7"/>
      <c r="AC738" s="36"/>
      <c r="AD738" s="36"/>
      <c r="AE738" s="37"/>
      <c r="AG738" s="36"/>
      <c r="AH738" s="36"/>
      <c r="AI738" s="36"/>
      <c r="AJ738" s="36"/>
      <c r="BG738" s="39"/>
      <c r="BH738" s="32"/>
    </row>
    <row r="739">
      <c r="A739" s="36"/>
      <c r="B739" s="36"/>
      <c r="E739" s="36"/>
      <c r="F739" s="36"/>
      <c r="G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7"/>
      <c r="AC739" s="36"/>
      <c r="AD739" s="36"/>
      <c r="AE739" s="37"/>
      <c r="AG739" s="36"/>
      <c r="AH739" s="36"/>
      <c r="AI739" s="36"/>
      <c r="AJ739" s="36"/>
      <c r="BG739" s="39"/>
      <c r="BH739" s="32"/>
    </row>
    <row r="740">
      <c r="A740" s="36"/>
      <c r="B740" s="36"/>
      <c r="E740" s="36"/>
      <c r="F740" s="36"/>
      <c r="G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7"/>
      <c r="AC740" s="36"/>
      <c r="AD740" s="36"/>
      <c r="AE740" s="37"/>
      <c r="AG740" s="36"/>
      <c r="AH740" s="36"/>
      <c r="AI740" s="36"/>
      <c r="AJ740" s="36"/>
      <c r="BG740" s="39"/>
      <c r="BH740" s="32"/>
    </row>
    <row r="741">
      <c r="A741" s="36"/>
      <c r="B741" s="36"/>
      <c r="E741" s="36"/>
      <c r="F741" s="36"/>
      <c r="G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7"/>
      <c r="AC741" s="36"/>
      <c r="AD741" s="36"/>
      <c r="AE741" s="37"/>
      <c r="AG741" s="36"/>
      <c r="AH741" s="36"/>
      <c r="AI741" s="36"/>
      <c r="AJ741" s="36"/>
      <c r="BG741" s="39"/>
      <c r="BH741" s="32"/>
    </row>
    <row r="742">
      <c r="A742" s="36"/>
      <c r="B742" s="36"/>
      <c r="E742" s="36"/>
      <c r="F742" s="36"/>
      <c r="G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7"/>
      <c r="AC742" s="36"/>
      <c r="AD742" s="36"/>
      <c r="AE742" s="37"/>
      <c r="AG742" s="36"/>
      <c r="AH742" s="36"/>
      <c r="AI742" s="36"/>
      <c r="AJ742" s="36"/>
      <c r="BG742" s="39"/>
      <c r="BH742" s="32"/>
    </row>
    <row r="743">
      <c r="A743" s="36"/>
      <c r="B743" s="36"/>
      <c r="E743" s="36"/>
      <c r="F743" s="36"/>
      <c r="G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7"/>
      <c r="AC743" s="36"/>
      <c r="AD743" s="36"/>
      <c r="AE743" s="37"/>
      <c r="AG743" s="36"/>
      <c r="AH743" s="36"/>
      <c r="AI743" s="36"/>
      <c r="AJ743" s="36"/>
      <c r="BG743" s="39"/>
      <c r="BH743" s="32"/>
    </row>
    <row r="744">
      <c r="A744" s="36"/>
      <c r="B744" s="36"/>
      <c r="E744" s="36"/>
      <c r="F744" s="36"/>
      <c r="G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7"/>
      <c r="AC744" s="36"/>
      <c r="AD744" s="36"/>
      <c r="AE744" s="37"/>
      <c r="AG744" s="36"/>
      <c r="AH744" s="36"/>
      <c r="AI744" s="36"/>
      <c r="AJ744" s="36"/>
      <c r="BG744" s="39"/>
      <c r="BH744" s="32"/>
    </row>
    <row r="745">
      <c r="A745" s="36"/>
      <c r="B745" s="36"/>
      <c r="E745" s="36"/>
      <c r="F745" s="36"/>
      <c r="G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7"/>
      <c r="AC745" s="36"/>
      <c r="AD745" s="36"/>
      <c r="AE745" s="37"/>
      <c r="AG745" s="36"/>
      <c r="AH745" s="36"/>
      <c r="AI745" s="36"/>
      <c r="AJ745" s="36"/>
      <c r="BG745" s="39"/>
      <c r="BH745" s="32"/>
    </row>
    <row r="746">
      <c r="A746" s="36"/>
      <c r="B746" s="36"/>
      <c r="E746" s="36"/>
      <c r="F746" s="36"/>
      <c r="G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7"/>
      <c r="AC746" s="36"/>
      <c r="AD746" s="36"/>
      <c r="AE746" s="37"/>
      <c r="AG746" s="36"/>
      <c r="AH746" s="36"/>
      <c r="AI746" s="36"/>
      <c r="AJ746" s="36"/>
      <c r="BG746" s="39"/>
      <c r="BH746" s="32"/>
    </row>
    <row r="747">
      <c r="A747" s="36"/>
      <c r="B747" s="36"/>
      <c r="E747" s="36"/>
      <c r="F747" s="36"/>
      <c r="G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7"/>
      <c r="AC747" s="36"/>
      <c r="AD747" s="36"/>
      <c r="AE747" s="37"/>
      <c r="AG747" s="36"/>
      <c r="AH747" s="36"/>
      <c r="AI747" s="36"/>
      <c r="AJ747" s="36"/>
      <c r="BG747" s="39"/>
      <c r="BH747" s="32"/>
    </row>
    <row r="748">
      <c r="A748" s="36"/>
      <c r="B748" s="36"/>
      <c r="E748" s="36"/>
      <c r="F748" s="36"/>
      <c r="G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7"/>
      <c r="AC748" s="36"/>
      <c r="AD748" s="36"/>
      <c r="AE748" s="37"/>
      <c r="AG748" s="36"/>
      <c r="AH748" s="36"/>
      <c r="AI748" s="36"/>
      <c r="AJ748" s="36"/>
      <c r="BG748" s="39"/>
      <c r="BH748" s="32"/>
    </row>
    <row r="749">
      <c r="A749" s="36"/>
      <c r="B749" s="36"/>
      <c r="E749" s="36"/>
      <c r="F749" s="36"/>
      <c r="G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7"/>
      <c r="AC749" s="36"/>
      <c r="AD749" s="36"/>
      <c r="AE749" s="37"/>
      <c r="AG749" s="36"/>
      <c r="AH749" s="36"/>
      <c r="AI749" s="36"/>
      <c r="AJ749" s="36"/>
      <c r="BG749" s="39"/>
      <c r="BH749" s="32"/>
    </row>
    <row r="750">
      <c r="A750" s="36"/>
      <c r="B750" s="36"/>
      <c r="E750" s="36"/>
      <c r="F750" s="36"/>
      <c r="G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7"/>
      <c r="AC750" s="36"/>
      <c r="AD750" s="36"/>
      <c r="AE750" s="37"/>
      <c r="AG750" s="36"/>
      <c r="AH750" s="36"/>
      <c r="AI750" s="36"/>
      <c r="AJ750" s="36"/>
      <c r="BG750" s="39"/>
      <c r="BH750" s="32"/>
    </row>
    <row r="751">
      <c r="A751" s="36"/>
      <c r="B751" s="36"/>
      <c r="E751" s="36"/>
      <c r="F751" s="36"/>
      <c r="G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7"/>
      <c r="AC751" s="36"/>
      <c r="AD751" s="36"/>
      <c r="AE751" s="37"/>
      <c r="AG751" s="36"/>
      <c r="AH751" s="36"/>
      <c r="AI751" s="36"/>
      <c r="AJ751" s="36"/>
      <c r="BG751" s="39"/>
      <c r="BH751" s="32"/>
    </row>
    <row r="752">
      <c r="A752" s="36"/>
      <c r="B752" s="36"/>
      <c r="E752" s="36"/>
      <c r="F752" s="36"/>
      <c r="G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7"/>
      <c r="AC752" s="36"/>
      <c r="AD752" s="36"/>
      <c r="AE752" s="37"/>
      <c r="AG752" s="36"/>
      <c r="AH752" s="36"/>
      <c r="AI752" s="36"/>
      <c r="AJ752" s="36"/>
      <c r="BG752" s="39"/>
      <c r="BH752" s="32"/>
    </row>
    <row r="753">
      <c r="A753" s="36"/>
      <c r="B753" s="36"/>
      <c r="E753" s="36"/>
      <c r="F753" s="36"/>
      <c r="G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7"/>
      <c r="AC753" s="36"/>
      <c r="AD753" s="36"/>
      <c r="AE753" s="37"/>
      <c r="AG753" s="36"/>
      <c r="AH753" s="36"/>
      <c r="AI753" s="36"/>
      <c r="AJ753" s="36"/>
      <c r="BG753" s="39"/>
      <c r="BH753" s="32"/>
    </row>
    <row r="754">
      <c r="A754" s="36"/>
      <c r="B754" s="36"/>
      <c r="E754" s="36"/>
      <c r="F754" s="36"/>
      <c r="G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7"/>
      <c r="AC754" s="36"/>
      <c r="AD754" s="36"/>
      <c r="AE754" s="37"/>
      <c r="AG754" s="36"/>
      <c r="AH754" s="36"/>
      <c r="AI754" s="36"/>
      <c r="AJ754" s="36"/>
      <c r="BG754" s="39"/>
      <c r="BH754" s="32"/>
    </row>
    <row r="755">
      <c r="A755" s="36"/>
      <c r="B755" s="36"/>
      <c r="E755" s="36"/>
      <c r="F755" s="36"/>
      <c r="G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7"/>
      <c r="AC755" s="36"/>
      <c r="AD755" s="36"/>
      <c r="AE755" s="37"/>
      <c r="AG755" s="36"/>
      <c r="AH755" s="36"/>
      <c r="AI755" s="36"/>
      <c r="AJ755" s="36"/>
      <c r="BG755" s="39"/>
      <c r="BH755" s="32"/>
    </row>
    <row r="756">
      <c r="A756" s="36"/>
      <c r="B756" s="36"/>
      <c r="E756" s="36"/>
      <c r="F756" s="36"/>
      <c r="G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7"/>
      <c r="AC756" s="36"/>
      <c r="AD756" s="36"/>
      <c r="AE756" s="37"/>
      <c r="AG756" s="36"/>
      <c r="AH756" s="36"/>
      <c r="AI756" s="36"/>
      <c r="AJ756" s="36"/>
      <c r="BG756" s="39"/>
      <c r="BH756" s="32"/>
    </row>
    <row r="757">
      <c r="A757" s="36"/>
      <c r="B757" s="36"/>
      <c r="E757" s="36"/>
      <c r="F757" s="36"/>
      <c r="G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7"/>
      <c r="AC757" s="36"/>
      <c r="AD757" s="36"/>
      <c r="AE757" s="37"/>
      <c r="AG757" s="36"/>
      <c r="AH757" s="36"/>
      <c r="AI757" s="36"/>
      <c r="AJ757" s="36"/>
      <c r="BG757" s="39"/>
      <c r="BH757" s="32"/>
    </row>
    <row r="758">
      <c r="A758" s="36"/>
      <c r="B758" s="36"/>
      <c r="E758" s="36"/>
      <c r="F758" s="36"/>
      <c r="G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7"/>
      <c r="AC758" s="36"/>
      <c r="AD758" s="36"/>
      <c r="AE758" s="37"/>
      <c r="AG758" s="36"/>
      <c r="AH758" s="36"/>
      <c r="AI758" s="36"/>
      <c r="AJ758" s="36"/>
      <c r="BG758" s="39"/>
      <c r="BH758" s="32"/>
    </row>
    <row r="759">
      <c r="A759" s="36"/>
      <c r="B759" s="36"/>
      <c r="E759" s="36"/>
      <c r="F759" s="36"/>
      <c r="G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7"/>
      <c r="AC759" s="36"/>
      <c r="AD759" s="36"/>
      <c r="AE759" s="37"/>
      <c r="AG759" s="36"/>
      <c r="AH759" s="36"/>
      <c r="AI759" s="36"/>
      <c r="AJ759" s="36"/>
      <c r="BG759" s="39"/>
      <c r="BH759" s="32"/>
    </row>
    <row r="760">
      <c r="A760" s="36"/>
      <c r="B760" s="36"/>
      <c r="E760" s="36"/>
      <c r="F760" s="36"/>
      <c r="G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7"/>
      <c r="AC760" s="36"/>
      <c r="AD760" s="36"/>
      <c r="AE760" s="37"/>
      <c r="AG760" s="36"/>
      <c r="AH760" s="36"/>
      <c r="AI760" s="36"/>
      <c r="AJ760" s="36"/>
      <c r="BG760" s="39"/>
      <c r="BH760" s="32"/>
    </row>
    <row r="761">
      <c r="A761" s="36"/>
      <c r="B761" s="36"/>
      <c r="E761" s="36"/>
      <c r="F761" s="36"/>
      <c r="G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7"/>
      <c r="AC761" s="36"/>
      <c r="AD761" s="36"/>
      <c r="AE761" s="37"/>
      <c r="AG761" s="36"/>
      <c r="AH761" s="36"/>
      <c r="AI761" s="36"/>
      <c r="AJ761" s="36"/>
      <c r="BG761" s="39"/>
      <c r="BH761" s="32"/>
    </row>
    <row r="762">
      <c r="A762" s="36"/>
      <c r="B762" s="36"/>
      <c r="E762" s="36"/>
      <c r="F762" s="36"/>
      <c r="G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7"/>
      <c r="AC762" s="36"/>
      <c r="AD762" s="36"/>
      <c r="AE762" s="37"/>
      <c r="AG762" s="36"/>
      <c r="AH762" s="36"/>
      <c r="AI762" s="36"/>
      <c r="AJ762" s="36"/>
      <c r="BG762" s="39"/>
      <c r="BH762" s="32"/>
    </row>
    <row r="763">
      <c r="A763" s="36"/>
      <c r="B763" s="36"/>
      <c r="E763" s="36"/>
      <c r="F763" s="36"/>
      <c r="G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7"/>
      <c r="AC763" s="36"/>
      <c r="AD763" s="36"/>
      <c r="AE763" s="37"/>
      <c r="AG763" s="36"/>
      <c r="AH763" s="36"/>
      <c r="AI763" s="36"/>
      <c r="AJ763" s="36"/>
      <c r="BG763" s="39"/>
      <c r="BH763" s="32"/>
    </row>
    <row r="764">
      <c r="A764" s="36"/>
      <c r="B764" s="36"/>
      <c r="E764" s="36"/>
      <c r="F764" s="36"/>
      <c r="G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7"/>
      <c r="AC764" s="36"/>
      <c r="AD764" s="36"/>
      <c r="AE764" s="37"/>
      <c r="AG764" s="36"/>
      <c r="AH764" s="36"/>
      <c r="AI764" s="36"/>
      <c r="AJ764" s="36"/>
      <c r="BG764" s="39"/>
      <c r="BH764" s="32"/>
    </row>
    <row r="765">
      <c r="A765" s="36"/>
      <c r="B765" s="36"/>
      <c r="E765" s="36"/>
      <c r="F765" s="36"/>
      <c r="G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7"/>
      <c r="AC765" s="36"/>
      <c r="AD765" s="36"/>
      <c r="AE765" s="37"/>
      <c r="AG765" s="36"/>
      <c r="AH765" s="36"/>
      <c r="AI765" s="36"/>
      <c r="AJ765" s="36"/>
      <c r="BG765" s="39"/>
      <c r="BH765" s="32"/>
    </row>
    <row r="766">
      <c r="A766" s="36"/>
      <c r="B766" s="36"/>
      <c r="E766" s="36"/>
      <c r="F766" s="36"/>
      <c r="G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7"/>
      <c r="AC766" s="36"/>
      <c r="AD766" s="36"/>
      <c r="AE766" s="37"/>
      <c r="AG766" s="36"/>
      <c r="AH766" s="36"/>
      <c r="AI766" s="36"/>
      <c r="AJ766" s="36"/>
      <c r="BG766" s="39"/>
      <c r="BH766" s="32"/>
    </row>
    <row r="767">
      <c r="A767" s="36"/>
      <c r="B767" s="36"/>
      <c r="E767" s="36"/>
      <c r="F767" s="36"/>
      <c r="G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7"/>
      <c r="AC767" s="36"/>
      <c r="AD767" s="36"/>
      <c r="AE767" s="37"/>
      <c r="AG767" s="36"/>
      <c r="AH767" s="36"/>
      <c r="AI767" s="36"/>
      <c r="AJ767" s="36"/>
      <c r="BG767" s="39"/>
      <c r="BH767" s="32"/>
    </row>
    <row r="768">
      <c r="A768" s="36"/>
      <c r="B768" s="36"/>
      <c r="E768" s="36"/>
      <c r="F768" s="36"/>
      <c r="G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7"/>
      <c r="AC768" s="36"/>
      <c r="AD768" s="36"/>
      <c r="AE768" s="37"/>
      <c r="AG768" s="36"/>
      <c r="AH768" s="36"/>
      <c r="AI768" s="36"/>
      <c r="AJ768" s="36"/>
      <c r="BG768" s="39"/>
      <c r="BH768" s="32"/>
    </row>
    <row r="769">
      <c r="A769" s="36"/>
      <c r="B769" s="36"/>
      <c r="E769" s="36"/>
      <c r="F769" s="36"/>
      <c r="G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7"/>
      <c r="AC769" s="36"/>
      <c r="AD769" s="36"/>
      <c r="AE769" s="37"/>
      <c r="AG769" s="36"/>
      <c r="AH769" s="36"/>
      <c r="AI769" s="36"/>
      <c r="AJ769" s="36"/>
      <c r="BG769" s="39"/>
      <c r="BH769" s="32"/>
    </row>
    <row r="770">
      <c r="A770" s="36"/>
      <c r="B770" s="36"/>
      <c r="E770" s="36"/>
      <c r="F770" s="36"/>
      <c r="G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7"/>
      <c r="AC770" s="36"/>
      <c r="AD770" s="36"/>
      <c r="AE770" s="37"/>
      <c r="AG770" s="36"/>
      <c r="AH770" s="36"/>
      <c r="AI770" s="36"/>
      <c r="AJ770" s="36"/>
      <c r="BG770" s="39"/>
      <c r="BH770" s="32"/>
    </row>
    <row r="771">
      <c r="A771" s="36"/>
      <c r="B771" s="36"/>
      <c r="E771" s="36"/>
      <c r="F771" s="36"/>
      <c r="G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7"/>
      <c r="AC771" s="36"/>
      <c r="AD771" s="36"/>
      <c r="AE771" s="37"/>
      <c r="AG771" s="36"/>
      <c r="AH771" s="36"/>
      <c r="AI771" s="36"/>
      <c r="AJ771" s="36"/>
      <c r="BG771" s="39"/>
      <c r="BH771" s="32"/>
    </row>
    <row r="772">
      <c r="A772" s="36"/>
      <c r="B772" s="36"/>
      <c r="E772" s="36"/>
      <c r="F772" s="36"/>
      <c r="G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7"/>
      <c r="AC772" s="36"/>
      <c r="AD772" s="36"/>
      <c r="AE772" s="37"/>
      <c r="AG772" s="36"/>
      <c r="AH772" s="36"/>
      <c r="AI772" s="36"/>
      <c r="AJ772" s="36"/>
      <c r="BG772" s="39"/>
      <c r="BH772" s="32"/>
    </row>
    <row r="773">
      <c r="A773" s="36"/>
      <c r="B773" s="36"/>
      <c r="E773" s="36"/>
      <c r="F773" s="36"/>
      <c r="G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7"/>
      <c r="AC773" s="36"/>
      <c r="AD773" s="36"/>
      <c r="AE773" s="37"/>
      <c r="AG773" s="36"/>
      <c r="AH773" s="36"/>
      <c r="AI773" s="36"/>
      <c r="AJ773" s="36"/>
      <c r="BG773" s="39"/>
      <c r="BH773" s="32"/>
    </row>
    <row r="774">
      <c r="A774" s="36"/>
      <c r="B774" s="36"/>
      <c r="E774" s="36"/>
      <c r="F774" s="36"/>
      <c r="G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7"/>
      <c r="AC774" s="36"/>
      <c r="AD774" s="36"/>
      <c r="AE774" s="37"/>
      <c r="AG774" s="36"/>
      <c r="AH774" s="36"/>
      <c r="AI774" s="36"/>
      <c r="AJ774" s="36"/>
      <c r="BG774" s="39"/>
      <c r="BH774" s="32"/>
    </row>
    <row r="775">
      <c r="A775" s="36"/>
      <c r="B775" s="36"/>
      <c r="E775" s="36"/>
      <c r="F775" s="36"/>
      <c r="G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7"/>
      <c r="AC775" s="36"/>
      <c r="AD775" s="36"/>
      <c r="AE775" s="37"/>
      <c r="AG775" s="36"/>
      <c r="AH775" s="36"/>
      <c r="AI775" s="36"/>
      <c r="AJ775" s="36"/>
      <c r="BG775" s="39"/>
      <c r="BH775" s="32"/>
    </row>
    <row r="776">
      <c r="A776" s="36"/>
      <c r="B776" s="36"/>
      <c r="E776" s="36"/>
      <c r="F776" s="36"/>
      <c r="G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7"/>
      <c r="AC776" s="36"/>
      <c r="AD776" s="36"/>
      <c r="AE776" s="37"/>
      <c r="AG776" s="36"/>
      <c r="AH776" s="36"/>
      <c r="AI776" s="36"/>
      <c r="AJ776" s="36"/>
      <c r="BG776" s="39"/>
      <c r="BH776" s="32"/>
    </row>
    <row r="777">
      <c r="A777" s="36"/>
      <c r="B777" s="36"/>
      <c r="E777" s="36"/>
      <c r="F777" s="36"/>
      <c r="G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7"/>
      <c r="AC777" s="36"/>
      <c r="AD777" s="36"/>
      <c r="AE777" s="37"/>
      <c r="AG777" s="36"/>
      <c r="AH777" s="36"/>
      <c r="AI777" s="36"/>
      <c r="AJ777" s="36"/>
      <c r="BG777" s="39"/>
      <c r="BH777" s="32"/>
    </row>
    <row r="778">
      <c r="A778" s="36"/>
      <c r="B778" s="36"/>
      <c r="E778" s="36"/>
      <c r="F778" s="36"/>
      <c r="G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7"/>
      <c r="AC778" s="36"/>
      <c r="AD778" s="36"/>
      <c r="AE778" s="37"/>
      <c r="AG778" s="36"/>
      <c r="AH778" s="36"/>
      <c r="AI778" s="36"/>
      <c r="AJ778" s="36"/>
      <c r="BG778" s="39"/>
      <c r="BH778" s="32"/>
    </row>
    <row r="779">
      <c r="A779" s="36"/>
      <c r="B779" s="36"/>
      <c r="E779" s="36"/>
      <c r="F779" s="36"/>
      <c r="G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7"/>
      <c r="AC779" s="36"/>
      <c r="AD779" s="36"/>
      <c r="AE779" s="37"/>
      <c r="AG779" s="36"/>
      <c r="AH779" s="36"/>
      <c r="AI779" s="36"/>
      <c r="AJ779" s="36"/>
      <c r="BG779" s="39"/>
      <c r="BH779" s="32"/>
    </row>
    <row r="780">
      <c r="A780" s="36"/>
      <c r="B780" s="36"/>
      <c r="E780" s="36"/>
      <c r="F780" s="36"/>
      <c r="G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7"/>
      <c r="AC780" s="36"/>
      <c r="AD780" s="36"/>
      <c r="AE780" s="37"/>
      <c r="AG780" s="36"/>
      <c r="AH780" s="36"/>
      <c r="AI780" s="36"/>
      <c r="AJ780" s="36"/>
      <c r="BG780" s="39"/>
      <c r="BH780" s="32"/>
    </row>
    <row r="781">
      <c r="A781" s="36"/>
      <c r="B781" s="36"/>
      <c r="E781" s="36"/>
      <c r="F781" s="36"/>
      <c r="G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7"/>
      <c r="AC781" s="36"/>
      <c r="AD781" s="36"/>
      <c r="AE781" s="37"/>
      <c r="AG781" s="36"/>
      <c r="AH781" s="36"/>
      <c r="AI781" s="36"/>
      <c r="AJ781" s="36"/>
      <c r="BG781" s="39"/>
      <c r="BH781" s="32"/>
    </row>
    <row r="782">
      <c r="A782" s="36"/>
      <c r="B782" s="36"/>
      <c r="E782" s="36"/>
      <c r="F782" s="36"/>
      <c r="G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7"/>
      <c r="AC782" s="36"/>
      <c r="AD782" s="36"/>
      <c r="AE782" s="37"/>
      <c r="AG782" s="36"/>
      <c r="AH782" s="36"/>
      <c r="AI782" s="36"/>
      <c r="AJ782" s="36"/>
      <c r="BG782" s="39"/>
      <c r="BH782" s="32"/>
    </row>
    <row r="783">
      <c r="A783" s="36"/>
      <c r="B783" s="36"/>
      <c r="E783" s="36"/>
      <c r="F783" s="36"/>
      <c r="G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7"/>
      <c r="AC783" s="36"/>
      <c r="AD783" s="36"/>
      <c r="AE783" s="37"/>
      <c r="AG783" s="36"/>
      <c r="AH783" s="36"/>
      <c r="AI783" s="36"/>
      <c r="AJ783" s="36"/>
      <c r="BG783" s="39"/>
      <c r="BH783" s="32"/>
    </row>
    <row r="784">
      <c r="A784" s="36"/>
      <c r="B784" s="36"/>
      <c r="E784" s="36"/>
      <c r="F784" s="36"/>
      <c r="G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7"/>
      <c r="AC784" s="36"/>
      <c r="AD784" s="36"/>
      <c r="AE784" s="37"/>
      <c r="AG784" s="36"/>
      <c r="AH784" s="36"/>
      <c r="AI784" s="36"/>
      <c r="AJ784" s="36"/>
      <c r="BG784" s="39"/>
      <c r="BH784" s="32"/>
    </row>
    <row r="785">
      <c r="A785" s="36"/>
      <c r="B785" s="36"/>
      <c r="E785" s="36"/>
      <c r="F785" s="36"/>
      <c r="G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7"/>
      <c r="AC785" s="36"/>
      <c r="AD785" s="36"/>
      <c r="AE785" s="37"/>
      <c r="AG785" s="36"/>
      <c r="AH785" s="36"/>
      <c r="AI785" s="36"/>
      <c r="AJ785" s="36"/>
      <c r="BG785" s="39"/>
      <c r="BH785" s="32"/>
    </row>
    <row r="786">
      <c r="A786" s="36"/>
      <c r="B786" s="36"/>
      <c r="E786" s="36"/>
      <c r="F786" s="36"/>
      <c r="G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7"/>
      <c r="AC786" s="36"/>
      <c r="AD786" s="36"/>
      <c r="AE786" s="37"/>
      <c r="AG786" s="36"/>
      <c r="AH786" s="36"/>
      <c r="AI786" s="36"/>
      <c r="AJ786" s="36"/>
      <c r="BG786" s="39"/>
      <c r="BH786" s="32"/>
    </row>
    <row r="787">
      <c r="A787" s="36"/>
      <c r="B787" s="36"/>
      <c r="E787" s="36"/>
      <c r="F787" s="36"/>
      <c r="G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7"/>
      <c r="AC787" s="36"/>
      <c r="AD787" s="36"/>
      <c r="AE787" s="37"/>
      <c r="AG787" s="36"/>
      <c r="AH787" s="36"/>
      <c r="AI787" s="36"/>
      <c r="AJ787" s="36"/>
      <c r="BG787" s="39"/>
      <c r="BH787" s="32"/>
    </row>
    <row r="788">
      <c r="A788" s="36"/>
      <c r="B788" s="36"/>
      <c r="E788" s="36"/>
      <c r="F788" s="36"/>
      <c r="G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7"/>
      <c r="AC788" s="36"/>
      <c r="AD788" s="36"/>
      <c r="AE788" s="37"/>
      <c r="AG788" s="36"/>
      <c r="AH788" s="36"/>
      <c r="AI788" s="36"/>
      <c r="AJ788" s="36"/>
      <c r="BG788" s="39"/>
      <c r="BH788" s="32"/>
    </row>
    <row r="789">
      <c r="A789" s="36"/>
      <c r="B789" s="36"/>
      <c r="E789" s="36"/>
      <c r="F789" s="36"/>
      <c r="G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7"/>
      <c r="AC789" s="36"/>
      <c r="AD789" s="36"/>
      <c r="AE789" s="37"/>
      <c r="AG789" s="36"/>
      <c r="AH789" s="36"/>
      <c r="AI789" s="36"/>
      <c r="AJ789" s="36"/>
      <c r="BG789" s="39"/>
      <c r="BH789" s="32"/>
    </row>
    <row r="790">
      <c r="A790" s="36"/>
      <c r="B790" s="36"/>
      <c r="E790" s="36"/>
      <c r="F790" s="36"/>
      <c r="G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7"/>
      <c r="AC790" s="36"/>
      <c r="AD790" s="36"/>
      <c r="AE790" s="37"/>
      <c r="AG790" s="36"/>
      <c r="AH790" s="36"/>
      <c r="AI790" s="36"/>
      <c r="AJ790" s="36"/>
      <c r="BG790" s="39"/>
      <c r="BH790" s="32"/>
    </row>
    <row r="791">
      <c r="A791" s="36"/>
      <c r="B791" s="36"/>
      <c r="E791" s="36"/>
      <c r="F791" s="36"/>
      <c r="G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7"/>
      <c r="AC791" s="36"/>
      <c r="AD791" s="36"/>
      <c r="AE791" s="37"/>
      <c r="AG791" s="36"/>
      <c r="AH791" s="36"/>
      <c r="AI791" s="36"/>
      <c r="AJ791" s="36"/>
      <c r="BG791" s="39"/>
      <c r="BH791" s="32"/>
    </row>
    <row r="792">
      <c r="A792" s="36"/>
      <c r="B792" s="36"/>
      <c r="E792" s="36"/>
      <c r="F792" s="36"/>
      <c r="G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7"/>
      <c r="AC792" s="36"/>
      <c r="AD792" s="36"/>
      <c r="AE792" s="37"/>
      <c r="AG792" s="36"/>
      <c r="AH792" s="36"/>
      <c r="AI792" s="36"/>
      <c r="AJ792" s="36"/>
      <c r="BG792" s="39"/>
      <c r="BH792" s="32"/>
    </row>
    <row r="793">
      <c r="A793" s="36"/>
      <c r="B793" s="36"/>
      <c r="E793" s="36"/>
      <c r="F793" s="36"/>
      <c r="G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7"/>
      <c r="AC793" s="36"/>
      <c r="AD793" s="36"/>
      <c r="AE793" s="37"/>
      <c r="AG793" s="36"/>
      <c r="AH793" s="36"/>
      <c r="AI793" s="36"/>
      <c r="AJ793" s="36"/>
      <c r="BG793" s="39"/>
      <c r="BH793" s="32"/>
    </row>
    <row r="794">
      <c r="A794" s="36"/>
      <c r="B794" s="36"/>
      <c r="E794" s="36"/>
      <c r="F794" s="36"/>
      <c r="G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7"/>
      <c r="AC794" s="36"/>
      <c r="AD794" s="36"/>
      <c r="AE794" s="37"/>
      <c r="AG794" s="36"/>
      <c r="AH794" s="36"/>
      <c r="AI794" s="36"/>
      <c r="AJ794" s="36"/>
      <c r="BG794" s="39"/>
      <c r="BH794" s="32"/>
    </row>
    <row r="795">
      <c r="A795" s="36"/>
      <c r="B795" s="36"/>
      <c r="E795" s="36"/>
      <c r="F795" s="36"/>
      <c r="G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7"/>
      <c r="AC795" s="36"/>
      <c r="AD795" s="36"/>
      <c r="AE795" s="37"/>
      <c r="AG795" s="36"/>
      <c r="AH795" s="36"/>
      <c r="AI795" s="36"/>
      <c r="AJ795" s="36"/>
      <c r="BG795" s="39"/>
      <c r="BH795" s="32"/>
    </row>
    <row r="796">
      <c r="A796" s="36"/>
      <c r="B796" s="36"/>
      <c r="E796" s="36"/>
      <c r="F796" s="36"/>
      <c r="G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7"/>
      <c r="AC796" s="36"/>
      <c r="AD796" s="36"/>
      <c r="AE796" s="37"/>
      <c r="AG796" s="36"/>
      <c r="AH796" s="36"/>
      <c r="AI796" s="36"/>
      <c r="AJ796" s="36"/>
      <c r="BG796" s="39"/>
      <c r="BH796" s="32"/>
    </row>
    <row r="797">
      <c r="A797" s="36"/>
      <c r="B797" s="36"/>
      <c r="E797" s="36"/>
      <c r="F797" s="36"/>
      <c r="G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7"/>
      <c r="AC797" s="36"/>
      <c r="AD797" s="36"/>
      <c r="AE797" s="37"/>
      <c r="AG797" s="36"/>
      <c r="AH797" s="36"/>
      <c r="AI797" s="36"/>
      <c r="AJ797" s="36"/>
      <c r="BG797" s="39"/>
      <c r="BH797" s="32"/>
    </row>
    <row r="798">
      <c r="A798" s="36"/>
      <c r="B798" s="36"/>
      <c r="E798" s="36"/>
      <c r="F798" s="36"/>
      <c r="G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7"/>
      <c r="AC798" s="36"/>
      <c r="AD798" s="36"/>
      <c r="AE798" s="37"/>
      <c r="AG798" s="36"/>
      <c r="AH798" s="36"/>
      <c r="AI798" s="36"/>
      <c r="AJ798" s="36"/>
      <c r="BG798" s="39"/>
      <c r="BH798" s="32"/>
    </row>
    <row r="799">
      <c r="A799" s="36"/>
      <c r="B799" s="36"/>
      <c r="E799" s="36"/>
      <c r="F799" s="36"/>
      <c r="G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7"/>
      <c r="AC799" s="36"/>
      <c r="AD799" s="36"/>
      <c r="AE799" s="37"/>
      <c r="AG799" s="36"/>
      <c r="AH799" s="36"/>
      <c r="AI799" s="36"/>
      <c r="AJ799" s="36"/>
      <c r="BG799" s="39"/>
      <c r="BH799" s="32"/>
    </row>
    <row r="800">
      <c r="A800" s="36"/>
      <c r="B800" s="36"/>
      <c r="E800" s="36"/>
      <c r="F800" s="36"/>
      <c r="G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7"/>
      <c r="AC800" s="36"/>
      <c r="AD800" s="36"/>
      <c r="AE800" s="37"/>
      <c r="AG800" s="36"/>
      <c r="AH800" s="36"/>
      <c r="AI800" s="36"/>
      <c r="AJ800" s="36"/>
      <c r="BG800" s="39"/>
      <c r="BH800" s="32"/>
    </row>
    <row r="801">
      <c r="A801" s="36"/>
      <c r="B801" s="36"/>
      <c r="E801" s="36"/>
      <c r="F801" s="36"/>
      <c r="G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7"/>
      <c r="AC801" s="36"/>
      <c r="AD801" s="36"/>
      <c r="AE801" s="37"/>
      <c r="AG801" s="36"/>
      <c r="AH801" s="36"/>
      <c r="AI801" s="36"/>
      <c r="AJ801" s="36"/>
      <c r="BG801" s="39"/>
      <c r="BH801" s="32"/>
    </row>
    <row r="802">
      <c r="A802" s="36"/>
      <c r="B802" s="36"/>
      <c r="E802" s="36"/>
      <c r="F802" s="36"/>
      <c r="G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7"/>
      <c r="AC802" s="36"/>
      <c r="AD802" s="36"/>
      <c r="AE802" s="37"/>
      <c r="AG802" s="36"/>
      <c r="AH802" s="36"/>
      <c r="AI802" s="36"/>
      <c r="AJ802" s="36"/>
      <c r="BG802" s="39"/>
      <c r="BH802" s="32"/>
    </row>
    <row r="803">
      <c r="A803" s="36"/>
      <c r="B803" s="36"/>
      <c r="E803" s="36"/>
      <c r="F803" s="36"/>
      <c r="G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7"/>
      <c r="AC803" s="36"/>
      <c r="AD803" s="36"/>
      <c r="AE803" s="37"/>
      <c r="AG803" s="36"/>
      <c r="AH803" s="36"/>
      <c r="AI803" s="36"/>
      <c r="AJ803" s="36"/>
      <c r="BG803" s="39"/>
      <c r="BH803" s="32"/>
    </row>
    <row r="804">
      <c r="A804" s="36"/>
      <c r="B804" s="36"/>
      <c r="E804" s="36"/>
      <c r="F804" s="36"/>
      <c r="G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7"/>
      <c r="AC804" s="36"/>
      <c r="AD804" s="36"/>
      <c r="AE804" s="37"/>
      <c r="AG804" s="36"/>
      <c r="AH804" s="36"/>
      <c r="AI804" s="36"/>
      <c r="AJ804" s="36"/>
      <c r="BG804" s="39"/>
      <c r="BH804" s="32"/>
    </row>
    <row r="805">
      <c r="A805" s="36"/>
      <c r="B805" s="36"/>
      <c r="E805" s="36"/>
      <c r="F805" s="36"/>
      <c r="G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7"/>
      <c r="AC805" s="36"/>
      <c r="AD805" s="36"/>
      <c r="AE805" s="37"/>
      <c r="AG805" s="36"/>
      <c r="AH805" s="36"/>
      <c r="AI805" s="36"/>
      <c r="AJ805" s="36"/>
      <c r="BG805" s="39"/>
      <c r="BH805" s="32"/>
    </row>
    <row r="806">
      <c r="A806" s="36"/>
      <c r="B806" s="36"/>
      <c r="E806" s="36"/>
      <c r="F806" s="36"/>
      <c r="G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7"/>
      <c r="AC806" s="36"/>
      <c r="AD806" s="36"/>
      <c r="AE806" s="37"/>
      <c r="AG806" s="36"/>
      <c r="AH806" s="36"/>
      <c r="AI806" s="36"/>
      <c r="AJ806" s="36"/>
      <c r="BG806" s="39"/>
      <c r="BH806" s="32"/>
    </row>
    <row r="807">
      <c r="A807" s="36"/>
      <c r="B807" s="36"/>
      <c r="E807" s="36"/>
      <c r="F807" s="36"/>
      <c r="G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7"/>
      <c r="AC807" s="36"/>
      <c r="AD807" s="36"/>
      <c r="AE807" s="37"/>
      <c r="AG807" s="36"/>
      <c r="AH807" s="36"/>
      <c r="AI807" s="36"/>
      <c r="AJ807" s="36"/>
      <c r="BG807" s="39"/>
      <c r="BH807" s="32"/>
    </row>
    <row r="808">
      <c r="A808" s="36"/>
      <c r="B808" s="36"/>
      <c r="E808" s="36"/>
      <c r="F808" s="36"/>
      <c r="G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7"/>
      <c r="AC808" s="36"/>
      <c r="AD808" s="36"/>
      <c r="AE808" s="37"/>
      <c r="AG808" s="36"/>
      <c r="AH808" s="36"/>
      <c r="AI808" s="36"/>
      <c r="AJ808" s="36"/>
      <c r="BG808" s="39"/>
      <c r="BH808" s="32"/>
    </row>
    <row r="809">
      <c r="A809" s="36"/>
      <c r="B809" s="36"/>
      <c r="E809" s="36"/>
      <c r="F809" s="36"/>
      <c r="G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7"/>
      <c r="AC809" s="36"/>
      <c r="AD809" s="36"/>
      <c r="AE809" s="37"/>
      <c r="AG809" s="36"/>
      <c r="AH809" s="36"/>
      <c r="AI809" s="36"/>
      <c r="AJ809" s="36"/>
      <c r="BG809" s="39"/>
      <c r="BH809" s="32"/>
    </row>
    <row r="810">
      <c r="A810" s="36"/>
      <c r="B810" s="36"/>
      <c r="E810" s="36"/>
      <c r="F810" s="36"/>
      <c r="G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7"/>
      <c r="AC810" s="36"/>
      <c r="AD810" s="36"/>
      <c r="AE810" s="37"/>
      <c r="AG810" s="36"/>
      <c r="AH810" s="36"/>
      <c r="AI810" s="36"/>
      <c r="AJ810" s="36"/>
      <c r="BG810" s="39"/>
      <c r="BH810" s="32"/>
    </row>
    <row r="811">
      <c r="A811" s="36"/>
      <c r="B811" s="36"/>
      <c r="E811" s="36"/>
      <c r="F811" s="36"/>
      <c r="G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7"/>
      <c r="AC811" s="36"/>
      <c r="AD811" s="36"/>
      <c r="AE811" s="37"/>
      <c r="AG811" s="36"/>
      <c r="AH811" s="36"/>
      <c r="AI811" s="36"/>
      <c r="AJ811" s="36"/>
      <c r="BG811" s="39"/>
      <c r="BH811" s="32"/>
    </row>
    <row r="812">
      <c r="A812" s="36"/>
      <c r="B812" s="36"/>
      <c r="E812" s="36"/>
      <c r="F812" s="36"/>
      <c r="G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7"/>
      <c r="AC812" s="36"/>
      <c r="AD812" s="36"/>
      <c r="AE812" s="37"/>
      <c r="AG812" s="36"/>
      <c r="AH812" s="36"/>
      <c r="AI812" s="36"/>
      <c r="AJ812" s="36"/>
      <c r="BG812" s="39"/>
      <c r="BH812" s="32"/>
    </row>
    <row r="813">
      <c r="A813" s="36"/>
      <c r="B813" s="36"/>
      <c r="E813" s="36"/>
      <c r="F813" s="36"/>
      <c r="G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7"/>
      <c r="AC813" s="36"/>
      <c r="AD813" s="36"/>
      <c r="AE813" s="37"/>
      <c r="AG813" s="36"/>
      <c r="AH813" s="36"/>
      <c r="AI813" s="36"/>
      <c r="AJ813" s="36"/>
      <c r="BG813" s="39"/>
      <c r="BH813" s="32"/>
    </row>
    <row r="814">
      <c r="A814" s="36"/>
      <c r="B814" s="36"/>
      <c r="E814" s="36"/>
      <c r="F814" s="36"/>
      <c r="G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7"/>
      <c r="AC814" s="36"/>
      <c r="AD814" s="36"/>
      <c r="AE814" s="37"/>
      <c r="AG814" s="36"/>
      <c r="AH814" s="36"/>
      <c r="AI814" s="36"/>
      <c r="AJ814" s="36"/>
      <c r="BG814" s="39"/>
      <c r="BH814" s="32"/>
    </row>
    <row r="815">
      <c r="A815" s="36"/>
      <c r="B815" s="36"/>
      <c r="E815" s="36"/>
      <c r="F815" s="36"/>
      <c r="G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7"/>
      <c r="AC815" s="36"/>
      <c r="AD815" s="36"/>
      <c r="AE815" s="37"/>
      <c r="AG815" s="36"/>
      <c r="AH815" s="36"/>
      <c r="AI815" s="36"/>
      <c r="AJ815" s="36"/>
      <c r="BG815" s="39"/>
      <c r="BH815" s="32"/>
    </row>
    <row r="816">
      <c r="A816" s="36"/>
      <c r="B816" s="36"/>
      <c r="E816" s="36"/>
      <c r="F816" s="36"/>
      <c r="G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7"/>
      <c r="AC816" s="36"/>
      <c r="AD816" s="36"/>
      <c r="AE816" s="37"/>
      <c r="AG816" s="36"/>
      <c r="AH816" s="36"/>
      <c r="AI816" s="36"/>
      <c r="AJ816" s="36"/>
      <c r="BG816" s="39"/>
      <c r="BH816" s="32"/>
    </row>
    <row r="817">
      <c r="A817" s="36"/>
      <c r="B817" s="36"/>
      <c r="E817" s="36"/>
      <c r="F817" s="36"/>
      <c r="G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7"/>
      <c r="AC817" s="36"/>
      <c r="AD817" s="36"/>
      <c r="AE817" s="37"/>
      <c r="AG817" s="36"/>
      <c r="AH817" s="36"/>
      <c r="AI817" s="36"/>
      <c r="AJ817" s="36"/>
      <c r="BG817" s="39"/>
      <c r="BH817" s="32"/>
    </row>
    <row r="818">
      <c r="A818" s="36"/>
      <c r="B818" s="36"/>
      <c r="E818" s="36"/>
      <c r="F818" s="36"/>
      <c r="G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7"/>
      <c r="AC818" s="36"/>
      <c r="AD818" s="36"/>
      <c r="AE818" s="37"/>
      <c r="AG818" s="36"/>
      <c r="AH818" s="36"/>
      <c r="AI818" s="36"/>
      <c r="AJ818" s="36"/>
      <c r="BG818" s="39"/>
      <c r="BH818" s="32"/>
    </row>
    <row r="819">
      <c r="A819" s="36"/>
      <c r="B819" s="36"/>
      <c r="E819" s="36"/>
      <c r="F819" s="36"/>
      <c r="G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7"/>
      <c r="AC819" s="36"/>
      <c r="AD819" s="36"/>
      <c r="AE819" s="37"/>
      <c r="AG819" s="36"/>
      <c r="AH819" s="36"/>
      <c r="AI819" s="36"/>
      <c r="AJ819" s="36"/>
      <c r="BG819" s="39"/>
      <c r="BH819" s="32"/>
    </row>
    <row r="820">
      <c r="A820" s="36"/>
      <c r="B820" s="36"/>
      <c r="E820" s="36"/>
      <c r="F820" s="36"/>
      <c r="G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7"/>
      <c r="AC820" s="36"/>
      <c r="AD820" s="36"/>
      <c r="AE820" s="37"/>
      <c r="AG820" s="36"/>
      <c r="AH820" s="36"/>
      <c r="AI820" s="36"/>
      <c r="AJ820" s="36"/>
      <c r="BG820" s="39"/>
      <c r="BH820" s="32"/>
    </row>
    <row r="821">
      <c r="A821" s="36"/>
      <c r="B821" s="36"/>
      <c r="E821" s="36"/>
      <c r="F821" s="36"/>
      <c r="G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7"/>
      <c r="AC821" s="36"/>
      <c r="AD821" s="36"/>
      <c r="AE821" s="37"/>
      <c r="AG821" s="36"/>
      <c r="AH821" s="36"/>
      <c r="AI821" s="36"/>
      <c r="AJ821" s="36"/>
      <c r="BG821" s="39"/>
      <c r="BH821" s="32"/>
    </row>
    <row r="822">
      <c r="A822" s="36"/>
      <c r="B822" s="36"/>
      <c r="E822" s="36"/>
      <c r="F822" s="36"/>
      <c r="G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7"/>
      <c r="AC822" s="36"/>
      <c r="AD822" s="36"/>
      <c r="AE822" s="37"/>
      <c r="AG822" s="36"/>
      <c r="AH822" s="36"/>
      <c r="AI822" s="36"/>
      <c r="AJ822" s="36"/>
      <c r="BG822" s="39"/>
      <c r="BH822" s="32"/>
    </row>
    <row r="823">
      <c r="A823" s="36"/>
      <c r="B823" s="36"/>
      <c r="E823" s="36"/>
      <c r="F823" s="36"/>
      <c r="G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7"/>
      <c r="AC823" s="36"/>
      <c r="AD823" s="36"/>
      <c r="AE823" s="37"/>
      <c r="AG823" s="36"/>
      <c r="AH823" s="36"/>
      <c r="AI823" s="36"/>
      <c r="AJ823" s="36"/>
      <c r="BG823" s="39"/>
      <c r="BH823" s="32"/>
    </row>
    <row r="824">
      <c r="A824" s="36"/>
      <c r="B824" s="36"/>
      <c r="E824" s="36"/>
      <c r="F824" s="36"/>
      <c r="G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7"/>
      <c r="AC824" s="36"/>
      <c r="AD824" s="36"/>
      <c r="AE824" s="37"/>
      <c r="AG824" s="36"/>
      <c r="AH824" s="36"/>
      <c r="AI824" s="36"/>
      <c r="AJ824" s="36"/>
      <c r="BG824" s="39"/>
      <c r="BH824" s="32"/>
    </row>
    <row r="825">
      <c r="A825" s="36"/>
      <c r="B825" s="36"/>
      <c r="E825" s="36"/>
      <c r="F825" s="36"/>
      <c r="G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7"/>
      <c r="AC825" s="36"/>
      <c r="AD825" s="36"/>
      <c r="AE825" s="37"/>
      <c r="AG825" s="36"/>
      <c r="AH825" s="36"/>
      <c r="AI825" s="36"/>
      <c r="AJ825" s="36"/>
      <c r="BG825" s="39"/>
      <c r="BH825" s="32"/>
    </row>
    <row r="826">
      <c r="A826" s="36"/>
      <c r="B826" s="36"/>
      <c r="E826" s="36"/>
      <c r="F826" s="36"/>
      <c r="G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7"/>
      <c r="AC826" s="36"/>
      <c r="AD826" s="36"/>
      <c r="AE826" s="37"/>
      <c r="AG826" s="36"/>
      <c r="AH826" s="36"/>
      <c r="AI826" s="36"/>
      <c r="AJ826" s="36"/>
      <c r="BG826" s="39"/>
      <c r="BH826" s="32"/>
    </row>
    <row r="827">
      <c r="A827" s="36"/>
      <c r="B827" s="36"/>
      <c r="E827" s="36"/>
      <c r="F827" s="36"/>
      <c r="G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7"/>
      <c r="AC827" s="36"/>
      <c r="AD827" s="36"/>
      <c r="AE827" s="37"/>
      <c r="AG827" s="36"/>
      <c r="AH827" s="36"/>
      <c r="AI827" s="36"/>
      <c r="AJ827" s="36"/>
      <c r="BG827" s="39"/>
      <c r="BH827" s="32"/>
    </row>
    <row r="828">
      <c r="A828" s="36"/>
      <c r="B828" s="36"/>
      <c r="E828" s="36"/>
      <c r="F828" s="36"/>
      <c r="G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7"/>
      <c r="AC828" s="36"/>
      <c r="AD828" s="36"/>
      <c r="AE828" s="37"/>
      <c r="AG828" s="36"/>
      <c r="AH828" s="36"/>
      <c r="AI828" s="36"/>
      <c r="AJ828" s="36"/>
      <c r="BG828" s="39"/>
      <c r="BH828" s="32"/>
    </row>
    <row r="829">
      <c r="A829" s="36"/>
      <c r="B829" s="36"/>
      <c r="E829" s="36"/>
      <c r="F829" s="36"/>
      <c r="G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7"/>
      <c r="AC829" s="36"/>
      <c r="AD829" s="36"/>
      <c r="AE829" s="37"/>
      <c r="AG829" s="36"/>
      <c r="AH829" s="36"/>
      <c r="AI829" s="36"/>
      <c r="AJ829" s="36"/>
      <c r="BG829" s="39"/>
      <c r="BH829" s="32"/>
    </row>
    <row r="830">
      <c r="A830" s="36"/>
      <c r="B830" s="36"/>
      <c r="E830" s="36"/>
      <c r="F830" s="36"/>
      <c r="G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7"/>
      <c r="AC830" s="36"/>
      <c r="AD830" s="36"/>
      <c r="AE830" s="37"/>
      <c r="AG830" s="36"/>
      <c r="AH830" s="36"/>
      <c r="AI830" s="36"/>
      <c r="AJ830" s="36"/>
      <c r="BG830" s="39"/>
      <c r="BH830" s="32"/>
    </row>
    <row r="831">
      <c r="A831" s="36"/>
      <c r="B831" s="36"/>
      <c r="E831" s="36"/>
      <c r="F831" s="36"/>
      <c r="G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7"/>
      <c r="AC831" s="36"/>
      <c r="AD831" s="36"/>
      <c r="AE831" s="37"/>
      <c r="AG831" s="36"/>
      <c r="AH831" s="36"/>
      <c r="AI831" s="36"/>
      <c r="AJ831" s="36"/>
      <c r="BG831" s="39"/>
      <c r="BH831" s="32"/>
    </row>
    <row r="832">
      <c r="A832" s="36"/>
      <c r="B832" s="36"/>
      <c r="E832" s="36"/>
      <c r="F832" s="36"/>
      <c r="G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7"/>
      <c r="AC832" s="36"/>
      <c r="AD832" s="36"/>
      <c r="AE832" s="37"/>
      <c r="AG832" s="36"/>
      <c r="AH832" s="36"/>
      <c r="AI832" s="36"/>
      <c r="AJ832" s="36"/>
      <c r="BG832" s="39"/>
      <c r="BH832" s="32"/>
    </row>
    <row r="833">
      <c r="A833" s="36"/>
      <c r="B833" s="36"/>
      <c r="E833" s="36"/>
      <c r="F833" s="36"/>
      <c r="G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7"/>
      <c r="AC833" s="36"/>
      <c r="AD833" s="36"/>
      <c r="AE833" s="37"/>
      <c r="AG833" s="36"/>
      <c r="AH833" s="36"/>
      <c r="AI833" s="36"/>
      <c r="AJ833" s="36"/>
      <c r="BG833" s="39"/>
      <c r="BH833" s="32"/>
    </row>
    <row r="834">
      <c r="A834" s="36"/>
      <c r="B834" s="36"/>
      <c r="E834" s="36"/>
      <c r="F834" s="36"/>
      <c r="G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7"/>
      <c r="AC834" s="36"/>
      <c r="AD834" s="36"/>
      <c r="AE834" s="37"/>
      <c r="AG834" s="36"/>
      <c r="AH834" s="36"/>
      <c r="AI834" s="36"/>
      <c r="AJ834" s="36"/>
      <c r="BG834" s="39"/>
      <c r="BH834" s="32"/>
    </row>
    <row r="835">
      <c r="A835" s="36"/>
      <c r="B835" s="36"/>
      <c r="E835" s="36"/>
      <c r="F835" s="36"/>
      <c r="G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7"/>
      <c r="AC835" s="36"/>
      <c r="AD835" s="36"/>
      <c r="AE835" s="37"/>
      <c r="AG835" s="36"/>
      <c r="AH835" s="36"/>
      <c r="AI835" s="36"/>
      <c r="AJ835" s="36"/>
      <c r="BG835" s="39"/>
      <c r="BH835" s="32"/>
    </row>
    <row r="836">
      <c r="A836" s="36"/>
      <c r="B836" s="36"/>
      <c r="E836" s="36"/>
      <c r="F836" s="36"/>
      <c r="G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7"/>
      <c r="AC836" s="36"/>
      <c r="AD836" s="36"/>
      <c r="AE836" s="37"/>
      <c r="AG836" s="36"/>
      <c r="AH836" s="36"/>
      <c r="AI836" s="36"/>
      <c r="AJ836" s="36"/>
      <c r="BG836" s="39"/>
      <c r="BH836" s="32"/>
    </row>
    <row r="837">
      <c r="A837" s="36"/>
      <c r="B837" s="36"/>
      <c r="E837" s="36"/>
      <c r="F837" s="36"/>
      <c r="G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7"/>
      <c r="AC837" s="36"/>
      <c r="AD837" s="36"/>
      <c r="AE837" s="37"/>
      <c r="AG837" s="36"/>
      <c r="AH837" s="36"/>
      <c r="AI837" s="36"/>
      <c r="AJ837" s="36"/>
      <c r="BG837" s="39"/>
      <c r="BH837" s="32"/>
    </row>
    <row r="838">
      <c r="A838" s="36"/>
      <c r="B838" s="36"/>
      <c r="E838" s="36"/>
      <c r="F838" s="36"/>
      <c r="G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7"/>
      <c r="AC838" s="36"/>
      <c r="AD838" s="36"/>
      <c r="AE838" s="37"/>
      <c r="AG838" s="36"/>
      <c r="AH838" s="36"/>
      <c r="AI838" s="36"/>
      <c r="AJ838" s="36"/>
      <c r="BG838" s="39"/>
      <c r="BH838" s="32"/>
    </row>
    <row r="839">
      <c r="A839" s="36"/>
      <c r="B839" s="36"/>
      <c r="E839" s="36"/>
      <c r="F839" s="36"/>
      <c r="G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7"/>
      <c r="AC839" s="36"/>
      <c r="AD839" s="36"/>
      <c r="AE839" s="37"/>
      <c r="AG839" s="36"/>
      <c r="AH839" s="36"/>
      <c r="AI839" s="36"/>
      <c r="AJ839" s="36"/>
      <c r="BG839" s="39"/>
      <c r="BH839" s="32"/>
    </row>
    <row r="840">
      <c r="A840" s="36"/>
      <c r="B840" s="36"/>
      <c r="E840" s="36"/>
      <c r="F840" s="36"/>
      <c r="G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7"/>
      <c r="AC840" s="36"/>
      <c r="AD840" s="36"/>
      <c r="AE840" s="37"/>
      <c r="AG840" s="36"/>
      <c r="AH840" s="36"/>
      <c r="AI840" s="36"/>
      <c r="AJ840" s="36"/>
      <c r="BG840" s="39"/>
      <c r="BH840" s="32"/>
    </row>
    <row r="841">
      <c r="A841" s="36"/>
      <c r="B841" s="36"/>
      <c r="E841" s="36"/>
      <c r="F841" s="36"/>
      <c r="G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7"/>
      <c r="AC841" s="36"/>
      <c r="AD841" s="36"/>
      <c r="AE841" s="37"/>
      <c r="AG841" s="36"/>
      <c r="AH841" s="36"/>
      <c r="AI841" s="36"/>
      <c r="AJ841" s="36"/>
      <c r="BG841" s="39"/>
      <c r="BH841" s="32"/>
    </row>
    <row r="842">
      <c r="A842" s="36"/>
      <c r="B842" s="36"/>
      <c r="E842" s="36"/>
      <c r="F842" s="36"/>
      <c r="G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7"/>
      <c r="AC842" s="36"/>
      <c r="AD842" s="36"/>
      <c r="AE842" s="37"/>
      <c r="AG842" s="36"/>
      <c r="AH842" s="36"/>
      <c r="AI842" s="36"/>
      <c r="AJ842" s="36"/>
      <c r="BG842" s="39"/>
      <c r="BH842" s="32"/>
    </row>
    <row r="843">
      <c r="A843" s="36"/>
      <c r="B843" s="36"/>
      <c r="E843" s="36"/>
      <c r="F843" s="36"/>
      <c r="G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7"/>
      <c r="AC843" s="36"/>
      <c r="AD843" s="36"/>
      <c r="AE843" s="37"/>
      <c r="AG843" s="36"/>
      <c r="AH843" s="36"/>
      <c r="AI843" s="36"/>
      <c r="AJ843" s="36"/>
      <c r="BG843" s="39"/>
      <c r="BH843" s="32"/>
    </row>
    <row r="844">
      <c r="A844" s="36"/>
      <c r="B844" s="36"/>
      <c r="E844" s="36"/>
      <c r="F844" s="36"/>
      <c r="G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7"/>
      <c r="AC844" s="36"/>
      <c r="AD844" s="36"/>
      <c r="AE844" s="37"/>
      <c r="AG844" s="36"/>
      <c r="AH844" s="36"/>
      <c r="AI844" s="36"/>
      <c r="AJ844" s="36"/>
      <c r="BG844" s="39"/>
      <c r="BH844" s="32"/>
    </row>
    <row r="845">
      <c r="A845" s="36"/>
      <c r="B845" s="36"/>
      <c r="E845" s="36"/>
      <c r="F845" s="36"/>
      <c r="G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7"/>
      <c r="AC845" s="36"/>
      <c r="AD845" s="36"/>
      <c r="AE845" s="37"/>
      <c r="AG845" s="36"/>
      <c r="AH845" s="36"/>
      <c r="AI845" s="36"/>
      <c r="AJ845" s="36"/>
      <c r="BG845" s="39"/>
      <c r="BH845" s="32"/>
    </row>
    <row r="846">
      <c r="A846" s="36"/>
      <c r="B846" s="36"/>
      <c r="E846" s="36"/>
      <c r="F846" s="36"/>
      <c r="G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7"/>
      <c r="AC846" s="36"/>
      <c r="AD846" s="36"/>
      <c r="AE846" s="37"/>
      <c r="AG846" s="36"/>
      <c r="AH846" s="36"/>
      <c r="AI846" s="36"/>
      <c r="AJ846" s="36"/>
      <c r="BG846" s="39"/>
      <c r="BH846" s="32"/>
    </row>
    <row r="847">
      <c r="A847" s="36"/>
      <c r="B847" s="36"/>
      <c r="E847" s="36"/>
      <c r="F847" s="36"/>
      <c r="G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7"/>
      <c r="AC847" s="36"/>
      <c r="AD847" s="36"/>
      <c r="AE847" s="37"/>
      <c r="AG847" s="36"/>
      <c r="AH847" s="36"/>
      <c r="AI847" s="36"/>
      <c r="AJ847" s="36"/>
      <c r="BG847" s="39"/>
      <c r="BH847" s="32"/>
    </row>
    <row r="848">
      <c r="A848" s="36"/>
      <c r="B848" s="36"/>
      <c r="E848" s="36"/>
      <c r="F848" s="36"/>
      <c r="G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7"/>
      <c r="AC848" s="36"/>
      <c r="AD848" s="36"/>
      <c r="AE848" s="37"/>
      <c r="AG848" s="36"/>
      <c r="AH848" s="36"/>
      <c r="AI848" s="36"/>
      <c r="AJ848" s="36"/>
      <c r="BG848" s="39"/>
      <c r="BH848" s="32"/>
    </row>
    <row r="849">
      <c r="A849" s="36"/>
      <c r="B849" s="36"/>
      <c r="E849" s="36"/>
      <c r="F849" s="36"/>
      <c r="G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7"/>
      <c r="AC849" s="36"/>
      <c r="AD849" s="36"/>
      <c r="AE849" s="37"/>
      <c r="AG849" s="36"/>
      <c r="AH849" s="36"/>
      <c r="AI849" s="36"/>
      <c r="AJ849" s="36"/>
      <c r="BG849" s="39"/>
      <c r="BH849" s="32"/>
    </row>
    <row r="850">
      <c r="A850" s="36"/>
      <c r="B850" s="36"/>
      <c r="E850" s="36"/>
      <c r="F850" s="36"/>
      <c r="G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7"/>
      <c r="AC850" s="36"/>
      <c r="AD850" s="36"/>
      <c r="AE850" s="37"/>
      <c r="AG850" s="36"/>
      <c r="AH850" s="36"/>
      <c r="AI850" s="36"/>
      <c r="AJ850" s="36"/>
      <c r="BG850" s="39"/>
      <c r="BH850" s="32"/>
    </row>
    <row r="851">
      <c r="A851" s="36"/>
      <c r="B851" s="36"/>
      <c r="E851" s="36"/>
      <c r="F851" s="36"/>
      <c r="G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7"/>
      <c r="AC851" s="36"/>
      <c r="AD851" s="36"/>
      <c r="AE851" s="37"/>
      <c r="AG851" s="36"/>
      <c r="AH851" s="36"/>
      <c r="AI851" s="36"/>
      <c r="AJ851" s="36"/>
      <c r="BG851" s="39"/>
      <c r="BH851" s="32"/>
    </row>
    <row r="852">
      <c r="A852" s="36"/>
      <c r="B852" s="36"/>
      <c r="E852" s="36"/>
      <c r="F852" s="36"/>
      <c r="G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7"/>
      <c r="AC852" s="36"/>
      <c r="AD852" s="36"/>
      <c r="AE852" s="37"/>
      <c r="AG852" s="36"/>
      <c r="AH852" s="36"/>
      <c r="AI852" s="36"/>
      <c r="AJ852" s="36"/>
      <c r="BG852" s="39"/>
      <c r="BH852" s="32"/>
    </row>
    <row r="853">
      <c r="A853" s="36"/>
      <c r="B853" s="36"/>
      <c r="E853" s="36"/>
      <c r="F853" s="36"/>
      <c r="G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7"/>
      <c r="AC853" s="36"/>
      <c r="AD853" s="36"/>
      <c r="AE853" s="37"/>
      <c r="AG853" s="36"/>
      <c r="AH853" s="36"/>
      <c r="AI853" s="36"/>
      <c r="AJ853" s="36"/>
      <c r="BG853" s="39"/>
      <c r="BH853" s="32"/>
    </row>
    <row r="854">
      <c r="A854" s="36"/>
      <c r="B854" s="36"/>
      <c r="E854" s="36"/>
      <c r="F854" s="36"/>
      <c r="G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7"/>
      <c r="AC854" s="36"/>
      <c r="AD854" s="36"/>
      <c r="AE854" s="37"/>
      <c r="AG854" s="36"/>
      <c r="AH854" s="36"/>
      <c r="AI854" s="36"/>
      <c r="AJ854" s="36"/>
      <c r="BG854" s="39"/>
      <c r="BH854" s="32"/>
    </row>
    <row r="855">
      <c r="A855" s="36"/>
      <c r="B855" s="36"/>
      <c r="E855" s="36"/>
      <c r="F855" s="36"/>
      <c r="G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7"/>
      <c r="AC855" s="36"/>
      <c r="AD855" s="36"/>
      <c r="AE855" s="37"/>
      <c r="AG855" s="36"/>
      <c r="AH855" s="36"/>
      <c r="AI855" s="36"/>
      <c r="AJ855" s="36"/>
      <c r="BG855" s="39"/>
      <c r="BH855" s="32"/>
    </row>
    <row r="856">
      <c r="A856" s="36"/>
      <c r="B856" s="36"/>
      <c r="E856" s="36"/>
      <c r="F856" s="36"/>
      <c r="G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7"/>
      <c r="AC856" s="36"/>
      <c r="AD856" s="36"/>
      <c r="AE856" s="37"/>
      <c r="AG856" s="36"/>
      <c r="AH856" s="36"/>
      <c r="AI856" s="36"/>
      <c r="AJ856" s="36"/>
      <c r="BG856" s="39"/>
      <c r="BH856" s="32"/>
    </row>
    <row r="857">
      <c r="A857" s="36"/>
      <c r="B857" s="36"/>
      <c r="E857" s="36"/>
      <c r="F857" s="36"/>
      <c r="G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7"/>
      <c r="AC857" s="36"/>
      <c r="AD857" s="36"/>
      <c r="AE857" s="37"/>
      <c r="AG857" s="36"/>
      <c r="AH857" s="36"/>
      <c r="AI857" s="36"/>
      <c r="AJ857" s="36"/>
      <c r="BG857" s="39"/>
      <c r="BH857" s="32"/>
    </row>
    <row r="858">
      <c r="A858" s="36"/>
      <c r="B858" s="36"/>
      <c r="E858" s="36"/>
      <c r="F858" s="36"/>
      <c r="G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7"/>
      <c r="AC858" s="36"/>
      <c r="AD858" s="36"/>
      <c r="AE858" s="37"/>
      <c r="AG858" s="36"/>
      <c r="AH858" s="36"/>
      <c r="AI858" s="36"/>
      <c r="AJ858" s="36"/>
      <c r="BG858" s="39"/>
      <c r="BH858" s="32"/>
    </row>
    <row r="859">
      <c r="A859" s="36"/>
      <c r="B859" s="36"/>
      <c r="E859" s="36"/>
      <c r="F859" s="36"/>
      <c r="G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7"/>
      <c r="AC859" s="36"/>
      <c r="AD859" s="36"/>
      <c r="AE859" s="37"/>
      <c r="AG859" s="36"/>
      <c r="AH859" s="36"/>
      <c r="AI859" s="36"/>
      <c r="AJ859" s="36"/>
      <c r="BG859" s="39"/>
      <c r="BH859" s="32"/>
    </row>
    <row r="860">
      <c r="A860" s="36"/>
      <c r="B860" s="36"/>
      <c r="E860" s="36"/>
      <c r="F860" s="36"/>
      <c r="G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7"/>
      <c r="AC860" s="36"/>
      <c r="AD860" s="36"/>
      <c r="AE860" s="37"/>
      <c r="AG860" s="36"/>
      <c r="AH860" s="36"/>
      <c r="AI860" s="36"/>
      <c r="AJ860" s="36"/>
      <c r="BG860" s="39"/>
      <c r="BH860" s="32"/>
    </row>
    <row r="861">
      <c r="A861" s="36"/>
      <c r="B861" s="36"/>
      <c r="E861" s="36"/>
      <c r="F861" s="36"/>
      <c r="G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7"/>
      <c r="AC861" s="36"/>
      <c r="AD861" s="36"/>
      <c r="AE861" s="37"/>
      <c r="AG861" s="36"/>
      <c r="AH861" s="36"/>
      <c r="AI861" s="36"/>
      <c r="AJ861" s="36"/>
      <c r="BG861" s="39"/>
      <c r="BH861" s="32"/>
    </row>
    <row r="862">
      <c r="A862" s="36"/>
      <c r="B862" s="36"/>
      <c r="E862" s="36"/>
      <c r="F862" s="36"/>
      <c r="G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7"/>
      <c r="AC862" s="36"/>
      <c r="AD862" s="36"/>
      <c r="AE862" s="37"/>
      <c r="AG862" s="36"/>
      <c r="AH862" s="36"/>
      <c r="AI862" s="36"/>
      <c r="AJ862" s="36"/>
      <c r="BG862" s="39"/>
      <c r="BH862" s="32"/>
    </row>
    <row r="863">
      <c r="A863" s="36"/>
      <c r="B863" s="36"/>
      <c r="E863" s="36"/>
      <c r="F863" s="36"/>
      <c r="G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7"/>
      <c r="AC863" s="36"/>
      <c r="AD863" s="36"/>
      <c r="AE863" s="37"/>
      <c r="AG863" s="36"/>
      <c r="AH863" s="36"/>
      <c r="AI863" s="36"/>
      <c r="AJ863" s="36"/>
      <c r="BG863" s="39"/>
      <c r="BH863" s="32"/>
    </row>
    <row r="864">
      <c r="A864" s="36"/>
      <c r="B864" s="36"/>
      <c r="E864" s="36"/>
      <c r="F864" s="36"/>
      <c r="G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7"/>
      <c r="AC864" s="36"/>
      <c r="AD864" s="36"/>
      <c r="AE864" s="37"/>
      <c r="AG864" s="36"/>
      <c r="AH864" s="36"/>
      <c r="AI864" s="36"/>
      <c r="AJ864" s="36"/>
      <c r="BG864" s="39"/>
      <c r="BH864" s="32"/>
    </row>
    <row r="865">
      <c r="A865" s="36"/>
      <c r="B865" s="36"/>
      <c r="E865" s="36"/>
      <c r="F865" s="36"/>
      <c r="G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7"/>
      <c r="AC865" s="36"/>
      <c r="AD865" s="36"/>
      <c r="AE865" s="37"/>
      <c r="AG865" s="36"/>
      <c r="AH865" s="36"/>
      <c r="AI865" s="36"/>
      <c r="AJ865" s="36"/>
      <c r="BG865" s="39"/>
      <c r="BH865" s="32"/>
    </row>
    <row r="866">
      <c r="A866" s="36"/>
      <c r="B866" s="36"/>
      <c r="E866" s="36"/>
      <c r="F866" s="36"/>
      <c r="G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7"/>
      <c r="AC866" s="36"/>
      <c r="AD866" s="36"/>
      <c r="AE866" s="37"/>
      <c r="AG866" s="36"/>
      <c r="AH866" s="36"/>
      <c r="AI866" s="36"/>
      <c r="AJ866" s="36"/>
      <c r="BG866" s="39"/>
      <c r="BH866" s="32"/>
    </row>
    <row r="867">
      <c r="A867" s="36"/>
      <c r="B867" s="36"/>
      <c r="E867" s="36"/>
      <c r="F867" s="36"/>
      <c r="G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7"/>
      <c r="AC867" s="36"/>
      <c r="AD867" s="36"/>
      <c r="AE867" s="37"/>
      <c r="AG867" s="36"/>
      <c r="AH867" s="36"/>
      <c r="AI867" s="36"/>
      <c r="AJ867" s="36"/>
      <c r="BG867" s="39"/>
      <c r="BH867" s="32"/>
    </row>
    <row r="868">
      <c r="A868" s="36"/>
      <c r="B868" s="36"/>
      <c r="E868" s="36"/>
      <c r="F868" s="36"/>
      <c r="G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7"/>
      <c r="AC868" s="36"/>
      <c r="AD868" s="36"/>
      <c r="AE868" s="37"/>
      <c r="AG868" s="36"/>
      <c r="AH868" s="36"/>
      <c r="AI868" s="36"/>
      <c r="AJ868" s="36"/>
      <c r="BG868" s="39"/>
      <c r="BH868" s="32"/>
    </row>
    <row r="869">
      <c r="A869" s="36"/>
      <c r="B869" s="36"/>
      <c r="E869" s="36"/>
      <c r="F869" s="36"/>
      <c r="G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7"/>
      <c r="AC869" s="36"/>
      <c r="AD869" s="36"/>
      <c r="AE869" s="37"/>
      <c r="AG869" s="36"/>
      <c r="AH869" s="36"/>
      <c r="AI869" s="36"/>
      <c r="AJ869" s="36"/>
      <c r="BG869" s="39"/>
      <c r="BH869" s="32"/>
    </row>
    <row r="870">
      <c r="A870" s="36"/>
      <c r="B870" s="36"/>
      <c r="E870" s="36"/>
      <c r="F870" s="36"/>
      <c r="G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7"/>
      <c r="AC870" s="36"/>
      <c r="AD870" s="36"/>
      <c r="AE870" s="37"/>
      <c r="AG870" s="36"/>
      <c r="AH870" s="36"/>
      <c r="AI870" s="36"/>
      <c r="AJ870" s="36"/>
      <c r="BG870" s="39"/>
      <c r="BH870" s="32"/>
    </row>
    <row r="871">
      <c r="A871" s="36"/>
      <c r="B871" s="36"/>
      <c r="E871" s="36"/>
      <c r="F871" s="36"/>
      <c r="G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7"/>
      <c r="AC871" s="36"/>
      <c r="AD871" s="36"/>
      <c r="AE871" s="37"/>
      <c r="AG871" s="36"/>
      <c r="AH871" s="36"/>
      <c r="AI871" s="36"/>
      <c r="AJ871" s="36"/>
      <c r="BG871" s="39"/>
      <c r="BH871" s="32"/>
    </row>
    <row r="872">
      <c r="A872" s="36"/>
      <c r="B872" s="36"/>
      <c r="E872" s="36"/>
      <c r="F872" s="36"/>
      <c r="G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7"/>
      <c r="AC872" s="36"/>
      <c r="AD872" s="36"/>
      <c r="AE872" s="37"/>
      <c r="AG872" s="36"/>
      <c r="AH872" s="36"/>
      <c r="AI872" s="36"/>
      <c r="AJ872" s="36"/>
      <c r="BG872" s="39"/>
      <c r="BH872" s="32"/>
    </row>
    <row r="873">
      <c r="A873" s="36"/>
      <c r="B873" s="36"/>
      <c r="E873" s="36"/>
      <c r="F873" s="36"/>
      <c r="G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7"/>
      <c r="AC873" s="36"/>
      <c r="AD873" s="36"/>
      <c r="AE873" s="37"/>
      <c r="AG873" s="36"/>
      <c r="AH873" s="36"/>
      <c r="AI873" s="36"/>
      <c r="AJ873" s="36"/>
      <c r="BG873" s="39"/>
      <c r="BH873" s="32"/>
    </row>
    <row r="874">
      <c r="A874" s="36"/>
      <c r="B874" s="36"/>
      <c r="E874" s="36"/>
      <c r="F874" s="36"/>
      <c r="G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7"/>
      <c r="AC874" s="36"/>
      <c r="AD874" s="36"/>
      <c r="AE874" s="37"/>
      <c r="AG874" s="36"/>
      <c r="AH874" s="36"/>
      <c r="AI874" s="36"/>
      <c r="AJ874" s="36"/>
      <c r="BG874" s="39"/>
      <c r="BH874" s="32"/>
    </row>
    <row r="875">
      <c r="A875" s="36"/>
      <c r="B875" s="36"/>
      <c r="E875" s="36"/>
      <c r="F875" s="36"/>
      <c r="G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7"/>
      <c r="AC875" s="36"/>
      <c r="AD875" s="36"/>
      <c r="AE875" s="37"/>
      <c r="AG875" s="36"/>
      <c r="AH875" s="36"/>
      <c r="AI875" s="36"/>
      <c r="AJ875" s="36"/>
      <c r="BG875" s="39"/>
      <c r="BH875" s="32"/>
    </row>
    <row r="876">
      <c r="A876" s="36"/>
      <c r="B876" s="36"/>
      <c r="E876" s="36"/>
      <c r="F876" s="36"/>
      <c r="G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7"/>
      <c r="AC876" s="36"/>
      <c r="AD876" s="36"/>
      <c r="AE876" s="37"/>
      <c r="AG876" s="36"/>
      <c r="AH876" s="36"/>
      <c r="AI876" s="36"/>
      <c r="AJ876" s="36"/>
      <c r="BG876" s="39"/>
      <c r="BH876" s="32"/>
    </row>
    <row r="877">
      <c r="A877" s="36"/>
      <c r="B877" s="36"/>
      <c r="E877" s="36"/>
      <c r="F877" s="36"/>
      <c r="G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7"/>
      <c r="AC877" s="36"/>
      <c r="AD877" s="36"/>
      <c r="AE877" s="37"/>
      <c r="AG877" s="36"/>
      <c r="AH877" s="36"/>
      <c r="AI877" s="36"/>
      <c r="AJ877" s="36"/>
      <c r="BG877" s="39"/>
      <c r="BH877" s="32"/>
    </row>
    <row r="878">
      <c r="A878" s="36"/>
      <c r="B878" s="36"/>
      <c r="E878" s="36"/>
      <c r="F878" s="36"/>
      <c r="G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7"/>
      <c r="AC878" s="36"/>
      <c r="AD878" s="36"/>
      <c r="AE878" s="37"/>
      <c r="AG878" s="36"/>
      <c r="AH878" s="36"/>
      <c r="AI878" s="36"/>
      <c r="AJ878" s="36"/>
      <c r="BG878" s="39"/>
      <c r="BH878" s="32"/>
    </row>
    <row r="879">
      <c r="A879" s="36"/>
      <c r="B879" s="36"/>
      <c r="E879" s="36"/>
      <c r="F879" s="36"/>
      <c r="G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7"/>
      <c r="AC879" s="36"/>
      <c r="AD879" s="36"/>
      <c r="AE879" s="37"/>
      <c r="AG879" s="36"/>
      <c r="AH879" s="36"/>
      <c r="AI879" s="36"/>
      <c r="AJ879" s="36"/>
      <c r="BG879" s="39"/>
      <c r="BH879" s="32"/>
    </row>
    <row r="880">
      <c r="A880" s="36"/>
      <c r="B880" s="36"/>
      <c r="E880" s="36"/>
      <c r="F880" s="36"/>
      <c r="G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7"/>
      <c r="AC880" s="36"/>
      <c r="AD880" s="36"/>
      <c r="AE880" s="37"/>
      <c r="AG880" s="36"/>
      <c r="AH880" s="36"/>
      <c r="AI880" s="36"/>
      <c r="AJ880" s="36"/>
      <c r="BG880" s="39"/>
      <c r="BH880" s="32"/>
    </row>
    <row r="881">
      <c r="A881" s="36"/>
      <c r="B881" s="36"/>
      <c r="E881" s="36"/>
      <c r="F881" s="36"/>
      <c r="G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7"/>
      <c r="AC881" s="36"/>
      <c r="AD881" s="36"/>
      <c r="AE881" s="37"/>
      <c r="AG881" s="36"/>
      <c r="AH881" s="36"/>
      <c r="AI881" s="36"/>
      <c r="AJ881" s="36"/>
      <c r="BG881" s="39"/>
      <c r="BH881" s="32"/>
    </row>
    <row r="882">
      <c r="A882" s="36"/>
      <c r="B882" s="36"/>
      <c r="E882" s="36"/>
      <c r="F882" s="36"/>
      <c r="G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7"/>
      <c r="AC882" s="36"/>
      <c r="AD882" s="36"/>
      <c r="AE882" s="37"/>
      <c r="AG882" s="36"/>
      <c r="AH882" s="36"/>
      <c r="AI882" s="36"/>
      <c r="AJ882" s="36"/>
      <c r="BG882" s="39"/>
      <c r="BH882" s="32"/>
    </row>
    <row r="883">
      <c r="A883" s="36"/>
      <c r="B883" s="36"/>
      <c r="E883" s="36"/>
      <c r="F883" s="36"/>
      <c r="G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7"/>
      <c r="AC883" s="36"/>
      <c r="AD883" s="36"/>
      <c r="AE883" s="37"/>
      <c r="AG883" s="36"/>
      <c r="AH883" s="36"/>
      <c r="AI883" s="36"/>
      <c r="AJ883" s="36"/>
      <c r="BG883" s="39"/>
      <c r="BH883" s="32"/>
    </row>
    <row r="884">
      <c r="A884" s="36"/>
      <c r="B884" s="36"/>
      <c r="E884" s="36"/>
      <c r="F884" s="36"/>
      <c r="G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7"/>
      <c r="AC884" s="36"/>
      <c r="AD884" s="36"/>
      <c r="AE884" s="37"/>
      <c r="AG884" s="36"/>
      <c r="AH884" s="36"/>
      <c r="AI884" s="36"/>
      <c r="AJ884" s="36"/>
      <c r="BG884" s="39"/>
      <c r="BH884" s="32"/>
    </row>
    <row r="885">
      <c r="A885" s="36"/>
      <c r="B885" s="36"/>
      <c r="E885" s="36"/>
      <c r="F885" s="36"/>
      <c r="G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7"/>
      <c r="AC885" s="36"/>
      <c r="AD885" s="36"/>
      <c r="AE885" s="37"/>
      <c r="AG885" s="36"/>
      <c r="AH885" s="36"/>
      <c r="AI885" s="36"/>
      <c r="AJ885" s="36"/>
      <c r="BG885" s="39"/>
      <c r="BH885" s="32"/>
    </row>
    <row r="886">
      <c r="A886" s="36"/>
      <c r="B886" s="36"/>
      <c r="E886" s="36"/>
      <c r="F886" s="36"/>
      <c r="G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7"/>
      <c r="AC886" s="36"/>
      <c r="AD886" s="36"/>
      <c r="AE886" s="37"/>
      <c r="AG886" s="36"/>
      <c r="AH886" s="36"/>
      <c r="AI886" s="36"/>
      <c r="AJ886" s="36"/>
      <c r="BG886" s="39"/>
      <c r="BH886" s="32"/>
    </row>
    <row r="887">
      <c r="A887" s="36"/>
      <c r="B887" s="36"/>
      <c r="E887" s="36"/>
      <c r="F887" s="36"/>
      <c r="G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7"/>
      <c r="AC887" s="36"/>
      <c r="AD887" s="36"/>
      <c r="AE887" s="37"/>
      <c r="AG887" s="36"/>
      <c r="AH887" s="36"/>
      <c r="AI887" s="36"/>
      <c r="AJ887" s="36"/>
      <c r="BG887" s="39"/>
      <c r="BH887" s="32"/>
    </row>
    <row r="888">
      <c r="A888" s="36"/>
      <c r="B888" s="36"/>
      <c r="E888" s="36"/>
      <c r="F888" s="36"/>
      <c r="G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7"/>
      <c r="AC888" s="36"/>
      <c r="AD888" s="36"/>
      <c r="AE888" s="37"/>
      <c r="AG888" s="36"/>
      <c r="AH888" s="36"/>
      <c r="AI888" s="36"/>
      <c r="AJ888" s="36"/>
      <c r="BG888" s="39"/>
      <c r="BH888" s="32"/>
    </row>
    <row r="889">
      <c r="A889" s="36"/>
      <c r="B889" s="36"/>
      <c r="E889" s="36"/>
      <c r="F889" s="36"/>
      <c r="G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7"/>
      <c r="AC889" s="36"/>
      <c r="AD889" s="36"/>
      <c r="AE889" s="37"/>
      <c r="AG889" s="36"/>
      <c r="AH889" s="36"/>
      <c r="AI889" s="36"/>
      <c r="AJ889" s="36"/>
      <c r="BG889" s="39"/>
      <c r="BH889" s="32"/>
    </row>
    <row r="890">
      <c r="A890" s="36"/>
      <c r="B890" s="36"/>
      <c r="E890" s="36"/>
      <c r="F890" s="36"/>
      <c r="G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7"/>
      <c r="AC890" s="36"/>
      <c r="AD890" s="36"/>
      <c r="AE890" s="37"/>
      <c r="AG890" s="36"/>
      <c r="AH890" s="36"/>
      <c r="AI890" s="36"/>
      <c r="AJ890" s="36"/>
      <c r="BG890" s="39"/>
      <c r="BH890" s="32"/>
    </row>
    <row r="891">
      <c r="A891" s="36"/>
      <c r="B891" s="36"/>
      <c r="E891" s="36"/>
      <c r="F891" s="36"/>
      <c r="G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7"/>
      <c r="AC891" s="36"/>
      <c r="AD891" s="36"/>
      <c r="AE891" s="37"/>
      <c r="AG891" s="36"/>
      <c r="AH891" s="36"/>
      <c r="AI891" s="36"/>
      <c r="AJ891" s="36"/>
      <c r="BG891" s="39"/>
      <c r="BH891" s="32"/>
    </row>
    <row r="892">
      <c r="A892" s="36"/>
      <c r="B892" s="36"/>
      <c r="E892" s="36"/>
      <c r="F892" s="36"/>
      <c r="G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7"/>
      <c r="AC892" s="36"/>
      <c r="AD892" s="36"/>
      <c r="AE892" s="37"/>
      <c r="AG892" s="36"/>
      <c r="AH892" s="36"/>
      <c r="AI892" s="36"/>
      <c r="AJ892" s="36"/>
      <c r="BG892" s="39"/>
      <c r="BH892" s="32"/>
    </row>
    <row r="893">
      <c r="A893" s="36"/>
      <c r="B893" s="36"/>
      <c r="E893" s="36"/>
      <c r="F893" s="36"/>
      <c r="G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7"/>
      <c r="AC893" s="36"/>
      <c r="AD893" s="36"/>
      <c r="AE893" s="37"/>
      <c r="AG893" s="36"/>
      <c r="AH893" s="36"/>
      <c r="AI893" s="36"/>
      <c r="AJ893" s="36"/>
      <c r="BG893" s="39"/>
      <c r="BH893" s="32"/>
    </row>
    <row r="894">
      <c r="A894" s="36"/>
      <c r="B894" s="36"/>
      <c r="E894" s="36"/>
      <c r="F894" s="36"/>
      <c r="G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7"/>
      <c r="AC894" s="36"/>
      <c r="AD894" s="36"/>
      <c r="AE894" s="37"/>
      <c r="AG894" s="36"/>
      <c r="AH894" s="36"/>
      <c r="AI894" s="36"/>
      <c r="AJ894" s="36"/>
      <c r="BG894" s="39"/>
      <c r="BH894" s="32"/>
    </row>
    <row r="895">
      <c r="A895" s="36"/>
      <c r="B895" s="36"/>
      <c r="E895" s="36"/>
      <c r="F895" s="36"/>
      <c r="G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7"/>
      <c r="AC895" s="36"/>
      <c r="AD895" s="36"/>
      <c r="AE895" s="37"/>
      <c r="AG895" s="36"/>
      <c r="AH895" s="36"/>
      <c r="AI895" s="36"/>
      <c r="AJ895" s="36"/>
      <c r="BG895" s="39"/>
      <c r="BH895" s="32"/>
    </row>
    <row r="896">
      <c r="A896" s="36"/>
      <c r="B896" s="36"/>
      <c r="E896" s="36"/>
      <c r="F896" s="36"/>
      <c r="G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7"/>
      <c r="AC896" s="36"/>
      <c r="AD896" s="36"/>
      <c r="AE896" s="37"/>
      <c r="AG896" s="36"/>
      <c r="AH896" s="36"/>
      <c r="AI896" s="36"/>
      <c r="AJ896" s="36"/>
      <c r="BG896" s="39"/>
      <c r="BH896" s="32"/>
    </row>
    <row r="897">
      <c r="A897" s="36"/>
      <c r="B897" s="36"/>
      <c r="E897" s="36"/>
      <c r="F897" s="36"/>
      <c r="G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7"/>
      <c r="AC897" s="36"/>
      <c r="AD897" s="36"/>
      <c r="AE897" s="37"/>
      <c r="AG897" s="36"/>
      <c r="AH897" s="36"/>
      <c r="AI897" s="36"/>
      <c r="AJ897" s="36"/>
      <c r="BG897" s="39"/>
      <c r="BH897" s="32"/>
    </row>
    <row r="898">
      <c r="A898" s="36"/>
      <c r="B898" s="36"/>
      <c r="E898" s="36"/>
      <c r="F898" s="36"/>
      <c r="G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7"/>
      <c r="AC898" s="36"/>
      <c r="AD898" s="36"/>
      <c r="AE898" s="37"/>
      <c r="AG898" s="36"/>
      <c r="AH898" s="36"/>
      <c r="AI898" s="36"/>
      <c r="AJ898" s="36"/>
      <c r="BG898" s="39"/>
      <c r="BH898" s="32"/>
    </row>
    <row r="899">
      <c r="A899" s="36"/>
      <c r="B899" s="36"/>
      <c r="E899" s="36"/>
      <c r="F899" s="36"/>
      <c r="G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7"/>
      <c r="AC899" s="36"/>
      <c r="AD899" s="36"/>
      <c r="AE899" s="37"/>
      <c r="AG899" s="36"/>
      <c r="AH899" s="36"/>
      <c r="AI899" s="36"/>
      <c r="AJ899" s="36"/>
      <c r="BG899" s="39"/>
      <c r="BH899" s="32"/>
    </row>
    <row r="900">
      <c r="A900" s="36"/>
      <c r="B900" s="36"/>
      <c r="E900" s="36"/>
      <c r="F900" s="36"/>
      <c r="G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7"/>
      <c r="AC900" s="36"/>
      <c r="AD900" s="36"/>
      <c r="AE900" s="37"/>
      <c r="AG900" s="36"/>
      <c r="AH900" s="36"/>
      <c r="AI900" s="36"/>
      <c r="AJ900" s="36"/>
      <c r="BG900" s="39"/>
      <c r="BH900" s="32"/>
    </row>
    <row r="901">
      <c r="A901" s="36"/>
      <c r="B901" s="36"/>
      <c r="E901" s="36"/>
      <c r="F901" s="36"/>
      <c r="G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7"/>
      <c r="AC901" s="36"/>
      <c r="AD901" s="36"/>
      <c r="AE901" s="37"/>
      <c r="AG901" s="36"/>
      <c r="AH901" s="36"/>
      <c r="AI901" s="36"/>
      <c r="AJ901" s="36"/>
      <c r="BG901" s="39"/>
      <c r="BH901" s="32"/>
    </row>
    <row r="902">
      <c r="A902" s="36"/>
      <c r="B902" s="36"/>
      <c r="E902" s="36"/>
      <c r="F902" s="36"/>
      <c r="G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7"/>
      <c r="AC902" s="36"/>
      <c r="AD902" s="36"/>
      <c r="AE902" s="37"/>
      <c r="AG902" s="36"/>
      <c r="AH902" s="36"/>
      <c r="AI902" s="36"/>
      <c r="AJ902" s="36"/>
      <c r="BG902" s="39"/>
      <c r="BH902" s="32"/>
    </row>
    <row r="903">
      <c r="A903" s="36"/>
      <c r="B903" s="36"/>
      <c r="E903" s="36"/>
      <c r="F903" s="36"/>
      <c r="G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7"/>
      <c r="AC903" s="36"/>
      <c r="AD903" s="36"/>
      <c r="AE903" s="37"/>
      <c r="AG903" s="36"/>
      <c r="AH903" s="36"/>
      <c r="AI903" s="36"/>
      <c r="AJ903" s="36"/>
      <c r="BG903" s="39"/>
      <c r="BH903" s="32"/>
    </row>
    <row r="904">
      <c r="A904" s="36"/>
      <c r="B904" s="36"/>
      <c r="E904" s="36"/>
      <c r="F904" s="36"/>
      <c r="G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7"/>
      <c r="AC904" s="36"/>
      <c r="AD904" s="36"/>
      <c r="AE904" s="37"/>
      <c r="AG904" s="36"/>
      <c r="AH904" s="36"/>
      <c r="AI904" s="36"/>
      <c r="AJ904" s="36"/>
      <c r="BG904" s="39"/>
      <c r="BH904" s="32"/>
    </row>
    <row r="905">
      <c r="A905" s="36"/>
      <c r="B905" s="36"/>
      <c r="E905" s="36"/>
      <c r="F905" s="36"/>
      <c r="G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7"/>
      <c r="AC905" s="36"/>
      <c r="AD905" s="36"/>
      <c r="AE905" s="37"/>
      <c r="AG905" s="36"/>
      <c r="AH905" s="36"/>
      <c r="AI905" s="36"/>
      <c r="AJ905" s="36"/>
      <c r="BG905" s="39"/>
      <c r="BH905" s="32"/>
    </row>
    <row r="906">
      <c r="A906" s="36"/>
      <c r="B906" s="36"/>
      <c r="E906" s="36"/>
      <c r="F906" s="36"/>
      <c r="G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7"/>
      <c r="AC906" s="36"/>
      <c r="AD906" s="36"/>
      <c r="AE906" s="37"/>
      <c r="AG906" s="36"/>
      <c r="AH906" s="36"/>
      <c r="AI906" s="36"/>
      <c r="AJ906" s="36"/>
      <c r="BG906" s="39"/>
      <c r="BH906" s="32"/>
    </row>
    <row r="907">
      <c r="A907" s="36"/>
      <c r="B907" s="36"/>
      <c r="E907" s="36"/>
      <c r="F907" s="36"/>
      <c r="G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7"/>
      <c r="AC907" s="36"/>
      <c r="AD907" s="36"/>
      <c r="AE907" s="37"/>
      <c r="AG907" s="36"/>
      <c r="AH907" s="36"/>
      <c r="AI907" s="36"/>
      <c r="AJ907" s="36"/>
      <c r="BG907" s="39"/>
      <c r="BH907" s="32"/>
    </row>
    <row r="908">
      <c r="A908" s="36"/>
      <c r="B908" s="36"/>
      <c r="E908" s="36"/>
      <c r="F908" s="36"/>
      <c r="G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7"/>
      <c r="AC908" s="36"/>
      <c r="AD908" s="36"/>
      <c r="AE908" s="37"/>
      <c r="AG908" s="36"/>
      <c r="AH908" s="36"/>
      <c r="AI908" s="36"/>
      <c r="AJ908" s="36"/>
      <c r="BG908" s="39"/>
      <c r="BH908" s="32"/>
    </row>
    <row r="909">
      <c r="A909" s="36"/>
      <c r="B909" s="36"/>
      <c r="E909" s="36"/>
      <c r="F909" s="36"/>
      <c r="G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7"/>
      <c r="AC909" s="36"/>
      <c r="AD909" s="36"/>
      <c r="AE909" s="37"/>
      <c r="AG909" s="36"/>
      <c r="AH909" s="36"/>
      <c r="AI909" s="36"/>
      <c r="AJ909" s="36"/>
      <c r="BG909" s="39"/>
      <c r="BH909" s="32"/>
    </row>
    <row r="910">
      <c r="A910" s="36"/>
      <c r="B910" s="36"/>
      <c r="E910" s="36"/>
      <c r="F910" s="36"/>
      <c r="G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7"/>
      <c r="AC910" s="36"/>
      <c r="AD910" s="36"/>
      <c r="AE910" s="37"/>
      <c r="AG910" s="36"/>
      <c r="AH910" s="36"/>
      <c r="AI910" s="36"/>
      <c r="AJ910" s="36"/>
      <c r="BG910" s="39"/>
      <c r="BH910" s="32"/>
    </row>
    <row r="911">
      <c r="A911" s="36"/>
      <c r="B911" s="36"/>
      <c r="E911" s="36"/>
      <c r="F911" s="36"/>
      <c r="G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7"/>
      <c r="AC911" s="36"/>
      <c r="AD911" s="36"/>
      <c r="AE911" s="37"/>
      <c r="AG911" s="36"/>
      <c r="AH911" s="36"/>
      <c r="AI911" s="36"/>
      <c r="AJ911" s="36"/>
      <c r="BG911" s="39"/>
      <c r="BH911" s="32"/>
    </row>
    <row r="912">
      <c r="A912" s="36"/>
      <c r="B912" s="36"/>
      <c r="E912" s="36"/>
      <c r="F912" s="36"/>
      <c r="G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7"/>
      <c r="AC912" s="36"/>
      <c r="AD912" s="36"/>
      <c r="AE912" s="37"/>
      <c r="AG912" s="36"/>
      <c r="AH912" s="36"/>
      <c r="AI912" s="36"/>
      <c r="AJ912" s="36"/>
      <c r="BG912" s="39"/>
      <c r="BH912" s="32"/>
    </row>
    <row r="913">
      <c r="A913" s="36"/>
      <c r="B913" s="36"/>
      <c r="E913" s="36"/>
      <c r="F913" s="36"/>
      <c r="G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7"/>
      <c r="AC913" s="36"/>
      <c r="AD913" s="36"/>
      <c r="AE913" s="37"/>
      <c r="AG913" s="36"/>
      <c r="AH913" s="36"/>
      <c r="AI913" s="36"/>
      <c r="AJ913" s="36"/>
      <c r="BG913" s="39"/>
      <c r="BH913" s="32"/>
    </row>
    <row r="914">
      <c r="A914" s="36"/>
      <c r="B914" s="36"/>
      <c r="E914" s="36"/>
      <c r="F914" s="36"/>
      <c r="G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7"/>
      <c r="AC914" s="36"/>
      <c r="AD914" s="36"/>
      <c r="AE914" s="37"/>
      <c r="AG914" s="36"/>
      <c r="AH914" s="36"/>
      <c r="AI914" s="36"/>
      <c r="AJ914" s="36"/>
      <c r="BG914" s="39"/>
      <c r="BH914" s="32"/>
    </row>
    <row r="915">
      <c r="A915" s="36"/>
      <c r="B915" s="36"/>
      <c r="E915" s="36"/>
      <c r="F915" s="36"/>
      <c r="G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7"/>
      <c r="AC915" s="36"/>
      <c r="AD915" s="36"/>
      <c r="AE915" s="37"/>
      <c r="AG915" s="36"/>
      <c r="AH915" s="36"/>
      <c r="AI915" s="36"/>
      <c r="AJ915" s="36"/>
      <c r="BG915" s="39"/>
      <c r="BH915" s="32"/>
    </row>
    <row r="916">
      <c r="A916" s="36"/>
      <c r="B916" s="36"/>
      <c r="E916" s="36"/>
      <c r="F916" s="36"/>
      <c r="G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7"/>
      <c r="AC916" s="36"/>
      <c r="AD916" s="36"/>
      <c r="AE916" s="37"/>
      <c r="AG916" s="36"/>
      <c r="AH916" s="36"/>
      <c r="AI916" s="36"/>
      <c r="AJ916" s="36"/>
      <c r="BG916" s="39"/>
      <c r="BH916" s="32"/>
    </row>
    <row r="917">
      <c r="A917" s="36"/>
      <c r="B917" s="36"/>
      <c r="E917" s="36"/>
      <c r="F917" s="36"/>
      <c r="G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7"/>
      <c r="AC917" s="36"/>
      <c r="AD917" s="36"/>
      <c r="AE917" s="37"/>
      <c r="AG917" s="36"/>
      <c r="AH917" s="36"/>
      <c r="AI917" s="36"/>
      <c r="AJ917" s="36"/>
      <c r="BG917" s="39"/>
      <c r="BH917" s="32"/>
    </row>
    <row r="918">
      <c r="A918" s="36"/>
      <c r="B918" s="36"/>
      <c r="E918" s="36"/>
      <c r="F918" s="36"/>
      <c r="G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7"/>
      <c r="AC918" s="36"/>
      <c r="AD918" s="36"/>
      <c r="AE918" s="37"/>
      <c r="AG918" s="36"/>
      <c r="AH918" s="36"/>
      <c r="AI918" s="36"/>
      <c r="AJ918" s="36"/>
      <c r="BG918" s="39"/>
      <c r="BH918" s="32"/>
    </row>
    <row r="919">
      <c r="A919" s="36"/>
      <c r="B919" s="36"/>
      <c r="E919" s="36"/>
      <c r="F919" s="36"/>
      <c r="G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7"/>
      <c r="AC919" s="36"/>
      <c r="AD919" s="36"/>
      <c r="AE919" s="37"/>
      <c r="AG919" s="36"/>
      <c r="AH919" s="36"/>
      <c r="AI919" s="36"/>
      <c r="AJ919" s="36"/>
      <c r="BG919" s="39"/>
      <c r="BH919" s="32"/>
    </row>
    <row r="920">
      <c r="A920" s="36"/>
      <c r="B920" s="36"/>
      <c r="E920" s="36"/>
      <c r="F920" s="36"/>
      <c r="G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7"/>
      <c r="AC920" s="36"/>
      <c r="AD920" s="36"/>
      <c r="AE920" s="37"/>
      <c r="AG920" s="36"/>
      <c r="AH920" s="36"/>
      <c r="AI920" s="36"/>
      <c r="AJ920" s="36"/>
      <c r="BG920" s="39"/>
      <c r="BH920" s="32"/>
    </row>
    <row r="921">
      <c r="A921" s="36"/>
      <c r="B921" s="36"/>
      <c r="E921" s="36"/>
      <c r="F921" s="36"/>
      <c r="G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7"/>
      <c r="AC921" s="36"/>
      <c r="AD921" s="36"/>
      <c r="AE921" s="37"/>
      <c r="AG921" s="36"/>
      <c r="AH921" s="36"/>
      <c r="AI921" s="36"/>
      <c r="AJ921" s="36"/>
      <c r="BG921" s="39"/>
      <c r="BH921" s="32"/>
    </row>
    <row r="922">
      <c r="A922" s="36"/>
      <c r="B922" s="36"/>
      <c r="E922" s="36"/>
      <c r="F922" s="36"/>
      <c r="G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7"/>
      <c r="AC922" s="36"/>
      <c r="AD922" s="36"/>
      <c r="AE922" s="37"/>
      <c r="AG922" s="36"/>
      <c r="AH922" s="36"/>
      <c r="AI922" s="36"/>
      <c r="AJ922" s="36"/>
      <c r="BG922" s="39"/>
      <c r="BH922" s="32"/>
    </row>
    <row r="923">
      <c r="A923" s="36"/>
      <c r="B923" s="36"/>
      <c r="E923" s="36"/>
      <c r="F923" s="36"/>
      <c r="G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7"/>
      <c r="AC923" s="36"/>
      <c r="AD923" s="36"/>
      <c r="AE923" s="37"/>
      <c r="AG923" s="36"/>
      <c r="AH923" s="36"/>
      <c r="AI923" s="36"/>
      <c r="AJ923" s="36"/>
      <c r="BG923" s="39"/>
      <c r="BH923" s="32"/>
    </row>
    <row r="924">
      <c r="A924" s="36"/>
      <c r="B924" s="36"/>
      <c r="E924" s="36"/>
      <c r="F924" s="36"/>
      <c r="G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7"/>
      <c r="AC924" s="36"/>
      <c r="AD924" s="36"/>
      <c r="AE924" s="37"/>
      <c r="AG924" s="36"/>
      <c r="AH924" s="36"/>
      <c r="AI924" s="36"/>
      <c r="AJ924" s="36"/>
      <c r="BG924" s="39"/>
      <c r="BH924" s="32"/>
    </row>
    <row r="925">
      <c r="A925" s="36"/>
      <c r="B925" s="36"/>
      <c r="E925" s="36"/>
      <c r="F925" s="36"/>
      <c r="G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7"/>
      <c r="AC925" s="36"/>
      <c r="AD925" s="36"/>
      <c r="AE925" s="37"/>
      <c r="AG925" s="36"/>
      <c r="AH925" s="36"/>
      <c r="AI925" s="36"/>
      <c r="AJ925" s="36"/>
      <c r="BG925" s="39"/>
      <c r="BH925" s="32"/>
    </row>
    <row r="926">
      <c r="A926" s="36"/>
      <c r="B926" s="36"/>
      <c r="E926" s="36"/>
      <c r="F926" s="36"/>
      <c r="G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7"/>
      <c r="AC926" s="36"/>
      <c r="AD926" s="36"/>
      <c r="AE926" s="37"/>
      <c r="AG926" s="36"/>
      <c r="AH926" s="36"/>
      <c r="AI926" s="36"/>
      <c r="AJ926" s="36"/>
      <c r="BG926" s="39"/>
      <c r="BH926" s="32"/>
    </row>
    <row r="927">
      <c r="A927" s="36"/>
      <c r="B927" s="36"/>
      <c r="E927" s="36"/>
      <c r="F927" s="36"/>
      <c r="G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7"/>
      <c r="AC927" s="36"/>
      <c r="AD927" s="36"/>
      <c r="AE927" s="37"/>
      <c r="AG927" s="36"/>
      <c r="AH927" s="36"/>
      <c r="AI927" s="36"/>
      <c r="AJ927" s="36"/>
      <c r="BG927" s="39"/>
      <c r="BH927" s="32"/>
    </row>
    <row r="928">
      <c r="A928" s="36"/>
      <c r="B928" s="36"/>
      <c r="E928" s="36"/>
      <c r="F928" s="36"/>
      <c r="G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7"/>
      <c r="AC928" s="36"/>
      <c r="AD928" s="36"/>
      <c r="AE928" s="37"/>
      <c r="AG928" s="36"/>
      <c r="AH928" s="36"/>
      <c r="AI928" s="36"/>
      <c r="AJ928" s="36"/>
      <c r="BG928" s="39"/>
      <c r="BH928" s="32"/>
    </row>
    <row r="929">
      <c r="A929" s="36"/>
      <c r="B929" s="36"/>
      <c r="E929" s="36"/>
      <c r="F929" s="36"/>
      <c r="G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7"/>
      <c r="AC929" s="36"/>
      <c r="AD929" s="36"/>
      <c r="AE929" s="37"/>
      <c r="AG929" s="36"/>
      <c r="AH929" s="36"/>
      <c r="AI929" s="36"/>
      <c r="AJ929" s="36"/>
      <c r="BG929" s="39"/>
      <c r="BH929" s="32"/>
    </row>
    <row r="930">
      <c r="A930" s="36"/>
      <c r="B930" s="36"/>
      <c r="E930" s="36"/>
      <c r="F930" s="36"/>
      <c r="G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7"/>
      <c r="AC930" s="36"/>
      <c r="AD930" s="36"/>
      <c r="AE930" s="37"/>
      <c r="AG930" s="36"/>
      <c r="AH930" s="36"/>
      <c r="AI930" s="36"/>
      <c r="AJ930" s="36"/>
      <c r="BG930" s="39"/>
      <c r="BH930" s="32"/>
    </row>
    <row r="931">
      <c r="A931" s="36"/>
      <c r="B931" s="36"/>
      <c r="E931" s="36"/>
      <c r="F931" s="36"/>
      <c r="G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7"/>
      <c r="AC931" s="36"/>
      <c r="AD931" s="36"/>
      <c r="AE931" s="37"/>
      <c r="AG931" s="36"/>
      <c r="AH931" s="36"/>
      <c r="AI931" s="36"/>
      <c r="AJ931" s="36"/>
      <c r="BG931" s="39"/>
      <c r="BH931" s="32"/>
    </row>
    <row r="932">
      <c r="A932" s="36"/>
      <c r="B932" s="36"/>
      <c r="E932" s="36"/>
      <c r="F932" s="36"/>
      <c r="G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7"/>
      <c r="AC932" s="36"/>
      <c r="AD932" s="36"/>
      <c r="AE932" s="37"/>
      <c r="AG932" s="36"/>
      <c r="AH932" s="36"/>
      <c r="AI932" s="36"/>
      <c r="AJ932" s="36"/>
      <c r="BG932" s="39"/>
      <c r="BH932" s="32"/>
    </row>
    <row r="933">
      <c r="A933" s="36"/>
      <c r="B933" s="36"/>
      <c r="E933" s="36"/>
      <c r="F933" s="36"/>
      <c r="G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7"/>
      <c r="AC933" s="36"/>
      <c r="AD933" s="36"/>
      <c r="AE933" s="37"/>
      <c r="AG933" s="36"/>
      <c r="AH933" s="36"/>
      <c r="AI933" s="36"/>
      <c r="AJ933" s="36"/>
      <c r="BG933" s="39"/>
      <c r="BH933" s="32"/>
    </row>
    <row r="934">
      <c r="A934" s="36"/>
      <c r="B934" s="36"/>
      <c r="E934" s="36"/>
      <c r="F934" s="36"/>
      <c r="G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7"/>
      <c r="AC934" s="36"/>
      <c r="AD934" s="36"/>
      <c r="AE934" s="37"/>
      <c r="AG934" s="36"/>
      <c r="AH934" s="36"/>
      <c r="AI934" s="36"/>
      <c r="AJ934" s="36"/>
      <c r="BG934" s="39"/>
      <c r="BH934" s="32"/>
    </row>
    <row r="935">
      <c r="A935" s="36"/>
      <c r="B935" s="36"/>
      <c r="E935" s="36"/>
      <c r="F935" s="36"/>
      <c r="G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7"/>
      <c r="AC935" s="36"/>
      <c r="AD935" s="36"/>
      <c r="AE935" s="37"/>
      <c r="AG935" s="36"/>
      <c r="AH935" s="36"/>
      <c r="AI935" s="36"/>
      <c r="AJ935" s="36"/>
      <c r="BG935" s="39"/>
      <c r="BH935" s="32"/>
    </row>
    <row r="936">
      <c r="A936" s="36"/>
      <c r="B936" s="36"/>
      <c r="E936" s="36"/>
      <c r="F936" s="36"/>
      <c r="G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7"/>
      <c r="AC936" s="36"/>
      <c r="AD936" s="36"/>
      <c r="AE936" s="37"/>
      <c r="AG936" s="36"/>
      <c r="AH936" s="36"/>
      <c r="AI936" s="36"/>
      <c r="AJ936" s="36"/>
      <c r="BG936" s="39"/>
      <c r="BH936" s="32"/>
    </row>
    <row r="937">
      <c r="A937" s="36"/>
      <c r="B937" s="36"/>
      <c r="E937" s="36"/>
      <c r="F937" s="36"/>
      <c r="G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7"/>
      <c r="AC937" s="36"/>
      <c r="AD937" s="36"/>
      <c r="AE937" s="37"/>
      <c r="AG937" s="36"/>
      <c r="AH937" s="36"/>
      <c r="AI937" s="36"/>
      <c r="AJ937" s="36"/>
      <c r="BG937" s="39"/>
      <c r="BH937" s="32"/>
    </row>
    <row r="938">
      <c r="A938" s="36"/>
      <c r="B938" s="36"/>
      <c r="E938" s="36"/>
      <c r="F938" s="36"/>
      <c r="G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7"/>
      <c r="AC938" s="36"/>
      <c r="AD938" s="36"/>
      <c r="AE938" s="37"/>
      <c r="AG938" s="36"/>
      <c r="AH938" s="36"/>
      <c r="AI938" s="36"/>
      <c r="AJ938" s="36"/>
      <c r="BG938" s="39"/>
      <c r="BH938" s="32"/>
    </row>
    <row r="939">
      <c r="A939" s="36"/>
      <c r="B939" s="36"/>
      <c r="E939" s="36"/>
      <c r="F939" s="36"/>
      <c r="G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7"/>
      <c r="AC939" s="36"/>
      <c r="AD939" s="36"/>
      <c r="AE939" s="37"/>
      <c r="AG939" s="36"/>
      <c r="AH939" s="36"/>
      <c r="AI939" s="36"/>
      <c r="AJ939" s="36"/>
      <c r="BG939" s="39"/>
      <c r="BH939" s="32"/>
    </row>
    <row r="940">
      <c r="A940" s="36"/>
      <c r="B940" s="36"/>
      <c r="E940" s="36"/>
      <c r="F940" s="36"/>
      <c r="G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7"/>
      <c r="AC940" s="36"/>
      <c r="AD940" s="36"/>
      <c r="AE940" s="37"/>
      <c r="AG940" s="36"/>
      <c r="AH940" s="36"/>
      <c r="AI940" s="36"/>
      <c r="AJ940" s="36"/>
      <c r="BG940" s="39"/>
      <c r="BH940" s="32"/>
    </row>
    <row r="941">
      <c r="A941" s="36"/>
      <c r="B941" s="36"/>
      <c r="E941" s="36"/>
      <c r="F941" s="36"/>
      <c r="G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7"/>
      <c r="AC941" s="36"/>
      <c r="AD941" s="36"/>
      <c r="AE941" s="37"/>
      <c r="AG941" s="36"/>
      <c r="AH941" s="36"/>
      <c r="AI941" s="36"/>
      <c r="AJ941" s="36"/>
      <c r="BG941" s="39"/>
      <c r="BH941" s="32"/>
    </row>
    <row r="942">
      <c r="A942" s="36"/>
      <c r="B942" s="36"/>
      <c r="E942" s="36"/>
      <c r="F942" s="36"/>
      <c r="G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7"/>
      <c r="AC942" s="36"/>
      <c r="AD942" s="36"/>
      <c r="AE942" s="37"/>
      <c r="AG942" s="36"/>
      <c r="AH942" s="36"/>
      <c r="AI942" s="36"/>
      <c r="AJ942" s="36"/>
      <c r="BG942" s="39"/>
      <c r="BH942" s="32"/>
    </row>
    <row r="943">
      <c r="A943" s="36"/>
      <c r="B943" s="36"/>
      <c r="E943" s="36"/>
      <c r="F943" s="36"/>
      <c r="G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7"/>
      <c r="AC943" s="36"/>
      <c r="AD943" s="36"/>
      <c r="AE943" s="37"/>
      <c r="AG943" s="36"/>
      <c r="AH943" s="36"/>
      <c r="AI943" s="36"/>
      <c r="AJ943" s="36"/>
      <c r="BG943" s="39"/>
      <c r="BH943" s="32"/>
    </row>
    <row r="944">
      <c r="A944" s="36"/>
      <c r="B944" s="36"/>
      <c r="E944" s="36"/>
      <c r="F944" s="36"/>
      <c r="G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7"/>
      <c r="AC944" s="36"/>
      <c r="AD944" s="36"/>
      <c r="AE944" s="37"/>
      <c r="AG944" s="36"/>
      <c r="AH944" s="36"/>
      <c r="AI944" s="36"/>
      <c r="AJ944" s="36"/>
      <c r="BG944" s="39"/>
      <c r="BH944" s="32"/>
    </row>
    <row r="945">
      <c r="A945" s="36"/>
      <c r="B945" s="36"/>
      <c r="E945" s="36"/>
      <c r="F945" s="36"/>
      <c r="G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7"/>
      <c r="AC945" s="36"/>
      <c r="AD945" s="36"/>
      <c r="AE945" s="37"/>
      <c r="AG945" s="36"/>
      <c r="AH945" s="36"/>
      <c r="AI945" s="36"/>
      <c r="AJ945" s="36"/>
      <c r="BG945" s="39"/>
      <c r="BH945" s="32"/>
    </row>
    <row r="946">
      <c r="A946" s="36"/>
      <c r="B946" s="36"/>
      <c r="E946" s="36"/>
      <c r="F946" s="36"/>
      <c r="G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7"/>
      <c r="AC946" s="36"/>
      <c r="AD946" s="36"/>
      <c r="AE946" s="37"/>
      <c r="AG946" s="36"/>
      <c r="AH946" s="36"/>
      <c r="AI946" s="36"/>
      <c r="AJ946" s="36"/>
      <c r="BG946" s="39"/>
      <c r="BH946" s="32"/>
    </row>
    <row r="947">
      <c r="A947" s="36"/>
      <c r="B947" s="36"/>
      <c r="E947" s="36"/>
      <c r="F947" s="36"/>
      <c r="G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7"/>
      <c r="AC947" s="36"/>
      <c r="AD947" s="36"/>
      <c r="AE947" s="37"/>
      <c r="AG947" s="36"/>
      <c r="AH947" s="36"/>
      <c r="AI947" s="36"/>
      <c r="AJ947" s="36"/>
      <c r="BG947" s="39"/>
      <c r="BH947" s="32"/>
    </row>
    <row r="948">
      <c r="A948" s="36"/>
      <c r="B948" s="36"/>
      <c r="E948" s="36"/>
      <c r="F948" s="36"/>
      <c r="G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7"/>
      <c r="AC948" s="36"/>
      <c r="AD948" s="36"/>
      <c r="AE948" s="37"/>
      <c r="AG948" s="36"/>
      <c r="AH948" s="36"/>
      <c r="AI948" s="36"/>
      <c r="AJ948" s="36"/>
      <c r="BG948" s="39"/>
      <c r="BH948" s="32"/>
    </row>
    <row r="949">
      <c r="A949" s="36"/>
      <c r="B949" s="36"/>
      <c r="E949" s="36"/>
      <c r="F949" s="36"/>
      <c r="G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7"/>
      <c r="AC949" s="36"/>
      <c r="AD949" s="36"/>
      <c r="AE949" s="37"/>
      <c r="AG949" s="36"/>
      <c r="AH949" s="36"/>
      <c r="AI949" s="36"/>
      <c r="AJ949" s="36"/>
      <c r="BG949" s="39"/>
      <c r="BH949" s="32"/>
    </row>
    <row r="950">
      <c r="A950" s="36"/>
      <c r="B950" s="36"/>
      <c r="E950" s="36"/>
      <c r="F950" s="36"/>
      <c r="G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7"/>
      <c r="AC950" s="36"/>
      <c r="AD950" s="36"/>
      <c r="AE950" s="37"/>
      <c r="AG950" s="36"/>
      <c r="AH950" s="36"/>
      <c r="AI950" s="36"/>
      <c r="AJ950" s="36"/>
      <c r="BG950" s="39"/>
      <c r="BH950" s="32"/>
    </row>
    <row r="951">
      <c r="A951" s="36"/>
      <c r="B951" s="36"/>
      <c r="E951" s="36"/>
      <c r="F951" s="36"/>
      <c r="G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7"/>
      <c r="AC951" s="36"/>
      <c r="AD951" s="36"/>
      <c r="AE951" s="37"/>
      <c r="AG951" s="36"/>
      <c r="AH951" s="36"/>
      <c r="AI951" s="36"/>
      <c r="AJ951" s="36"/>
      <c r="BG951" s="39"/>
      <c r="BH951" s="32"/>
    </row>
    <row r="952">
      <c r="A952" s="36"/>
      <c r="B952" s="36"/>
      <c r="E952" s="36"/>
      <c r="F952" s="36"/>
      <c r="G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7"/>
      <c r="AC952" s="36"/>
      <c r="AD952" s="36"/>
      <c r="AE952" s="37"/>
      <c r="AG952" s="36"/>
      <c r="AH952" s="36"/>
      <c r="AI952" s="36"/>
      <c r="AJ952" s="36"/>
      <c r="BG952" s="39"/>
      <c r="BH952" s="32"/>
    </row>
    <row r="953">
      <c r="A953" s="36"/>
      <c r="B953" s="36"/>
      <c r="E953" s="36"/>
      <c r="F953" s="36"/>
      <c r="G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7"/>
      <c r="AC953" s="36"/>
      <c r="AD953" s="36"/>
      <c r="AE953" s="37"/>
      <c r="AG953" s="36"/>
      <c r="AH953" s="36"/>
      <c r="AI953" s="36"/>
      <c r="AJ953" s="36"/>
      <c r="BG953" s="39"/>
      <c r="BH953" s="32"/>
    </row>
    <row r="954">
      <c r="A954" s="36"/>
      <c r="B954" s="36"/>
      <c r="E954" s="36"/>
      <c r="F954" s="36"/>
      <c r="G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7"/>
      <c r="AC954" s="36"/>
      <c r="AD954" s="36"/>
      <c r="AE954" s="37"/>
      <c r="AG954" s="36"/>
      <c r="AH954" s="36"/>
      <c r="AI954" s="36"/>
      <c r="AJ954" s="36"/>
      <c r="BG954" s="39"/>
      <c r="BH954" s="32"/>
    </row>
    <row r="955">
      <c r="A955" s="36"/>
      <c r="B955" s="36"/>
      <c r="E955" s="36"/>
      <c r="F955" s="36"/>
      <c r="G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7"/>
      <c r="AC955" s="36"/>
      <c r="AD955" s="36"/>
      <c r="AE955" s="37"/>
      <c r="AG955" s="36"/>
      <c r="AH955" s="36"/>
      <c r="AI955" s="36"/>
      <c r="AJ955" s="36"/>
      <c r="BG955" s="39"/>
      <c r="BH955" s="32"/>
    </row>
    <row r="956">
      <c r="A956" s="36"/>
      <c r="B956" s="36"/>
      <c r="E956" s="36"/>
      <c r="F956" s="36"/>
      <c r="G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7"/>
      <c r="AC956" s="36"/>
      <c r="AD956" s="36"/>
      <c r="AE956" s="37"/>
      <c r="AG956" s="36"/>
      <c r="AH956" s="36"/>
      <c r="AI956" s="36"/>
      <c r="AJ956" s="36"/>
      <c r="BG956" s="39"/>
      <c r="BH956" s="32"/>
    </row>
    <row r="957">
      <c r="A957" s="36"/>
      <c r="B957" s="36"/>
      <c r="E957" s="36"/>
      <c r="F957" s="36"/>
      <c r="G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7"/>
      <c r="AC957" s="36"/>
      <c r="AD957" s="36"/>
      <c r="AE957" s="37"/>
      <c r="AG957" s="36"/>
      <c r="AH957" s="36"/>
      <c r="AI957" s="36"/>
      <c r="AJ957" s="36"/>
      <c r="BG957" s="39"/>
      <c r="BH957" s="32"/>
    </row>
    <row r="958">
      <c r="A958" s="36"/>
      <c r="B958" s="36"/>
      <c r="E958" s="36"/>
      <c r="F958" s="36"/>
      <c r="G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7"/>
      <c r="AC958" s="36"/>
      <c r="AD958" s="36"/>
      <c r="AE958" s="37"/>
      <c r="AG958" s="36"/>
      <c r="AH958" s="36"/>
      <c r="AI958" s="36"/>
      <c r="AJ958" s="36"/>
      <c r="BG958" s="39"/>
      <c r="BH958" s="32"/>
    </row>
    <row r="959">
      <c r="A959" s="36"/>
      <c r="B959" s="36"/>
      <c r="E959" s="36"/>
      <c r="F959" s="36"/>
      <c r="G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7"/>
      <c r="AC959" s="36"/>
      <c r="AD959" s="36"/>
      <c r="AE959" s="37"/>
      <c r="AG959" s="36"/>
      <c r="AH959" s="36"/>
      <c r="AI959" s="36"/>
      <c r="AJ959" s="36"/>
      <c r="BG959" s="39"/>
      <c r="BH959" s="32"/>
    </row>
    <row r="960">
      <c r="A960" s="36"/>
      <c r="B960" s="36"/>
      <c r="E960" s="36"/>
      <c r="F960" s="36"/>
      <c r="G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7"/>
      <c r="AC960" s="36"/>
      <c r="AD960" s="36"/>
      <c r="AE960" s="37"/>
      <c r="AG960" s="36"/>
      <c r="AH960" s="36"/>
      <c r="AI960" s="36"/>
      <c r="AJ960" s="36"/>
      <c r="BG960" s="39"/>
      <c r="BH960" s="32"/>
    </row>
    <row r="961">
      <c r="A961" s="36"/>
      <c r="B961" s="36"/>
      <c r="E961" s="36"/>
      <c r="F961" s="36"/>
      <c r="G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7"/>
      <c r="AC961" s="36"/>
      <c r="AD961" s="36"/>
      <c r="AE961" s="37"/>
      <c r="AG961" s="36"/>
      <c r="AH961" s="36"/>
      <c r="AI961" s="36"/>
      <c r="AJ961" s="36"/>
      <c r="BG961" s="39"/>
      <c r="BH961" s="32"/>
    </row>
    <row r="962">
      <c r="A962" s="36"/>
      <c r="B962" s="36"/>
      <c r="E962" s="36"/>
      <c r="F962" s="36"/>
      <c r="G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7"/>
      <c r="AC962" s="36"/>
      <c r="AD962" s="36"/>
      <c r="AE962" s="37"/>
      <c r="AG962" s="36"/>
      <c r="AH962" s="36"/>
      <c r="AI962" s="36"/>
      <c r="AJ962" s="36"/>
      <c r="BG962" s="39"/>
      <c r="BH962" s="32"/>
    </row>
    <row r="963">
      <c r="A963" s="36"/>
      <c r="B963" s="36"/>
      <c r="E963" s="36"/>
      <c r="F963" s="36"/>
      <c r="G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7"/>
      <c r="AC963" s="36"/>
      <c r="AD963" s="36"/>
      <c r="AE963" s="37"/>
      <c r="AG963" s="36"/>
      <c r="AH963" s="36"/>
      <c r="AI963" s="36"/>
      <c r="AJ963" s="36"/>
      <c r="BG963" s="39"/>
      <c r="BH963" s="32"/>
    </row>
    <row r="964">
      <c r="A964" s="36"/>
      <c r="B964" s="36"/>
      <c r="E964" s="36"/>
      <c r="F964" s="36"/>
      <c r="G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7"/>
      <c r="AC964" s="36"/>
      <c r="AD964" s="36"/>
      <c r="AE964" s="37"/>
      <c r="AG964" s="36"/>
      <c r="AH964" s="36"/>
      <c r="AI964" s="36"/>
      <c r="AJ964" s="36"/>
      <c r="BG964" s="39"/>
      <c r="BH964" s="32"/>
    </row>
    <row r="965">
      <c r="A965" s="36"/>
      <c r="B965" s="36"/>
      <c r="E965" s="36"/>
      <c r="F965" s="36"/>
      <c r="G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7"/>
      <c r="AC965" s="36"/>
      <c r="AD965" s="36"/>
      <c r="AE965" s="37"/>
      <c r="AG965" s="36"/>
      <c r="AH965" s="36"/>
      <c r="AI965" s="36"/>
      <c r="AJ965" s="36"/>
      <c r="BG965" s="39"/>
      <c r="BH965" s="32"/>
    </row>
    <row r="966">
      <c r="A966" s="36"/>
      <c r="B966" s="36"/>
      <c r="E966" s="36"/>
      <c r="F966" s="36"/>
      <c r="G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7"/>
      <c r="AC966" s="36"/>
      <c r="AD966" s="36"/>
      <c r="AE966" s="37"/>
      <c r="AG966" s="36"/>
      <c r="AH966" s="36"/>
      <c r="AI966" s="36"/>
      <c r="AJ966" s="36"/>
      <c r="BG966" s="39"/>
      <c r="BH966" s="32"/>
    </row>
    <row r="967">
      <c r="A967" s="36"/>
      <c r="B967" s="36"/>
      <c r="E967" s="36"/>
      <c r="F967" s="36"/>
      <c r="G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7"/>
      <c r="AC967" s="36"/>
      <c r="AD967" s="36"/>
      <c r="AE967" s="37"/>
      <c r="AG967" s="36"/>
      <c r="AH967" s="36"/>
      <c r="AI967" s="36"/>
      <c r="AJ967" s="36"/>
      <c r="BG967" s="39"/>
      <c r="BH967" s="32"/>
    </row>
    <row r="968">
      <c r="A968" s="36"/>
      <c r="B968" s="36"/>
      <c r="E968" s="36"/>
      <c r="F968" s="36"/>
      <c r="G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7"/>
      <c r="AC968" s="36"/>
      <c r="AD968" s="36"/>
      <c r="AE968" s="37"/>
      <c r="AG968" s="36"/>
      <c r="AH968" s="36"/>
      <c r="AI968" s="36"/>
      <c r="AJ968" s="36"/>
      <c r="BG968" s="39"/>
      <c r="BH968" s="32"/>
    </row>
    <row r="969">
      <c r="A969" s="36"/>
      <c r="B969" s="36"/>
      <c r="E969" s="36"/>
      <c r="F969" s="36"/>
      <c r="G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7"/>
      <c r="AC969" s="36"/>
      <c r="AD969" s="36"/>
      <c r="AE969" s="37"/>
      <c r="AG969" s="36"/>
      <c r="AH969" s="36"/>
      <c r="AI969" s="36"/>
      <c r="AJ969" s="36"/>
      <c r="BG969" s="39"/>
      <c r="BH969" s="32"/>
    </row>
    <row r="970">
      <c r="A970" s="36"/>
      <c r="B970" s="36"/>
      <c r="E970" s="36"/>
      <c r="F970" s="36"/>
      <c r="G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7"/>
      <c r="AC970" s="36"/>
      <c r="AD970" s="36"/>
      <c r="AE970" s="37"/>
      <c r="AG970" s="36"/>
      <c r="AH970" s="36"/>
      <c r="AI970" s="36"/>
      <c r="AJ970" s="36"/>
      <c r="BG970" s="39"/>
      <c r="BH970" s="32"/>
    </row>
    <row r="971">
      <c r="A971" s="36"/>
      <c r="B971" s="36"/>
      <c r="E971" s="36"/>
      <c r="F971" s="36"/>
      <c r="G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7"/>
      <c r="AC971" s="36"/>
      <c r="AD971" s="36"/>
      <c r="AE971" s="37"/>
      <c r="AG971" s="36"/>
      <c r="AH971" s="36"/>
      <c r="AI971" s="36"/>
      <c r="AJ971" s="36"/>
      <c r="BG971" s="39"/>
      <c r="BH971" s="32"/>
    </row>
    <row r="972">
      <c r="A972" s="36"/>
      <c r="B972" s="36"/>
      <c r="E972" s="36"/>
      <c r="F972" s="36"/>
      <c r="G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7"/>
      <c r="AC972" s="36"/>
      <c r="AD972" s="36"/>
      <c r="AE972" s="37"/>
      <c r="AG972" s="36"/>
      <c r="AH972" s="36"/>
      <c r="AI972" s="36"/>
      <c r="AJ972" s="36"/>
      <c r="BG972" s="39"/>
      <c r="BH972" s="32"/>
    </row>
    <row r="973">
      <c r="A973" s="36"/>
      <c r="B973" s="36"/>
      <c r="E973" s="36"/>
      <c r="F973" s="36"/>
      <c r="G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7"/>
      <c r="AC973" s="36"/>
      <c r="AD973" s="36"/>
      <c r="AE973" s="37"/>
      <c r="AG973" s="36"/>
      <c r="AH973" s="36"/>
      <c r="AI973" s="36"/>
      <c r="AJ973" s="36"/>
      <c r="BG973" s="39"/>
      <c r="BH973" s="32"/>
    </row>
    <row r="974">
      <c r="A974" s="36"/>
      <c r="B974" s="36"/>
      <c r="E974" s="36"/>
      <c r="F974" s="36"/>
      <c r="G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7"/>
      <c r="AC974" s="36"/>
      <c r="AD974" s="36"/>
      <c r="AE974" s="37"/>
      <c r="AG974" s="36"/>
      <c r="AH974" s="36"/>
      <c r="AI974" s="36"/>
      <c r="AJ974" s="36"/>
      <c r="BG974" s="39"/>
      <c r="BH974" s="32"/>
    </row>
    <row r="975">
      <c r="A975" s="36"/>
      <c r="B975" s="36"/>
      <c r="E975" s="36"/>
      <c r="F975" s="36"/>
      <c r="G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7"/>
      <c r="AC975" s="36"/>
      <c r="AD975" s="36"/>
      <c r="AE975" s="37"/>
      <c r="AG975" s="36"/>
      <c r="AH975" s="36"/>
      <c r="AI975" s="36"/>
      <c r="AJ975" s="36"/>
      <c r="BG975" s="39"/>
      <c r="BH975" s="32"/>
    </row>
    <row r="976">
      <c r="A976" s="36"/>
      <c r="B976" s="36"/>
      <c r="E976" s="36"/>
      <c r="F976" s="36"/>
      <c r="G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7"/>
      <c r="AC976" s="36"/>
      <c r="AD976" s="36"/>
      <c r="AE976" s="37"/>
      <c r="AG976" s="36"/>
      <c r="AH976" s="36"/>
      <c r="AI976" s="36"/>
      <c r="AJ976" s="36"/>
      <c r="BG976" s="39"/>
      <c r="BH976" s="32"/>
    </row>
    <row r="977">
      <c r="A977" s="36"/>
      <c r="B977" s="36"/>
      <c r="E977" s="36"/>
      <c r="F977" s="36"/>
      <c r="G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7"/>
      <c r="AC977" s="36"/>
      <c r="AD977" s="36"/>
      <c r="AE977" s="37"/>
      <c r="AG977" s="36"/>
      <c r="AH977" s="36"/>
      <c r="AI977" s="36"/>
      <c r="AJ977" s="36"/>
      <c r="BG977" s="39"/>
      <c r="BH977" s="32"/>
    </row>
    <row r="978">
      <c r="A978" s="36"/>
      <c r="B978" s="36"/>
      <c r="E978" s="36"/>
      <c r="F978" s="36"/>
      <c r="G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7"/>
      <c r="AC978" s="36"/>
      <c r="AD978" s="36"/>
      <c r="AE978" s="37"/>
      <c r="AG978" s="36"/>
      <c r="AH978" s="36"/>
      <c r="AI978" s="36"/>
      <c r="AJ978" s="36"/>
      <c r="BG978" s="39"/>
      <c r="BH978" s="32"/>
    </row>
    <row r="979">
      <c r="A979" s="36"/>
      <c r="B979" s="36"/>
      <c r="E979" s="36"/>
      <c r="F979" s="36"/>
      <c r="G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7"/>
      <c r="AC979" s="36"/>
      <c r="AD979" s="36"/>
      <c r="AE979" s="37"/>
      <c r="AG979" s="36"/>
      <c r="AH979" s="36"/>
      <c r="AI979" s="36"/>
      <c r="AJ979" s="36"/>
      <c r="BG979" s="39"/>
      <c r="BH979" s="32"/>
    </row>
    <row r="980">
      <c r="A980" s="36"/>
      <c r="B980" s="36"/>
      <c r="E980" s="36"/>
      <c r="F980" s="36"/>
      <c r="G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7"/>
      <c r="AC980" s="36"/>
      <c r="AD980" s="36"/>
      <c r="AE980" s="37"/>
      <c r="AG980" s="36"/>
      <c r="AH980" s="36"/>
      <c r="AI980" s="36"/>
      <c r="AJ980" s="36"/>
      <c r="BG980" s="39"/>
      <c r="BH980" s="32"/>
    </row>
    <row r="981">
      <c r="A981" s="36"/>
      <c r="B981" s="36"/>
      <c r="E981" s="36"/>
      <c r="F981" s="36"/>
      <c r="G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7"/>
      <c r="AC981" s="36"/>
      <c r="AD981" s="36"/>
      <c r="AE981" s="37"/>
      <c r="AG981" s="36"/>
      <c r="AH981" s="36"/>
      <c r="AI981" s="36"/>
      <c r="AJ981" s="36"/>
      <c r="BG981" s="39"/>
      <c r="BH981" s="32"/>
    </row>
    <row r="982">
      <c r="A982" s="36"/>
      <c r="B982" s="36"/>
      <c r="E982" s="36"/>
      <c r="F982" s="36"/>
      <c r="G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7"/>
      <c r="AC982" s="36"/>
      <c r="AD982" s="36"/>
      <c r="AE982" s="37"/>
      <c r="AG982" s="36"/>
      <c r="AH982" s="36"/>
      <c r="AI982" s="36"/>
      <c r="AJ982" s="36"/>
      <c r="BG982" s="39"/>
      <c r="BH982" s="32"/>
    </row>
    <row r="983">
      <c r="A983" s="36"/>
      <c r="B983" s="36"/>
      <c r="E983" s="36"/>
      <c r="F983" s="36"/>
      <c r="G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7"/>
      <c r="AC983" s="36"/>
      <c r="AD983" s="36"/>
      <c r="AE983" s="37"/>
      <c r="AG983" s="36"/>
      <c r="AH983" s="36"/>
      <c r="AI983" s="36"/>
      <c r="AJ983" s="36"/>
      <c r="BG983" s="39"/>
      <c r="BH983" s="32"/>
    </row>
    <row r="984">
      <c r="A984" s="36"/>
      <c r="B984" s="36"/>
      <c r="E984" s="36"/>
      <c r="F984" s="36"/>
      <c r="G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7"/>
      <c r="AC984" s="36"/>
      <c r="AD984" s="36"/>
      <c r="AE984" s="37"/>
      <c r="AG984" s="36"/>
      <c r="AH984" s="36"/>
      <c r="AI984" s="36"/>
      <c r="AJ984" s="36"/>
      <c r="BG984" s="39"/>
      <c r="BH984" s="32"/>
    </row>
    <row r="985">
      <c r="A985" s="36"/>
      <c r="B985" s="36"/>
      <c r="E985" s="36"/>
      <c r="F985" s="36"/>
      <c r="G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7"/>
      <c r="AC985" s="36"/>
      <c r="AD985" s="36"/>
      <c r="AE985" s="37"/>
      <c r="AG985" s="36"/>
      <c r="AH985" s="36"/>
      <c r="AI985" s="36"/>
      <c r="AJ985" s="36"/>
      <c r="BG985" s="39"/>
      <c r="BH985" s="32"/>
    </row>
    <row r="986">
      <c r="A986" s="36"/>
      <c r="B986" s="36"/>
      <c r="E986" s="36"/>
      <c r="F986" s="36"/>
      <c r="G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7"/>
      <c r="AC986" s="36"/>
      <c r="AD986" s="36"/>
      <c r="AE986" s="37"/>
      <c r="AG986" s="36"/>
      <c r="AH986" s="36"/>
      <c r="AI986" s="36"/>
      <c r="AJ986" s="36"/>
      <c r="BG986" s="39"/>
      <c r="BH986" s="32"/>
    </row>
    <row r="987">
      <c r="A987" s="36"/>
      <c r="B987" s="36"/>
      <c r="E987" s="36"/>
      <c r="F987" s="36"/>
      <c r="G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7"/>
      <c r="AC987" s="36"/>
      <c r="AD987" s="36"/>
      <c r="AE987" s="37"/>
      <c r="AG987" s="36"/>
      <c r="AH987" s="36"/>
      <c r="AI987" s="36"/>
      <c r="AJ987" s="36"/>
      <c r="BG987" s="39"/>
      <c r="BH987" s="32"/>
    </row>
    <row r="988">
      <c r="A988" s="36"/>
      <c r="B988" s="36"/>
      <c r="E988" s="36"/>
      <c r="F988" s="36"/>
      <c r="G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7"/>
      <c r="AC988" s="36"/>
      <c r="AD988" s="36"/>
      <c r="AE988" s="37"/>
      <c r="AG988" s="36"/>
      <c r="AH988" s="36"/>
      <c r="AI988" s="36"/>
      <c r="AJ988" s="36"/>
      <c r="BG988" s="39"/>
      <c r="BH988" s="32"/>
    </row>
    <row r="989">
      <c r="A989" s="36"/>
      <c r="B989" s="36"/>
      <c r="E989" s="36"/>
      <c r="F989" s="36"/>
      <c r="G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7"/>
      <c r="AC989" s="36"/>
      <c r="AD989" s="36"/>
      <c r="AE989" s="37"/>
      <c r="AG989" s="36"/>
      <c r="AH989" s="36"/>
      <c r="AI989" s="36"/>
      <c r="AJ989" s="36"/>
      <c r="BG989" s="39"/>
      <c r="BH989" s="32"/>
    </row>
    <row r="990">
      <c r="A990" s="36"/>
      <c r="B990" s="36"/>
      <c r="E990" s="36"/>
      <c r="F990" s="36"/>
      <c r="G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7"/>
      <c r="AC990" s="36"/>
      <c r="AD990" s="36"/>
      <c r="AE990" s="37"/>
      <c r="AG990" s="36"/>
      <c r="AH990" s="36"/>
      <c r="AI990" s="36"/>
      <c r="AJ990" s="36"/>
      <c r="BG990" s="39"/>
      <c r="BH990" s="32"/>
    </row>
    <row r="991">
      <c r="A991" s="36"/>
      <c r="B991" s="36"/>
      <c r="E991" s="36"/>
      <c r="F991" s="36"/>
      <c r="G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7"/>
      <c r="AC991" s="36"/>
      <c r="AD991" s="36"/>
      <c r="AE991" s="37"/>
      <c r="AG991" s="36"/>
      <c r="AH991" s="36"/>
      <c r="AI991" s="36"/>
      <c r="AJ991" s="36"/>
      <c r="BG991" s="39"/>
      <c r="BH991" s="32"/>
    </row>
    <row r="992">
      <c r="A992" s="36"/>
      <c r="B992" s="36"/>
      <c r="E992" s="36"/>
      <c r="F992" s="36"/>
      <c r="G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7"/>
      <c r="AC992" s="36"/>
      <c r="AD992" s="36"/>
      <c r="AE992" s="37"/>
      <c r="AG992" s="36"/>
      <c r="AH992" s="36"/>
      <c r="AI992" s="36"/>
      <c r="AJ992" s="36"/>
      <c r="BG992" s="39"/>
      <c r="BH992" s="32"/>
    </row>
    <row r="993">
      <c r="A993" s="36"/>
      <c r="B993" s="36"/>
      <c r="E993" s="36"/>
      <c r="F993" s="36"/>
      <c r="G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7"/>
      <c r="AC993" s="36"/>
      <c r="AD993" s="36"/>
      <c r="AE993" s="37"/>
      <c r="AG993" s="36"/>
      <c r="AH993" s="36"/>
      <c r="AI993" s="36"/>
      <c r="AJ993" s="36"/>
      <c r="BG993" s="39"/>
      <c r="BH993" s="32"/>
    </row>
    <row r="994">
      <c r="A994" s="36"/>
      <c r="B994" s="36"/>
      <c r="E994" s="36"/>
      <c r="F994" s="36"/>
      <c r="G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7"/>
      <c r="AC994" s="36"/>
      <c r="AD994" s="36"/>
      <c r="AE994" s="37"/>
      <c r="AG994" s="36"/>
      <c r="AH994" s="36"/>
      <c r="AI994" s="36"/>
      <c r="AJ994" s="36"/>
      <c r="BG994" s="39"/>
      <c r="BH994" s="32"/>
    </row>
    <row r="995">
      <c r="A995" s="36"/>
      <c r="B995" s="36"/>
      <c r="E995" s="36"/>
      <c r="F995" s="36"/>
      <c r="G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7"/>
      <c r="AC995" s="36"/>
      <c r="AD995" s="36"/>
      <c r="AE995" s="37"/>
      <c r="AG995" s="36"/>
      <c r="AH995" s="36"/>
      <c r="AI995" s="36"/>
      <c r="AJ995" s="36"/>
      <c r="BG995" s="39"/>
      <c r="BH995" s="32"/>
    </row>
    <row r="996">
      <c r="A996" s="36"/>
      <c r="B996" s="36"/>
      <c r="E996" s="36"/>
      <c r="F996" s="36"/>
      <c r="G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7"/>
      <c r="AC996" s="36"/>
      <c r="AD996" s="36"/>
      <c r="AE996" s="37"/>
      <c r="AG996" s="36"/>
      <c r="AH996" s="36"/>
      <c r="AI996" s="36"/>
      <c r="AJ996" s="36"/>
      <c r="BG996" s="39"/>
      <c r="BH996" s="32"/>
    </row>
    <row r="997">
      <c r="A997" s="36"/>
      <c r="B997" s="36"/>
      <c r="E997" s="36"/>
      <c r="F997" s="36"/>
      <c r="G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7"/>
      <c r="AC997" s="36"/>
      <c r="AD997" s="36"/>
      <c r="AE997" s="37"/>
      <c r="AG997" s="36"/>
      <c r="AH997" s="36"/>
      <c r="AI997" s="36"/>
      <c r="AJ997" s="36"/>
      <c r="BG997" s="39"/>
      <c r="BH997" s="32"/>
    </row>
    <row r="998">
      <c r="A998" s="36"/>
      <c r="B998" s="36"/>
      <c r="E998" s="36"/>
      <c r="F998" s="36"/>
      <c r="G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7"/>
      <c r="AC998" s="36"/>
      <c r="AD998" s="36"/>
      <c r="AE998" s="37"/>
      <c r="AG998" s="36"/>
      <c r="AH998" s="36"/>
      <c r="AI998" s="36"/>
      <c r="AJ998" s="36"/>
      <c r="BG998" s="39"/>
      <c r="BH998" s="32"/>
    </row>
    <row r="999">
      <c r="A999" s="36"/>
      <c r="B999" s="36"/>
      <c r="E999" s="36"/>
      <c r="F999" s="36"/>
      <c r="G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7"/>
      <c r="AC999" s="36"/>
      <c r="AD999" s="36"/>
      <c r="AE999" s="37"/>
      <c r="AG999" s="36"/>
      <c r="AH999" s="36"/>
      <c r="AI999" s="36"/>
      <c r="AJ999" s="36"/>
      <c r="BG999" s="39"/>
      <c r="BH999" s="32"/>
    </row>
    <row r="1000">
      <c r="A1000" s="36"/>
      <c r="B1000" s="36"/>
      <c r="E1000" s="36"/>
      <c r="F1000" s="36"/>
      <c r="G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7"/>
      <c r="AC1000" s="36"/>
      <c r="AD1000" s="36"/>
      <c r="AE1000" s="37"/>
      <c r="AG1000" s="36"/>
      <c r="AH1000" s="36"/>
      <c r="AI1000" s="36"/>
      <c r="AJ1000" s="36"/>
      <c r="BG1000" s="39"/>
      <c r="BH1000" s="32"/>
    </row>
    <row r="1001">
      <c r="A1001" s="36"/>
      <c r="B1001" s="36"/>
      <c r="E1001" s="36"/>
      <c r="F1001" s="36"/>
      <c r="G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7"/>
      <c r="AC1001" s="36"/>
      <c r="AD1001" s="36"/>
      <c r="AE1001" s="37"/>
      <c r="AG1001" s="36"/>
      <c r="AH1001" s="36"/>
      <c r="AI1001" s="36"/>
      <c r="AJ1001" s="36"/>
      <c r="BG1001" s="39"/>
      <c r="BH1001" s="32"/>
    </row>
    <row r="1002">
      <c r="A1002" s="36"/>
      <c r="B1002" s="36"/>
      <c r="E1002" s="36"/>
      <c r="F1002" s="36"/>
      <c r="G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7"/>
      <c r="AC1002" s="36"/>
      <c r="AD1002" s="36"/>
      <c r="AE1002" s="37"/>
      <c r="AG1002" s="36"/>
      <c r="AH1002" s="36"/>
      <c r="AI1002" s="36"/>
      <c r="AJ1002" s="36"/>
      <c r="BG1002" s="39"/>
      <c r="BH1002" s="32"/>
    </row>
    <row r="1003">
      <c r="A1003" s="36"/>
      <c r="B1003" s="36"/>
      <c r="E1003" s="36"/>
      <c r="F1003" s="36"/>
      <c r="G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7"/>
      <c r="AC1003" s="36"/>
      <c r="AD1003" s="36"/>
      <c r="AE1003" s="37"/>
      <c r="AG1003" s="36"/>
      <c r="AH1003" s="36"/>
      <c r="AI1003" s="36"/>
      <c r="AJ1003" s="36"/>
      <c r="BG1003" s="39"/>
      <c r="BH1003" s="32"/>
    </row>
    <row r="1004">
      <c r="A1004" s="36"/>
      <c r="B1004" s="36"/>
      <c r="E1004" s="36"/>
      <c r="F1004" s="36"/>
      <c r="G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7"/>
      <c r="AC1004" s="36"/>
      <c r="AD1004" s="36"/>
      <c r="AE1004" s="37"/>
      <c r="AG1004" s="36"/>
      <c r="AH1004" s="36"/>
      <c r="AI1004" s="36"/>
      <c r="AJ1004" s="36"/>
      <c r="BG1004" s="39"/>
      <c r="BH1004" s="32"/>
    </row>
    <row r="1005">
      <c r="A1005" s="36"/>
      <c r="B1005" s="36"/>
      <c r="E1005" s="36"/>
      <c r="F1005" s="36"/>
      <c r="G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7"/>
      <c r="AC1005" s="36"/>
      <c r="AD1005" s="36"/>
      <c r="AE1005" s="37"/>
      <c r="AG1005" s="36"/>
      <c r="AH1005" s="36"/>
      <c r="AI1005" s="36"/>
      <c r="AJ1005" s="36"/>
      <c r="BG1005" s="39"/>
      <c r="BH1005" s="32"/>
    </row>
    <row r="1006">
      <c r="A1006" s="36"/>
      <c r="B1006" s="36"/>
      <c r="E1006" s="36"/>
      <c r="F1006" s="36"/>
      <c r="G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7"/>
      <c r="AC1006" s="36"/>
      <c r="AD1006" s="36"/>
      <c r="AE1006" s="37"/>
      <c r="AG1006" s="36"/>
      <c r="AH1006" s="36"/>
      <c r="AI1006" s="36"/>
      <c r="AJ1006" s="36"/>
      <c r="BG1006" s="39"/>
      <c r="BH1006" s="32"/>
    </row>
    <row r="1007">
      <c r="A1007" s="36"/>
      <c r="B1007" s="36"/>
      <c r="E1007" s="36"/>
      <c r="F1007" s="36"/>
      <c r="G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7"/>
      <c r="AC1007" s="36"/>
      <c r="AD1007" s="36"/>
      <c r="AE1007" s="37"/>
      <c r="AG1007" s="36"/>
      <c r="AH1007" s="36"/>
      <c r="AI1007" s="36"/>
      <c r="AJ1007" s="36"/>
      <c r="BG1007" s="39"/>
      <c r="BH1007" s="32"/>
    </row>
    <row r="1008">
      <c r="A1008" s="36"/>
      <c r="B1008" s="36"/>
      <c r="E1008" s="36"/>
      <c r="F1008" s="36"/>
      <c r="G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7"/>
      <c r="AC1008" s="36"/>
      <c r="AD1008" s="36"/>
      <c r="AE1008" s="37"/>
      <c r="AG1008" s="36"/>
      <c r="AH1008" s="36"/>
      <c r="AI1008" s="36"/>
      <c r="AJ1008" s="36"/>
      <c r="BG1008" s="39"/>
      <c r="BH1008" s="32"/>
    </row>
    <row r="1009">
      <c r="A1009" s="36"/>
      <c r="B1009" s="36"/>
      <c r="E1009" s="36"/>
      <c r="F1009" s="36"/>
      <c r="G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7"/>
      <c r="AC1009" s="36"/>
      <c r="AD1009" s="36"/>
      <c r="AE1009" s="37"/>
      <c r="AG1009" s="36"/>
      <c r="AH1009" s="36"/>
      <c r="AI1009" s="36"/>
      <c r="AJ1009" s="36"/>
      <c r="BG1009" s="39"/>
      <c r="BH1009" s="32"/>
    </row>
    <row r="1010">
      <c r="A1010" s="36"/>
      <c r="B1010" s="36"/>
      <c r="E1010" s="36"/>
      <c r="F1010" s="36"/>
      <c r="G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7"/>
      <c r="AC1010" s="36"/>
      <c r="AD1010" s="36"/>
      <c r="AE1010" s="37"/>
      <c r="AG1010" s="36"/>
      <c r="AH1010" s="36"/>
      <c r="AI1010" s="36"/>
      <c r="AJ1010" s="36"/>
      <c r="BG1010" s="39"/>
      <c r="BH1010" s="32"/>
    </row>
    <row r="1011">
      <c r="A1011" s="36"/>
      <c r="B1011" s="36"/>
      <c r="E1011" s="36"/>
      <c r="F1011" s="36"/>
      <c r="G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7"/>
      <c r="AC1011" s="36"/>
      <c r="AD1011" s="36"/>
      <c r="AE1011" s="37"/>
      <c r="AG1011" s="36"/>
      <c r="AH1011" s="36"/>
      <c r="AI1011" s="36"/>
      <c r="AJ1011" s="36"/>
      <c r="BG1011" s="39"/>
      <c r="BH1011" s="32"/>
    </row>
    <row r="1012">
      <c r="A1012" s="36"/>
      <c r="B1012" s="36"/>
      <c r="E1012" s="36"/>
      <c r="F1012" s="36"/>
      <c r="G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7"/>
      <c r="AC1012" s="36"/>
      <c r="AD1012" s="36"/>
      <c r="AE1012" s="37"/>
      <c r="AG1012" s="36"/>
      <c r="AH1012" s="36"/>
      <c r="AI1012" s="36"/>
      <c r="AJ1012" s="36"/>
      <c r="BG1012" s="39"/>
      <c r="BH1012" s="32"/>
    </row>
    <row r="1013">
      <c r="A1013" s="36"/>
      <c r="B1013" s="36"/>
      <c r="E1013" s="36"/>
      <c r="F1013" s="36"/>
      <c r="G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7"/>
      <c r="AC1013" s="36"/>
      <c r="AD1013" s="36"/>
      <c r="AE1013" s="37"/>
      <c r="AG1013" s="36"/>
      <c r="AH1013" s="36"/>
      <c r="AI1013" s="36"/>
      <c r="AJ1013" s="36"/>
      <c r="BG1013" s="39"/>
      <c r="BH1013" s="32"/>
    </row>
    <row r="1014">
      <c r="A1014" s="36"/>
      <c r="B1014" s="36"/>
      <c r="E1014" s="36"/>
      <c r="F1014" s="36"/>
      <c r="G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7"/>
      <c r="AC1014" s="36"/>
      <c r="AD1014" s="36"/>
      <c r="AE1014" s="37"/>
      <c r="AG1014" s="36"/>
      <c r="AH1014" s="36"/>
      <c r="AI1014" s="36"/>
      <c r="AJ1014" s="36"/>
      <c r="BG1014" s="39"/>
      <c r="BH1014" s="32"/>
    </row>
    <row r="1015">
      <c r="A1015" s="36"/>
      <c r="B1015" s="36"/>
      <c r="E1015" s="36"/>
      <c r="F1015" s="36"/>
      <c r="G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7"/>
      <c r="AC1015" s="36"/>
      <c r="AD1015" s="36"/>
      <c r="AE1015" s="37"/>
      <c r="AG1015" s="36"/>
      <c r="AH1015" s="36"/>
      <c r="AI1015" s="36"/>
      <c r="AJ1015" s="36"/>
      <c r="BG1015" s="39"/>
      <c r="BH1015" s="32"/>
    </row>
    <row r="1016">
      <c r="A1016" s="36"/>
      <c r="B1016" s="36"/>
      <c r="E1016" s="36"/>
      <c r="F1016" s="36"/>
      <c r="G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7"/>
      <c r="AC1016" s="36"/>
      <c r="AD1016" s="36"/>
      <c r="AE1016" s="37"/>
      <c r="AG1016" s="36"/>
      <c r="AH1016" s="36"/>
      <c r="AI1016" s="36"/>
      <c r="AJ1016" s="36"/>
      <c r="BG1016" s="39"/>
      <c r="BH1016" s="32"/>
    </row>
    <row r="1017">
      <c r="A1017" s="36"/>
      <c r="B1017" s="36"/>
      <c r="E1017" s="36"/>
      <c r="F1017" s="36"/>
      <c r="G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7"/>
      <c r="AC1017" s="36"/>
      <c r="AD1017" s="36"/>
      <c r="AE1017" s="37"/>
      <c r="AG1017" s="36"/>
      <c r="AH1017" s="36"/>
      <c r="AI1017" s="36"/>
      <c r="AJ1017" s="36"/>
      <c r="BG1017" s="39"/>
      <c r="BH1017" s="32"/>
    </row>
    <row r="1018">
      <c r="A1018" s="36"/>
      <c r="B1018" s="36"/>
      <c r="E1018" s="36"/>
      <c r="F1018" s="36"/>
      <c r="G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7"/>
      <c r="AC1018" s="36"/>
      <c r="AD1018" s="36"/>
      <c r="AE1018" s="37"/>
      <c r="AG1018" s="36"/>
      <c r="AH1018" s="36"/>
      <c r="AI1018" s="36"/>
      <c r="AJ1018" s="36"/>
      <c r="BG1018" s="39"/>
      <c r="BH1018" s="32"/>
    </row>
    <row r="1019">
      <c r="A1019" s="36"/>
      <c r="B1019" s="36"/>
      <c r="E1019" s="36"/>
      <c r="F1019" s="36"/>
      <c r="G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7"/>
      <c r="AC1019" s="36"/>
      <c r="AD1019" s="36"/>
      <c r="AE1019" s="37"/>
      <c r="AG1019" s="36"/>
      <c r="AH1019" s="36"/>
      <c r="AI1019" s="36"/>
      <c r="AJ1019" s="36"/>
      <c r="BG1019" s="39"/>
      <c r="BH1019" s="32"/>
    </row>
    <row r="1020">
      <c r="A1020" s="36"/>
      <c r="B1020" s="36"/>
      <c r="E1020" s="36"/>
      <c r="F1020" s="36"/>
      <c r="G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7"/>
      <c r="AC1020" s="36"/>
      <c r="AD1020" s="36"/>
      <c r="AE1020" s="37"/>
      <c r="AG1020" s="36"/>
      <c r="AH1020" s="36"/>
      <c r="AI1020" s="36"/>
      <c r="AJ1020" s="36"/>
      <c r="BG1020" s="39"/>
      <c r="BH1020" s="32"/>
    </row>
    <row r="1021">
      <c r="A1021" s="36"/>
      <c r="B1021" s="36"/>
      <c r="E1021" s="36"/>
      <c r="F1021" s="36"/>
      <c r="G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7"/>
      <c r="AC1021" s="36"/>
      <c r="AD1021" s="36"/>
      <c r="AE1021" s="37"/>
      <c r="AG1021" s="36"/>
      <c r="AH1021" s="36"/>
      <c r="AI1021" s="36"/>
      <c r="AJ1021" s="36"/>
      <c r="BG1021" s="39"/>
      <c r="BH1021" s="32"/>
    </row>
  </sheetData>
  <mergeCells count="40">
    <mergeCell ref="T1:W1"/>
    <mergeCell ref="T2:T3"/>
    <mergeCell ref="W2:W3"/>
    <mergeCell ref="X2:X3"/>
    <mergeCell ref="AA2:AA3"/>
    <mergeCell ref="AB2:AB3"/>
    <mergeCell ref="AE2:AE3"/>
    <mergeCell ref="AF2:AF3"/>
    <mergeCell ref="AI2:AI3"/>
    <mergeCell ref="A1:B1"/>
    <mergeCell ref="C1:C3"/>
    <mergeCell ref="D1:N1"/>
    <mergeCell ref="X1:AA1"/>
    <mergeCell ref="AB1:AE1"/>
    <mergeCell ref="AF1:AI1"/>
    <mergeCell ref="N2:N3"/>
    <mergeCell ref="AP2:AP3"/>
    <mergeCell ref="AQ2:AQ3"/>
    <mergeCell ref="AS1:BE2"/>
    <mergeCell ref="BG1:BG3"/>
    <mergeCell ref="BH1:BH3"/>
    <mergeCell ref="AJ2:AJ3"/>
    <mergeCell ref="AK2:AK3"/>
    <mergeCell ref="AL2:AL3"/>
    <mergeCell ref="AM2:AM3"/>
    <mergeCell ref="AR2:AR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N2:AN3"/>
    <mergeCell ref="AO2:AO3"/>
  </mergeCells>
  <conditionalFormatting sqref="AA22">
    <cfRule type="timePeriod" dxfId="0" priority="1" timePeriod="last7Days"/>
  </conditionalFormatting>
  <conditionalFormatting sqref="AE22">
    <cfRule type="timePeriod" dxfId="0" priority="2" timePeriod="last7Days"/>
  </conditionalFormatting>
  <conditionalFormatting sqref="AE22">
    <cfRule type="timePeriod" dxfId="0" priority="3" timePeriod="last7Days"/>
  </conditionalFormatting>
  <conditionalFormatting sqref="W22 AA22 AE22">
    <cfRule type="timePeriod" dxfId="0" priority="4" timePeriod="last7Days"/>
  </conditionalFormatting>
  <conditionalFormatting sqref="W22">
    <cfRule type="timePeriod" dxfId="0" priority="5" timePeriod="last7Days"/>
  </conditionalFormatting>
  <conditionalFormatting sqref="W22">
    <cfRule type="timePeriod" dxfId="0" priority="6" timePeriod="last7Days"/>
  </conditionalFormatting>
  <conditionalFormatting sqref="AE22">
    <cfRule type="timePeriod" dxfId="0" priority="7" timePeriod="last7Days"/>
  </conditionalFormatting>
  <conditionalFormatting sqref="AS4:BF1021">
    <cfRule type="cellIs" dxfId="1" priority="8" operator="lessThan">
      <formula>0.1</formula>
    </cfRule>
  </conditionalFormatting>
  <conditionalFormatting sqref="AS4:BF1021">
    <cfRule type="cellIs" dxfId="2" priority="9" operator="greaterThan">
      <formula>0.1</formula>
    </cfRule>
  </conditionalFormatting>
  <conditionalFormatting sqref="BG4:BH1021">
    <cfRule type="cellIs" dxfId="3" priority="10" operator="between">
      <formula>60</formula>
      <formula>68</formula>
    </cfRule>
  </conditionalFormatting>
  <conditionalFormatting sqref="BG4:BH1021">
    <cfRule type="cellIs" dxfId="4" priority="11" operator="between">
      <formula>68</formula>
      <formula>74</formula>
    </cfRule>
  </conditionalFormatting>
  <conditionalFormatting sqref="BG4:BH1021">
    <cfRule type="cellIs" dxfId="2" priority="12" operator="between">
      <formula>74</formula>
      <formula>81</formula>
    </cfRule>
  </conditionalFormatting>
  <conditionalFormatting sqref="BG4:BH1021">
    <cfRule type="cellIs" dxfId="5" priority="13" operator="between">
      <formula>81</formula>
      <formula>90</formula>
    </cfRule>
  </conditionalFormatting>
  <conditionalFormatting sqref="BG4:BH1021">
    <cfRule type="cellIs" dxfId="6" priority="14" operator="greaterThan">
      <formula>90</formula>
    </cfRule>
  </conditionalFormatting>
  <conditionalFormatting sqref="AA22">
    <cfRule type="timePeriod" dxfId="0" priority="15" timePeriod="last7Days"/>
  </conditionalFormatting>
  <conditionalFormatting sqref="G4:G5 G7 G9:G14 G16:G19 G22:G24">
    <cfRule type="containsText" dxfId="7" priority="16" operator="containsText" text="н">
      <formula>NOT(ISERROR(SEARCH(("н"),(G4))))</formula>
    </cfRule>
  </conditionalFormatting>
  <conditionalFormatting sqref="G4:G5 G7 G9:G14 G16:G19 G22:G24">
    <cfRule type="containsText" dxfId="7" priority="17" operator="containsText" text="n">
      <formula>NOT(ISERROR(SEARCH(("n"),(G4))))</formula>
    </cfRule>
  </conditionalFormatting>
  <conditionalFormatting sqref="F4:F5 F7 F9:F14 F16:F19 F22:F24">
    <cfRule type="containsText" dxfId="7" priority="18" operator="containsText" text="н">
      <formula>NOT(ISERROR(SEARCH(("н"),(F4))))</formula>
    </cfRule>
  </conditionalFormatting>
  <conditionalFormatting sqref="F4:F5 F7 F9:F14 F16:F19 F22:F24">
    <cfRule type="containsText" dxfId="7" priority="19" operator="containsText" text="n">
      <formula>NOT(ISERROR(SEARCH(("n"),(F4))))</formula>
    </cfRule>
  </conditionalFormatting>
  <conditionalFormatting sqref="U22:V22">
    <cfRule type="cellIs" dxfId="8" priority="20" operator="equal">
      <formula>0</formula>
    </cfRule>
  </conditionalFormatting>
  <conditionalFormatting sqref="Y22:Z22">
    <cfRule type="cellIs" dxfId="8" priority="21" operator="equal">
      <formula>0</formula>
    </cfRule>
  </conditionalFormatting>
  <conditionalFormatting sqref="AC22:AD22">
    <cfRule type="cellIs" dxfId="8" priority="22" operator="equal">
      <formula>0</formula>
    </cfRule>
  </conditionalFormatting>
  <conditionalFormatting sqref="AG22:AH22">
    <cfRule type="cellIs" dxfId="8" priority="23" operator="equal">
      <formula>0</formula>
    </cfRule>
  </conditionalFormatting>
  <conditionalFormatting sqref="AJ22:AQ22">
    <cfRule type="cellIs" dxfId="8" priority="24" operator="equal">
      <formula>0</formula>
    </cfRule>
  </conditionalFormatting>
  <conditionalFormatting sqref="D1:N1021">
    <cfRule type="containsText" dxfId="7" priority="25" operator="containsText" text="н">
      <formula>NOT(ISERROR(SEARCH(("н"),(D1))))</formula>
    </cfRule>
  </conditionalFormatting>
  <conditionalFormatting sqref="D1:N1021">
    <cfRule type="containsText" dxfId="7" priority="26" operator="containsText" text="n">
      <formula>NOT(ISERROR(SEARCH(("n"),(D1))))</formula>
    </cfRule>
  </conditionalFormatting>
  <conditionalFormatting sqref="W22">
    <cfRule type="timePeriod" dxfId="0" priority="27" timePeriod="last7Days"/>
  </conditionalFormatting>
  <conditionalFormatting sqref="AA22">
    <cfRule type="timePeriod" dxfId="0" priority="28" timePeriod="last7Days"/>
  </conditionalFormatting>
  <conditionalFormatting sqref="AE22">
    <cfRule type="timePeriod" dxfId="0" priority="29" timePeriod="last7Days"/>
  </conditionalFormatting>
  <conditionalFormatting sqref="AI22">
    <cfRule type="timePeriod" dxfId="0" priority="30" timePeriod="last7Days"/>
  </conditionalFormatting>
  <conditionalFormatting sqref="BG1:BH1021">
    <cfRule type="cellIs" dxfId="3" priority="31" operator="between">
      <formula>60</formula>
      <formula>68</formula>
    </cfRule>
  </conditionalFormatting>
  <conditionalFormatting sqref="AR4:AR1021">
    <cfRule type="cellIs" dxfId="6" priority="32" operator="between">
      <formula>12</formula>
      <formula>1000</formula>
    </cfRule>
  </conditionalFormatting>
  <conditionalFormatting sqref="BG1:BH1021">
    <cfRule type="cellIs" dxfId="4" priority="33" operator="between">
      <formula>68</formula>
      <formula>74</formula>
    </cfRule>
  </conditionalFormatting>
  <conditionalFormatting sqref="BG1:BH1021">
    <cfRule type="cellIs" dxfId="2" priority="34" operator="between">
      <formula>74</formula>
      <formula>81</formula>
    </cfRule>
  </conditionalFormatting>
  <conditionalFormatting sqref="BG1:BH1021">
    <cfRule type="cellIs" dxfId="5" priority="35" operator="between">
      <formula>81</formula>
      <formula>90</formula>
    </cfRule>
  </conditionalFormatting>
  <conditionalFormatting sqref="BG1:BH1021">
    <cfRule type="cellIs" dxfId="6" priority="36" operator="greaterThan">
      <formula>90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21" width="2.88"/>
    <col customWidth="1" min="22" max="22" width="6.63"/>
    <col customWidth="1" min="23" max="23" width="5.0"/>
    <col customWidth="1" min="24" max="24" width="3.88"/>
    <col customWidth="1" min="25" max="25" width="4.63"/>
    <col customWidth="1" min="26" max="26" width="6.5"/>
    <col customWidth="1" min="27" max="27" width="5.13"/>
    <col customWidth="1" min="28" max="28" width="4.0"/>
    <col customWidth="1" min="29" max="29" width="5.0"/>
    <col customWidth="1" min="30" max="30" width="6.38"/>
    <col customWidth="1" min="31" max="31" width="5.13"/>
    <col customWidth="1" min="32" max="32" width="4.0"/>
    <col customWidth="1" min="33" max="33" width="5.0"/>
    <col customWidth="1" min="34" max="34" width="7.63"/>
    <col customWidth="1" min="35" max="35" width="5.0"/>
    <col customWidth="1" min="36" max="36" width="4.5"/>
    <col customWidth="1" min="37" max="37" width="5.0"/>
    <col customWidth="1" min="38" max="38" width="5.63"/>
    <col customWidth="1" min="39" max="39" width="5.13"/>
    <col customWidth="1" min="40" max="40" width="5.38"/>
    <col customWidth="1" min="41" max="41" width="5.0"/>
    <col customWidth="1" min="42" max="43" width="5.38"/>
    <col customWidth="1" min="44" max="45" width="5.88"/>
    <col customWidth="1" min="46" max="46" width="5.63"/>
    <col customWidth="1" min="47" max="47" width="4.5"/>
    <col customWidth="1" min="48" max="48" width="4.38"/>
    <col customWidth="1" min="49" max="53" width="4.25"/>
    <col customWidth="1" min="54" max="54" width="4.63"/>
    <col customWidth="1" min="55" max="55" width="4.5"/>
    <col customWidth="1" min="56" max="57" width="4.63"/>
    <col customWidth="1" min="58" max="58" width="4.5"/>
    <col customWidth="1" min="59" max="60" width="4.38"/>
    <col customWidth="1" min="61" max="61" width="6.63"/>
    <col customWidth="1" min="62" max="62" width="3.25"/>
  </cols>
  <sheetData>
    <row r="1">
      <c r="A1" s="1" t="s">
        <v>156</v>
      </c>
      <c r="C1" s="2" t="s">
        <v>1</v>
      </c>
      <c r="D1" s="3" t="s">
        <v>2</v>
      </c>
      <c r="U1" s="4"/>
      <c r="V1" s="5" t="s">
        <v>3</v>
      </c>
      <c r="Y1" s="4"/>
      <c r="Z1" s="5" t="s">
        <v>4</v>
      </c>
      <c r="AC1" s="4"/>
      <c r="AD1" s="5" t="s">
        <v>5</v>
      </c>
      <c r="AG1" s="4"/>
      <c r="AH1" s="5" t="s">
        <v>6</v>
      </c>
      <c r="AK1" s="4"/>
      <c r="AL1" s="3" t="s">
        <v>7</v>
      </c>
      <c r="AM1" s="6" t="s">
        <v>8</v>
      </c>
      <c r="AN1" s="6" t="s">
        <v>9</v>
      </c>
      <c r="AO1" s="6" t="s">
        <v>10</v>
      </c>
      <c r="AP1" s="6" t="s">
        <v>11</v>
      </c>
      <c r="AQ1" s="6" t="s">
        <v>12</v>
      </c>
      <c r="AR1" s="6" t="s">
        <v>13</v>
      </c>
      <c r="AS1" s="7" t="s">
        <v>14</v>
      </c>
      <c r="AT1" s="3" t="s">
        <v>15</v>
      </c>
      <c r="AU1" s="6" t="s">
        <v>16</v>
      </c>
      <c r="BH1" s="7"/>
      <c r="BI1" s="41" t="s">
        <v>17</v>
      </c>
      <c r="BJ1" s="10" t="s">
        <v>18</v>
      </c>
    </row>
    <row r="2">
      <c r="A2" s="11" t="s">
        <v>19</v>
      </c>
      <c r="B2" s="11" t="s">
        <v>20</v>
      </c>
      <c r="C2" s="4"/>
      <c r="D2" s="12">
        <v>45540.0</v>
      </c>
      <c r="E2" s="12">
        <f t="shared" ref="E2:L2" si="1">D2+7</f>
        <v>45547</v>
      </c>
      <c r="F2" s="12">
        <f t="shared" si="1"/>
        <v>45554</v>
      </c>
      <c r="G2" s="12">
        <f t="shared" si="1"/>
        <v>45561</v>
      </c>
      <c r="H2" s="12">
        <f t="shared" si="1"/>
        <v>45568</v>
      </c>
      <c r="I2" s="12">
        <f t="shared" si="1"/>
        <v>45575</v>
      </c>
      <c r="J2" s="12">
        <f t="shared" si="1"/>
        <v>45582</v>
      </c>
      <c r="K2" s="12">
        <f t="shared" si="1"/>
        <v>45589</v>
      </c>
      <c r="L2" s="12">
        <f t="shared" si="1"/>
        <v>45596</v>
      </c>
      <c r="M2" s="13">
        <v>7.11</v>
      </c>
      <c r="N2" s="13">
        <v>14.11</v>
      </c>
      <c r="O2" s="13">
        <v>21.11</v>
      </c>
      <c r="P2" s="13">
        <v>28.11</v>
      </c>
      <c r="Q2" s="13">
        <v>5.12</v>
      </c>
      <c r="R2" s="13">
        <v>12.12</v>
      </c>
      <c r="S2" s="13">
        <v>19.12</v>
      </c>
      <c r="T2" s="13">
        <v>29.12</v>
      </c>
      <c r="V2" s="14" t="s">
        <v>21</v>
      </c>
      <c r="W2" s="15" t="s">
        <v>22</v>
      </c>
      <c r="X2" s="15" t="s">
        <v>23</v>
      </c>
      <c r="Y2" s="16" t="s">
        <v>24</v>
      </c>
      <c r="Z2" s="14" t="s">
        <v>21</v>
      </c>
      <c r="AA2" s="15" t="s">
        <v>22</v>
      </c>
      <c r="AB2" s="15" t="s">
        <v>23</v>
      </c>
      <c r="AC2" s="16" t="s">
        <v>24</v>
      </c>
      <c r="AD2" s="14" t="s">
        <v>21</v>
      </c>
      <c r="AE2" s="15" t="s">
        <v>22</v>
      </c>
      <c r="AF2" s="15" t="s">
        <v>23</v>
      </c>
      <c r="AG2" s="16" t="s">
        <v>24</v>
      </c>
      <c r="AH2" s="14" t="s">
        <v>21</v>
      </c>
      <c r="AI2" s="15" t="s">
        <v>22</v>
      </c>
      <c r="AJ2" s="15" t="s">
        <v>23</v>
      </c>
      <c r="AK2" s="16" t="s">
        <v>24</v>
      </c>
      <c r="AL2" s="17" t="s">
        <v>25</v>
      </c>
      <c r="AM2" s="18" t="s">
        <v>25</v>
      </c>
      <c r="AN2" s="18" t="s">
        <v>25</v>
      </c>
      <c r="AO2" s="18" t="s">
        <v>25</v>
      </c>
      <c r="AP2" s="18" t="s">
        <v>25</v>
      </c>
      <c r="AQ2" s="18" t="s">
        <v>25</v>
      </c>
      <c r="AR2" s="15" t="s">
        <v>26</v>
      </c>
      <c r="AS2" s="19" t="s">
        <v>26</v>
      </c>
      <c r="AT2" s="14" t="s">
        <v>27</v>
      </c>
      <c r="BH2" s="7"/>
      <c r="BI2" s="4"/>
    </row>
    <row r="3">
      <c r="C3" s="4"/>
      <c r="V3" s="21"/>
      <c r="W3" s="15" t="s">
        <v>26</v>
      </c>
      <c r="X3" s="15" t="s">
        <v>28</v>
      </c>
      <c r="Y3" s="4"/>
      <c r="Z3" s="21"/>
      <c r="AA3" s="15" t="s">
        <v>26</v>
      </c>
      <c r="AB3" s="15" t="s">
        <v>28</v>
      </c>
      <c r="AC3" s="4"/>
      <c r="AD3" s="21"/>
      <c r="AE3" s="15" t="s">
        <v>26</v>
      </c>
      <c r="AF3" s="15" t="s">
        <v>28</v>
      </c>
      <c r="AG3" s="4"/>
      <c r="AH3" s="21"/>
      <c r="AI3" s="15" t="s">
        <v>26</v>
      </c>
      <c r="AJ3" s="15" t="s">
        <v>28</v>
      </c>
      <c r="AK3" s="4"/>
      <c r="AL3" s="21"/>
      <c r="AS3" s="4"/>
      <c r="AT3" s="21"/>
      <c r="AU3" s="17" t="s">
        <v>29</v>
      </c>
      <c r="AV3" s="18" t="s">
        <v>30</v>
      </c>
      <c r="AW3" s="18" t="s">
        <v>3</v>
      </c>
      <c r="AX3" s="18" t="s">
        <v>4</v>
      </c>
      <c r="AY3" s="18" t="s">
        <v>5</v>
      </c>
      <c r="AZ3" s="18" t="s">
        <v>6</v>
      </c>
      <c r="BA3" s="18" t="s">
        <v>7</v>
      </c>
      <c r="BB3" s="18" t="s">
        <v>8</v>
      </c>
      <c r="BC3" s="18" t="s">
        <v>9</v>
      </c>
      <c r="BD3" s="18" t="s">
        <v>10</v>
      </c>
      <c r="BE3" s="18" t="s">
        <v>11</v>
      </c>
      <c r="BF3" s="18" t="s">
        <v>12</v>
      </c>
      <c r="BG3" s="18" t="s">
        <v>31</v>
      </c>
      <c r="BH3" s="23" t="s">
        <v>23</v>
      </c>
      <c r="BI3" s="4"/>
    </row>
    <row r="4">
      <c r="A4" s="43">
        <v>464906.0</v>
      </c>
      <c r="B4" s="55" t="s">
        <v>157</v>
      </c>
      <c r="C4" s="24"/>
      <c r="D4" s="25" t="s">
        <v>84</v>
      </c>
      <c r="E4" s="27"/>
      <c r="F4" s="27"/>
      <c r="G4" s="27" t="s">
        <v>57</v>
      </c>
      <c r="H4" s="27" t="s">
        <v>57</v>
      </c>
      <c r="I4" s="27" t="s">
        <v>57</v>
      </c>
      <c r="J4" s="27" t="s">
        <v>57</v>
      </c>
      <c r="K4" s="27" t="s">
        <v>158</v>
      </c>
      <c r="L4" s="27"/>
      <c r="M4" s="133" t="s">
        <v>159</v>
      </c>
      <c r="N4" s="27" t="s">
        <v>57</v>
      </c>
      <c r="O4" s="27" t="s">
        <v>57</v>
      </c>
      <c r="P4" s="27" t="s">
        <v>57</v>
      </c>
      <c r="Q4" s="27" t="s">
        <v>61</v>
      </c>
      <c r="R4" s="27" t="s">
        <v>61</v>
      </c>
      <c r="S4" s="27" t="s">
        <v>57</v>
      </c>
      <c r="T4" s="27" t="s">
        <v>57</v>
      </c>
      <c r="U4" s="27"/>
      <c r="V4" s="43">
        <v>464906.0</v>
      </c>
      <c r="W4" s="36">
        <v>9.0</v>
      </c>
      <c r="X4" s="36">
        <v>1.0</v>
      </c>
      <c r="Y4" s="134" t="s">
        <v>67</v>
      </c>
      <c r="Z4" s="28">
        <v>92921.0</v>
      </c>
      <c r="AA4" s="36">
        <v>7.0</v>
      </c>
      <c r="AB4" s="36">
        <v>2.0</v>
      </c>
      <c r="AC4" s="134" t="s">
        <v>113</v>
      </c>
      <c r="AD4" s="28">
        <v>3.0</v>
      </c>
      <c r="AE4" s="36">
        <v>7.0</v>
      </c>
      <c r="AF4" s="36">
        <v>2.0</v>
      </c>
      <c r="AG4" s="24">
        <v>12.12</v>
      </c>
      <c r="AH4" s="28">
        <v>3263.0</v>
      </c>
      <c r="AI4" s="29">
        <v>7.0</v>
      </c>
      <c r="AJ4" s="36">
        <v>2.0</v>
      </c>
      <c r="AK4" s="24">
        <v>29.12</v>
      </c>
      <c r="AL4" s="28"/>
      <c r="AM4" s="36">
        <v>1.0</v>
      </c>
      <c r="AN4" s="36">
        <v>1.7</v>
      </c>
      <c r="AO4" s="36">
        <v>2.0</v>
      </c>
      <c r="AP4" s="36">
        <v>2.0</v>
      </c>
      <c r="AQ4" s="36">
        <v>0.8</v>
      </c>
      <c r="AR4" s="36">
        <v>8.0</v>
      </c>
      <c r="AS4" s="24">
        <v>6.0</v>
      </c>
      <c r="AT4" s="28">
        <f t="shared" ref="AT4:AT10" si="4">SUM(AR4:AS4)</f>
        <v>14</v>
      </c>
      <c r="AU4" s="21">
        <f t="shared" ref="AU4:AV4" si="2">SUM(AR4)</f>
        <v>8</v>
      </c>
      <c r="AV4">
        <f t="shared" si="2"/>
        <v>6</v>
      </c>
      <c r="AW4">
        <f t="shared" ref="AW4:AW19" si="6">SUM(W4,X4)</f>
        <v>10</v>
      </c>
      <c r="AX4">
        <f t="shared" ref="AX4:AX19" si="7">SUM(AA4,AB4)</f>
        <v>9</v>
      </c>
      <c r="AY4">
        <f t="shared" ref="AY4:AY19" si="8">SUM(AE4,AF4)</f>
        <v>9</v>
      </c>
      <c r="AZ4">
        <f t="shared" ref="AZ4:AZ19" si="9">SUM(AI4,AJ4)</f>
        <v>9</v>
      </c>
      <c r="BA4">
        <f t="shared" ref="BA4:BF4" si="3">SUM(AL4)</f>
        <v>0</v>
      </c>
      <c r="BB4">
        <f t="shared" si="3"/>
        <v>1</v>
      </c>
      <c r="BC4">
        <f t="shared" si="3"/>
        <v>1.7</v>
      </c>
      <c r="BD4">
        <f t="shared" si="3"/>
        <v>2</v>
      </c>
      <c r="BE4">
        <f t="shared" si="3"/>
        <v>2</v>
      </c>
      <c r="BF4">
        <f t="shared" si="3"/>
        <v>0.8</v>
      </c>
      <c r="BG4">
        <f t="shared" ref="BG4:BG19" si="11">SUM(AT4)</f>
        <v>14</v>
      </c>
      <c r="BH4" s="4"/>
      <c r="BI4" s="50">
        <f t="shared" ref="BI4:BI19" si="12">SUM(AU4:BH4)</f>
        <v>72.5</v>
      </c>
      <c r="BJ4" s="32">
        <v>1.0</v>
      </c>
    </row>
    <row r="5">
      <c r="A5" s="43">
        <v>465591.0</v>
      </c>
      <c r="B5" s="55" t="s">
        <v>160</v>
      </c>
      <c r="C5" s="24"/>
      <c r="D5" s="25" t="s">
        <v>84</v>
      </c>
      <c r="E5" s="27"/>
      <c r="F5" s="27"/>
      <c r="G5" s="27" t="s">
        <v>57</v>
      </c>
      <c r="H5" s="27" t="s">
        <v>61</v>
      </c>
      <c r="I5" s="27"/>
      <c r="J5" s="27" t="s">
        <v>57</v>
      </c>
      <c r="K5" s="27" t="s">
        <v>57</v>
      </c>
      <c r="N5" s="27" t="s">
        <v>57</v>
      </c>
      <c r="O5" s="27"/>
      <c r="P5" s="27" t="s">
        <v>61</v>
      </c>
      <c r="Q5" s="27"/>
      <c r="R5" s="27" t="s">
        <v>57</v>
      </c>
      <c r="S5" s="27" t="s">
        <v>61</v>
      </c>
      <c r="T5" s="27"/>
      <c r="U5" s="27"/>
      <c r="V5" s="43">
        <v>465591.0</v>
      </c>
      <c r="W5" s="36">
        <v>9.0</v>
      </c>
      <c r="X5" s="36">
        <v>1.0</v>
      </c>
      <c r="Y5" s="134" t="s">
        <v>161</v>
      </c>
      <c r="Z5" s="28">
        <v>122354.0</v>
      </c>
      <c r="AA5" s="36">
        <v>10.0</v>
      </c>
      <c r="AB5" s="36">
        <v>2.0</v>
      </c>
      <c r="AC5" s="134" t="s">
        <v>113</v>
      </c>
      <c r="AD5" s="28">
        <v>98292.0</v>
      </c>
      <c r="AE5" s="36">
        <v>8.0</v>
      </c>
      <c r="AF5" s="36">
        <v>2.0</v>
      </c>
      <c r="AG5" s="24">
        <v>28.11</v>
      </c>
      <c r="AH5" s="28">
        <v>1254.0</v>
      </c>
      <c r="AI5" s="36">
        <v>8.0</v>
      </c>
      <c r="AJ5" s="36">
        <v>1.0</v>
      </c>
      <c r="AK5" s="24">
        <v>19.12</v>
      </c>
      <c r="AL5" s="28">
        <v>0.4</v>
      </c>
      <c r="AO5" s="36">
        <v>1.0</v>
      </c>
      <c r="AQ5" s="36">
        <v>0.8</v>
      </c>
      <c r="AR5" s="36">
        <v>6.5</v>
      </c>
      <c r="AS5" s="24">
        <v>6.25</v>
      </c>
      <c r="AT5" s="28">
        <f t="shared" si="4"/>
        <v>12.75</v>
      </c>
      <c r="AU5" s="21">
        <f t="shared" ref="AU5:AV5" si="5">SUM(AR5)</f>
        <v>6.5</v>
      </c>
      <c r="AV5">
        <f t="shared" si="5"/>
        <v>6.25</v>
      </c>
      <c r="AW5">
        <f t="shared" si="6"/>
        <v>10</v>
      </c>
      <c r="AX5">
        <f t="shared" si="7"/>
        <v>12</v>
      </c>
      <c r="AY5">
        <f t="shared" si="8"/>
        <v>10</v>
      </c>
      <c r="AZ5">
        <f t="shared" si="9"/>
        <v>9</v>
      </c>
      <c r="BA5">
        <f t="shared" ref="BA5:BF5" si="10">SUM(AL5)</f>
        <v>0.4</v>
      </c>
      <c r="BB5">
        <f t="shared" si="10"/>
        <v>0</v>
      </c>
      <c r="BC5">
        <f t="shared" si="10"/>
        <v>0</v>
      </c>
      <c r="BD5">
        <f t="shared" si="10"/>
        <v>1</v>
      </c>
      <c r="BE5">
        <f t="shared" si="10"/>
        <v>0</v>
      </c>
      <c r="BF5">
        <f t="shared" si="10"/>
        <v>0.8</v>
      </c>
      <c r="BG5">
        <f t="shared" si="11"/>
        <v>12.75</v>
      </c>
      <c r="BH5" s="4"/>
      <c r="BI5" s="50">
        <f t="shared" si="12"/>
        <v>68.7</v>
      </c>
      <c r="BJ5" s="32">
        <v>1.0</v>
      </c>
    </row>
    <row r="6">
      <c r="A6" s="43">
        <v>465657.0</v>
      </c>
      <c r="B6" s="55" t="s">
        <v>162</v>
      </c>
      <c r="C6" s="24"/>
      <c r="D6" s="25" t="s">
        <v>84</v>
      </c>
      <c r="E6" s="27"/>
      <c r="F6" s="27" t="s">
        <v>84</v>
      </c>
      <c r="G6" s="27" t="s">
        <v>61</v>
      </c>
      <c r="H6" s="27" t="s">
        <v>57</v>
      </c>
      <c r="I6" s="27" t="s">
        <v>57</v>
      </c>
      <c r="J6" s="27"/>
      <c r="K6" s="27" t="s">
        <v>57</v>
      </c>
      <c r="L6" s="27" t="s">
        <v>57</v>
      </c>
      <c r="N6" s="27" t="s">
        <v>57</v>
      </c>
      <c r="O6" s="27"/>
      <c r="P6" s="27"/>
      <c r="Q6" s="27"/>
      <c r="R6" s="27"/>
      <c r="S6" s="27" t="s">
        <v>57</v>
      </c>
      <c r="T6" s="27" t="s">
        <v>57</v>
      </c>
      <c r="U6" s="27"/>
      <c r="V6" s="43">
        <v>465657.0</v>
      </c>
      <c r="W6" s="36">
        <v>8.0</v>
      </c>
      <c r="X6" s="36">
        <v>1.0</v>
      </c>
      <c r="Y6" s="134" t="s">
        <v>161</v>
      </c>
      <c r="Z6" s="28">
        <v>73745.0</v>
      </c>
      <c r="AA6" s="36">
        <v>8.0</v>
      </c>
      <c r="AB6" s="36">
        <v>2.0</v>
      </c>
      <c r="AC6" s="134" t="s">
        <v>163</v>
      </c>
      <c r="AD6" s="28">
        <v>18212.0</v>
      </c>
      <c r="AE6" s="36">
        <v>8.0</v>
      </c>
      <c r="AF6" s="36">
        <v>2.0</v>
      </c>
      <c r="AG6" s="24">
        <v>29.12</v>
      </c>
      <c r="AH6" s="28">
        <v>882.0</v>
      </c>
      <c r="AI6" s="36">
        <v>7.0</v>
      </c>
      <c r="AJ6" s="36">
        <v>0.0</v>
      </c>
      <c r="AK6" s="24">
        <v>24.02</v>
      </c>
      <c r="AL6" s="28"/>
      <c r="AM6" s="36">
        <v>1.6</v>
      </c>
      <c r="AN6" s="36">
        <v>1.4</v>
      </c>
      <c r="AO6" s="36">
        <v>1.5</v>
      </c>
      <c r="AR6" s="36">
        <v>8.5</v>
      </c>
      <c r="AS6" s="24">
        <v>7.92</v>
      </c>
      <c r="AT6" s="28">
        <f t="shared" si="4"/>
        <v>16.42</v>
      </c>
      <c r="AU6" s="21">
        <f t="shared" ref="AU6:AV6" si="13">SUM(AR6)</f>
        <v>8.5</v>
      </c>
      <c r="AV6">
        <f t="shared" si="13"/>
        <v>7.92</v>
      </c>
      <c r="AW6">
        <f t="shared" si="6"/>
        <v>9</v>
      </c>
      <c r="AX6">
        <f t="shared" si="7"/>
        <v>10</v>
      </c>
      <c r="AY6">
        <f t="shared" si="8"/>
        <v>10</v>
      </c>
      <c r="AZ6">
        <f t="shared" si="9"/>
        <v>7</v>
      </c>
      <c r="BA6">
        <f t="shared" ref="BA6:BF6" si="14">SUM(AL6)</f>
        <v>0</v>
      </c>
      <c r="BB6">
        <f t="shared" si="14"/>
        <v>1.6</v>
      </c>
      <c r="BC6">
        <f t="shared" si="14"/>
        <v>1.4</v>
      </c>
      <c r="BD6">
        <f t="shared" si="14"/>
        <v>1.5</v>
      </c>
      <c r="BE6">
        <f t="shared" si="14"/>
        <v>0</v>
      </c>
      <c r="BF6">
        <f t="shared" si="14"/>
        <v>0</v>
      </c>
      <c r="BG6">
        <f t="shared" si="11"/>
        <v>16.42</v>
      </c>
      <c r="BH6" s="4"/>
      <c r="BI6" s="50">
        <f t="shared" si="12"/>
        <v>73.34</v>
      </c>
      <c r="BJ6" s="32">
        <v>2.0</v>
      </c>
    </row>
    <row r="7">
      <c r="A7" s="43">
        <v>465746.0</v>
      </c>
      <c r="B7" s="55" t="s">
        <v>164</v>
      </c>
      <c r="C7" s="24"/>
      <c r="D7" s="25" t="s">
        <v>84</v>
      </c>
      <c r="E7" s="27" t="s">
        <v>84</v>
      </c>
      <c r="F7" s="27"/>
      <c r="G7" s="27"/>
      <c r="H7" s="27"/>
      <c r="I7" s="27" t="s">
        <v>84</v>
      </c>
      <c r="J7" s="27" t="s">
        <v>84</v>
      </c>
      <c r="K7" s="27" t="s">
        <v>61</v>
      </c>
      <c r="L7" s="27"/>
      <c r="N7" s="27" t="s">
        <v>57</v>
      </c>
      <c r="O7" s="27" t="s">
        <v>57</v>
      </c>
      <c r="P7" s="27" t="s">
        <v>57</v>
      </c>
      <c r="Q7" s="27"/>
      <c r="R7" s="27"/>
      <c r="S7" s="27" t="s">
        <v>57</v>
      </c>
      <c r="T7" s="27" t="s">
        <v>61</v>
      </c>
      <c r="U7" s="27"/>
      <c r="V7" s="43">
        <v>465746.0</v>
      </c>
      <c r="W7" s="36">
        <v>9.0</v>
      </c>
      <c r="X7" s="36">
        <v>1.0</v>
      </c>
      <c r="Y7" s="134" t="s">
        <v>113</v>
      </c>
      <c r="Z7" s="28">
        <v>295.0</v>
      </c>
      <c r="AA7" s="36">
        <v>9.0</v>
      </c>
      <c r="AB7" s="36">
        <v>1.0</v>
      </c>
      <c r="AC7" s="24">
        <v>28.11</v>
      </c>
      <c r="AD7" s="28">
        <v>92962.0</v>
      </c>
      <c r="AE7" s="36">
        <v>8.0</v>
      </c>
      <c r="AF7" s="36">
        <v>0.0</v>
      </c>
      <c r="AG7" s="24">
        <v>17.02</v>
      </c>
      <c r="AH7" s="28">
        <v>8282.0</v>
      </c>
      <c r="AI7" s="36">
        <v>6.0</v>
      </c>
      <c r="AJ7" s="36">
        <v>0.0</v>
      </c>
      <c r="AK7" s="24">
        <v>24.02</v>
      </c>
      <c r="AL7" s="28"/>
      <c r="AR7" s="36">
        <v>8.5</v>
      </c>
      <c r="AS7" s="24">
        <v>6.0</v>
      </c>
      <c r="AT7" s="28">
        <f t="shared" si="4"/>
        <v>14.5</v>
      </c>
      <c r="AU7" s="21">
        <f t="shared" ref="AU7:AV7" si="15">SUM(AR7)</f>
        <v>8.5</v>
      </c>
      <c r="AV7">
        <f t="shared" si="15"/>
        <v>6</v>
      </c>
      <c r="AW7">
        <f t="shared" si="6"/>
        <v>10</v>
      </c>
      <c r="AX7">
        <f t="shared" si="7"/>
        <v>10</v>
      </c>
      <c r="AY7">
        <f t="shared" si="8"/>
        <v>8</v>
      </c>
      <c r="AZ7">
        <f t="shared" si="9"/>
        <v>6</v>
      </c>
      <c r="BA7">
        <f t="shared" ref="BA7:BF7" si="16">SUM(AL7)</f>
        <v>0</v>
      </c>
      <c r="BB7">
        <f t="shared" si="16"/>
        <v>0</v>
      </c>
      <c r="BC7">
        <f t="shared" si="16"/>
        <v>0</v>
      </c>
      <c r="BD7">
        <f t="shared" si="16"/>
        <v>0</v>
      </c>
      <c r="BE7">
        <f t="shared" si="16"/>
        <v>0</v>
      </c>
      <c r="BF7">
        <f t="shared" si="16"/>
        <v>0</v>
      </c>
      <c r="BG7">
        <f t="shared" si="11"/>
        <v>14.5</v>
      </c>
      <c r="BH7" s="4"/>
      <c r="BI7" s="50">
        <f t="shared" si="12"/>
        <v>63</v>
      </c>
      <c r="BJ7" s="32">
        <v>2.0</v>
      </c>
    </row>
    <row r="8">
      <c r="A8" s="43">
        <v>465870.0</v>
      </c>
      <c r="B8" s="55" t="s">
        <v>165</v>
      </c>
      <c r="C8" s="24"/>
      <c r="D8" s="25" t="s">
        <v>84</v>
      </c>
      <c r="E8" s="27" t="s">
        <v>84</v>
      </c>
      <c r="F8" s="27"/>
      <c r="G8" s="27"/>
      <c r="H8" s="27"/>
      <c r="I8" s="27"/>
      <c r="J8" s="27"/>
      <c r="K8" s="27"/>
      <c r="L8" s="27"/>
      <c r="N8" s="27" t="s">
        <v>57</v>
      </c>
      <c r="O8" s="27"/>
      <c r="P8" s="27" t="s">
        <v>57</v>
      </c>
      <c r="Q8" s="27" t="s">
        <v>57</v>
      </c>
      <c r="R8" s="27"/>
      <c r="S8" s="27" t="s">
        <v>57</v>
      </c>
      <c r="T8" s="27"/>
      <c r="U8" s="27"/>
      <c r="V8" s="43">
        <v>465870.0</v>
      </c>
      <c r="W8" s="36">
        <v>9.0</v>
      </c>
      <c r="X8" s="36">
        <v>1.0</v>
      </c>
      <c r="Y8" s="24">
        <v>14.11</v>
      </c>
      <c r="Z8" s="28">
        <v>2212.0</v>
      </c>
      <c r="AA8" s="36">
        <v>8.0</v>
      </c>
      <c r="AB8" s="36">
        <v>2.0</v>
      </c>
      <c r="AC8" s="24">
        <v>28.11</v>
      </c>
      <c r="AD8" s="28">
        <v>12312.0</v>
      </c>
      <c r="AE8" s="36">
        <v>9.0</v>
      </c>
      <c r="AF8" s="36">
        <v>2.0</v>
      </c>
      <c r="AG8" s="24">
        <v>5.12</v>
      </c>
      <c r="AH8" s="28">
        <v>2222.0</v>
      </c>
      <c r="AI8" s="36">
        <v>9.0</v>
      </c>
      <c r="AJ8" s="36">
        <v>2.0</v>
      </c>
      <c r="AK8" s="24">
        <v>19.12</v>
      </c>
      <c r="AL8" s="28"/>
      <c r="AR8" s="36">
        <v>7.0</v>
      </c>
      <c r="AS8" s="24">
        <v>6.0</v>
      </c>
      <c r="AT8" s="28">
        <f t="shared" si="4"/>
        <v>13</v>
      </c>
      <c r="AU8" s="21">
        <f t="shared" ref="AU8:AV8" si="17">SUM(AR8)</f>
        <v>7</v>
      </c>
      <c r="AV8">
        <f t="shared" si="17"/>
        <v>6</v>
      </c>
      <c r="AW8">
        <f t="shared" si="6"/>
        <v>10</v>
      </c>
      <c r="AX8">
        <f t="shared" si="7"/>
        <v>10</v>
      </c>
      <c r="AY8">
        <f t="shared" si="8"/>
        <v>11</v>
      </c>
      <c r="AZ8">
        <f t="shared" si="9"/>
        <v>11</v>
      </c>
      <c r="BA8">
        <f t="shared" ref="BA8:BF8" si="18">SUM(AL8)</f>
        <v>0</v>
      </c>
      <c r="BB8">
        <f t="shared" si="18"/>
        <v>0</v>
      </c>
      <c r="BC8">
        <f t="shared" si="18"/>
        <v>0</v>
      </c>
      <c r="BD8">
        <f t="shared" si="18"/>
        <v>0</v>
      </c>
      <c r="BE8">
        <f t="shared" si="18"/>
        <v>0</v>
      </c>
      <c r="BF8">
        <f t="shared" si="18"/>
        <v>0</v>
      </c>
      <c r="BG8">
        <f t="shared" si="11"/>
        <v>13</v>
      </c>
      <c r="BH8" s="4"/>
      <c r="BI8" s="50">
        <f t="shared" si="12"/>
        <v>68</v>
      </c>
      <c r="BJ8" s="32">
        <v>1.0</v>
      </c>
    </row>
    <row r="9">
      <c r="A9" s="43">
        <v>466127.0</v>
      </c>
      <c r="B9" s="55" t="s">
        <v>166</v>
      </c>
      <c r="C9" s="24"/>
      <c r="D9" s="25" t="s">
        <v>84</v>
      </c>
      <c r="E9" s="27" t="s">
        <v>158</v>
      </c>
      <c r="F9" s="27"/>
      <c r="G9" s="27" t="s">
        <v>57</v>
      </c>
      <c r="H9" s="27" t="s">
        <v>57</v>
      </c>
      <c r="I9" s="27" t="s">
        <v>84</v>
      </c>
      <c r="J9" s="27" t="s">
        <v>57</v>
      </c>
      <c r="K9" s="27"/>
      <c r="L9" s="27" t="s">
        <v>57</v>
      </c>
      <c r="N9" s="27" t="s">
        <v>57</v>
      </c>
      <c r="O9" s="27" t="s">
        <v>57</v>
      </c>
      <c r="P9" s="27"/>
      <c r="Q9" s="27" t="s">
        <v>57</v>
      </c>
      <c r="R9" s="27" t="s">
        <v>57</v>
      </c>
      <c r="S9" s="27" t="s">
        <v>84</v>
      </c>
      <c r="T9" s="27"/>
      <c r="U9" s="27"/>
      <c r="V9" s="43">
        <v>466127.0</v>
      </c>
      <c r="W9" s="36">
        <v>10.0</v>
      </c>
      <c r="X9" s="36">
        <v>2.0</v>
      </c>
      <c r="Y9" s="24">
        <v>12.09</v>
      </c>
      <c r="Z9" s="28">
        <v>192942.0</v>
      </c>
      <c r="AA9" s="36">
        <v>10.0</v>
      </c>
      <c r="AB9" s="36">
        <v>2.0</v>
      </c>
      <c r="AC9" s="134" t="s">
        <v>161</v>
      </c>
      <c r="AD9" s="28">
        <v>99999.0</v>
      </c>
      <c r="AE9" s="36">
        <v>10.0</v>
      </c>
      <c r="AF9" s="36">
        <v>2.0</v>
      </c>
      <c r="AG9" s="134" t="s">
        <v>58</v>
      </c>
      <c r="AH9" s="28">
        <v>8281.0</v>
      </c>
      <c r="AI9" s="36">
        <v>10.0</v>
      </c>
      <c r="AJ9" s="36">
        <v>2.0</v>
      </c>
      <c r="AK9" s="24">
        <v>12.12</v>
      </c>
      <c r="AL9" s="28">
        <v>0.01</v>
      </c>
      <c r="AM9" s="36">
        <v>1.5</v>
      </c>
      <c r="AN9" s="36">
        <v>1.3</v>
      </c>
      <c r="AO9" s="36">
        <v>1.0</v>
      </c>
      <c r="AP9" s="36">
        <v>1.2</v>
      </c>
      <c r="AR9" s="36">
        <v>7.5</v>
      </c>
      <c r="AS9" s="24">
        <v>8.5</v>
      </c>
      <c r="AT9" s="28">
        <f t="shared" si="4"/>
        <v>16</v>
      </c>
      <c r="AU9" s="21">
        <f t="shared" ref="AU9:AV9" si="19">SUM(AR9)</f>
        <v>7.5</v>
      </c>
      <c r="AV9">
        <f t="shared" si="19"/>
        <v>8.5</v>
      </c>
      <c r="AW9">
        <f t="shared" si="6"/>
        <v>12</v>
      </c>
      <c r="AX9">
        <f t="shared" si="7"/>
        <v>12</v>
      </c>
      <c r="AY9">
        <f t="shared" si="8"/>
        <v>12</v>
      </c>
      <c r="AZ9">
        <f t="shared" si="9"/>
        <v>12</v>
      </c>
      <c r="BA9">
        <f t="shared" ref="BA9:BF9" si="20">SUM(AL9)</f>
        <v>0.01</v>
      </c>
      <c r="BB9">
        <f t="shared" si="20"/>
        <v>1.5</v>
      </c>
      <c r="BC9">
        <f t="shared" si="20"/>
        <v>1.3</v>
      </c>
      <c r="BD9">
        <f t="shared" si="20"/>
        <v>1</v>
      </c>
      <c r="BE9">
        <f t="shared" si="20"/>
        <v>1.2</v>
      </c>
      <c r="BF9">
        <f t="shared" si="20"/>
        <v>0</v>
      </c>
      <c r="BG9">
        <f t="shared" si="11"/>
        <v>16</v>
      </c>
      <c r="BH9" s="4"/>
      <c r="BI9" s="50">
        <f t="shared" si="12"/>
        <v>85.01</v>
      </c>
      <c r="BJ9" s="32">
        <v>1.0</v>
      </c>
    </row>
    <row r="10">
      <c r="A10" s="43">
        <v>466363.0</v>
      </c>
      <c r="B10" s="44" t="s">
        <v>167</v>
      </c>
      <c r="C10" s="24"/>
      <c r="D10" s="25" t="s">
        <v>84</v>
      </c>
      <c r="E10" s="27"/>
      <c r="F10" s="27" t="s">
        <v>84</v>
      </c>
      <c r="G10" s="27"/>
      <c r="H10" s="27"/>
      <c r="I10" s="27"/>
      <c r="J10" s="27"/>
      <c r="K10" s="27"/>
      <c r="L10" s="27"/>
      <c r="N10" s="27" t="s">
        <v>57</v>
      </c>
      <c r="O10" s="27"/>
      <c r="P10" s="27" t="s">
        <v>57</v>
      </c>
      <c r="Q10" s="27" t="s">
        <v>61</v>
      </c>
      <c r="R10" s="27"/>
      <c r="S10" s="27" t="s">
        <v>57</v>
      </c>
      <c r="T10" s="27"/>
      <c r="U10" s="27"/>
      <c r="V10" s="43">
        <v>466363.0</v>
      </c>
      <c r="W10" s="36">
        <v>9.0</v>
      </c>
      <c r="X10" s="36">
        <v>1.0</v>
      </c>
      <c r="Y10" s="24">
        <v>14.11</v>
      </c>
      <c r="Z10" s="28">
        <v>213.0</v>
      </c>
      <c r="AA10" s="36">
        <v>8.0</v>
      </c>
      <c r="AB10" s="36">
        <v>1.0</v>
      </c>
      <c r="AC10" s="24">
        <v>5.12</v>
      </c>
      <c r="AD10" s="28">
        <v>1232.0</v>
      </c>
      <c r="AE10" s="36">
        <v>9.0</v>
      </c>
      <c r="AF10" s="36">
        <v>2.0</v>
      </c>
      <c r="AG10" s="24">
        <v>5.12</v>
      </c>
      <c r="AH10" s="28">
        <v>132.0</v>
      </c>
      <c r="AI10" s="36">
        <v>9.0</v>
      </c>
      <c r="AJ10" s="36">
        <v>2.0</v>
      </c>
      <c r="AK10" s="24">
        <v>19.12</v>
      </c>
      <c r="AL10" s="28"/>
      <c r="AR10" s="36">
        <v>6.0</v>
      </c>
      <c r="AS10" s="24">
        <v>6.0</v>
      </c>
      <c r="AT10" s="28">
        <f t="shared" si="4"/>
        <v>12</v>
      </c>
      <c r="AU10" s="21">
        <f t="shared" ref="AU10:AV10" si="21">SUM(AR10)</f>
        <v>6</v>
      </c>
      <c r="AV10">
        <f t="shared" si="21"/>
        <v>6</v>
      </c>
      <c r="AW10">
        <f t="shared" si="6"/>
        <v>10</v>
      </c>
      <c r="AX10">
        <f t="shared" si="7"/>
        <v>9</v>
      </c>
      <c r="AY10">
        <f t="shared" si="8"/>
        <v>11</v>
      </c>
      <c r="AZ10">
        <f t="shared" si="9"/>
        <v>11</v>
      </c>
      <c r="BA10">
        <f t="shared" ref="BA10:BF10" si="22">SUM(AL10)</f>
        <v>0</v>
      </c>
      <c r="BB10">
        <f t="shared" si="22"/>
        <v>0</v>
      </c>
      <c r="BC10">
        <f t="shared" si="22"/>
        <v>0</v>
      </c>
      <c r="BD10">
        <f t="shared" si="22"/>
        <v>0</v>
      </c>
      <c r="BE10">
        <f t="shared" si="22"/>
        <v>0</v>
      </c>
      <c r="BF10">
        <f t="shared" si="22"/>
        <v>0</v>
      </c>
      <c r="BG10">
        <f t="shared" si="11"/>
        <v>12</v>
      </c>
      <c r="BH10" s="4"/>
      <c r="BI10" s="50">
        <f t="shared" si="12"/>
        <v>65</v>
      </c>
      <c r="BJ10" s="32">
        <v>1.0</v>
      </c>
    </row>
    <row r="11">
      <c r="A11" s="43">
        <v>367349.0</v>
      </c>
      <c r="B11" s="55" t="s">
        <v>168</v>
      </c>
      <c r="D11" s="34"/>
      <c r="E11" s="27"/>
      <c r="F11" s="27"/>
      <c r="G11" s="27"/>
      <c r="H11" s="27"/>
      <c r="I11" s="27"/>
      <c r="J11" s="27"/>
      <c r="K11" s="27"/>
      <c r="L11" s="27"/>
      <c r="N11" s="27"/>
      <c r="O11" s="27"/>
      <c r="P11" s="27"/>
      <c r="Q11" s="27"/>
      <c r="R11" s="27"/>
      <c r="S11" s="27"/>
      <c r="T11" s="27"/>
      <c r="U11" s="27"/>
      <c r="V11" s="43">
        <v>367349.0</v>
      </c>
      <c r="Z11" s="28"/>
      <c r="AD11" s="28"/>
      <c r="AG11" s="84"/>
      <c r="AH11" s="28"/>
      <c r="AL11" s="81">
        <v>0.2</v>
      </c>
      <c r="AM11" s="58">
        <v>0.01</v>
      </c>
      <c r="AR11" s="58">
        <v>6.0</v>
      </c>
      <c r="AS11" s="135">
        <v>6.0</v>
      </c>
      <c r="AT11" s="28"/>
      <c r="AU11" s="21">
        <f t="shared" ref="AU11:AV11" si="23">SUM(AR11)</f>
        <v>6</v>
      </c>
      <c r="AV11">
        <f t="shared" si="23"/>
        <v>6</v>
      </c>
      <c r="AW11">
        <f t="shared" si="6"/>
        <v>0</v>
      </c>
      <c r="AX11">
        <f t="shared" si="7"/>
        <v>0</v>
      </c>
      <c r="AY11">
        <f t="shared" si="8"/>
        <v>0</v>
      </c>
      <c r="AZ11">
        <f t="shared" si="9"/>
        <v>0</v>
      </c>
      <c r="BA11">
        <f t="shared" ref="BA11:BF11" si="24">SUM(AL11)</f>
        <v>0.2</v>
      </c>
      <c r="BB11">
        <f t="shared" si="24"/>
        <v>0.01</v>
      </c>
      <c r="BC11">
        <f t="shared" si="24"/>
        <v>0</v>
      </c>
      <c r="BD11">
        <f t="shared" si="24"/>
        <v>0</v>
      </c>
      <c r="BE11">
        <f t="shared" si="24"/>
        <v>0</v>
      </c>
      <c r="BF11">
        <f t="shared" si="24"/>
        <v>0</v>
      </c>
      <c r="BG11">
        <f t="shared" si="11"/>
        <v>0</v>
      </c>
      <c r="BH11" s="4"/>
      <c r="BI11" s="50">
        <f t="shared" si="12"/>
        <v>12.21</v>
      </c>
      <c r="BJ11" s="32"/>
    </row>
    <row r="12">
      <c r="A12" s="51">
        <v>409053.0</v>
      </c>
      <c r="B12" s="44" t="s">
        <v>169</v>
      </c>
      <c r="D12" s="36" t="s">
        <v>84</v>
      </c>
      <c r="E12" s="36" t="s">
        <v>84</v>
      </c>
      <c r="F12" s="36" t="s">
        <v>84</v>
      </c>
      <c r="G12" s="36" t="s">
        <v>84</v>
      </c>
      <c r="H12" s="36" t="s">
        <v>84</v>
      </c>
      <c r="I12" s="36" t="s">
        <v>84</v>
      </c>
      <c r="J12" s="36" t="s">
        <v>84</v>
      </c>
      <c r="K12" s="36" t="s">
        <v>57</v>
      </c>
      <c r="N12" s="36" t="s">
        <v>57</v>
      </c>
      <c r="O12" s="36" t="s">
        <v>170</v>
      </c>
      <c r="P12" s="36" t="s">
        <v>57</v>
      </c>
      <c r="Q12" s="36" t="s">
        <v>84</v>
      </c>
      <c r="R12" s="36" t="s">
        <v>57</v>
      </c>
      <c r="S12" s="36" t="s">
        <v>84</v>
      </c>
      <c r="V12" s="51">
        <v>409053.0</v>
      </c>
      <c r="W12" s="36">
        <v>9.0</v>
      </c>
      <c r="X12" s="36">
        <v>1.0</v>
      </c>
      <c r="Y12" s="36">
        <v>14.11</v>
      </c>
      <c r="Z12" s="36">
        <v>555.0</v>
      </c>
      <c r="AA12" s="36">
        <v>8.0</v>
      </c>
      <c r="AB12" s="36">
        <v>2.0</v>
      </c>
      <c r="AC12" s="36">
        <v>21.11</v>
      </c>
      <c r="AD12" s="36">
        <v>8282.0</v>
      </c>
      <c r="AE12" s="36">
        <v>9.0</v>
      </c>
      <c r="AF12" s="36">
        <v>1.0</v>
      </c>
      <c r="AG12" s="36">
        <v>12.12</v>
      </c>
      <c r="AH12" s="36">
        <v>2223.0</v>
      </c>
      <c r="AI12" s="36">
        <v>6.0</v>
      </c>
      <c r="AK12" s="36">
        <v>29.12</v>
      </c>
      <c r="AL12" s="36">
        <v>0.01</v>
      </c>
      <c r="AM12" s="36">
        <v>0.1</v>
      </c>
      <c r="AR12" s="36">
        <v>6.0</v>
      </c>
      <c r="AS12" s="36">
        <v>6.0</v>
      </c>
      <c r="AT12" s="28">
        <f t="shared" ref="AT12:AT16" si="27">SUM(AR12:AS12)</f>
        <v>12</v>
      </c>
      <c r="AU12" s="21">
        <f t="shared" ref="AU12:AV12" si="25">SUM(AR12)</f>
        <v>6</v>
      </c>
      <c r="AV12">
        <f t="shared" si="25"/>
        <v>6</v>
      </c>
      <c r="AW12">
        <f t="shared" si="6"/>
        <v>10</v>
      </c>
      <c r="AX12">
        <f t="shared" si="7"/>
        <v>10</v>
      </c>
      <c r="AY12">
        <f t="shared" si="8"/>
        <v>10</v>
      </c>
      <c r="AZ12">
        <f t="shared" si="9"/>
        <v>6</v>
      </c>
      <c r="BA12">
        <f t="shared" ref="BA12:BF12" si="26">SUM(AL12)</f>
        <v>0.01</v>
      </c>
      <c r="BB12">
        <f t="shared" si="26"/>
        <v>0.1</v>
      </c>
      <c r="BC12">
        <f t="shared" si="26"/>
        <v>0</v>
      </c>
      <c r="BD12">
        <f t="shared" si="26"/>
        <v>0</v>
      </c>
      <c r="BE12">
        <f t="shared" si="26"/>
        <v>0</v>
      </c>
      <c r="BF12">
        <f t="shared" si="26"/>
        <v>0</v>
      </c>
      <c r="BG12">
        <f t="shared" si="11"/>
        <v>12</v>
      </c>
      <c r="BH12" s="4"/>
      <c r="BI12" s="50">
        <f t="shared" si="12"/>
        <v>60.11</v>
      </c>
      <c r="BJ12" s="32">
        <v>2.0</v>
      </c>
    </row>
    <row r="13">
      <c r="A13" s="43">
        <v>466730.0</v>
      </c>
      <c r="B13" s="55" t="s">
        <v>171</v>
      </c>
      <c r="D13" s="25" t="s">
        <v>84</v>
      </c>
      <c r="E13" s="27" t="s">
        <v>57</v>
      </c>
      <c r="F13" s="27" t="s">
        <v>61</v>
      </c>
      <c r="G13" s="27"/>
      <c r="H13" s="27" t="s">
        <v>57</v>
      </c>
      <c r="I13" s="27" t="s">
        <v>57</v>
      </c>
      <c r="J13" s="27"/>
      <c r="K13" s="27"/>
      <c r="L13" s="27"/>
      <c r="N13" s="27" t="s">
        <v>57</v>
      </c>
      <c r="O13" s="27"/>
      <c r="P13" s="27"/>
      <c r="Q13" s="27"/>
      <c r="R13" s="27" t="s">
        <v>61</v>
      </c>
      <c r="S13" s="27" t="s">
        <v>84</v>
      </c>
      <c r="T13" s="27" t="s">
        <v>57</v>
      </c>
      <c r="U13" s="27"/>
      <c r="V13" s="43">
        <v>466730.0</v>
      </c>
      <c r="W13" s="36">
        <v>9.0</v>
      </c>
      <c r="X13" s="36">
        <v>1.0</v>
      </c>
      <c r="Y13" s="36">
        <v>19.09</v>
      </c>
      <c r="Z13" s="28">
        <v>86954.0</v>
      </c>
      <c r="AA13" s="36">
        <v>10.0</v>
      </c>
      <c r="AB13" s="36">
        <v>1.0</v>
      </c>
      <c r="AC13" s="134" t="s">
        <v>67</v>
      </c>
      <c r="AD13" s="28">
        <v>28345.0</v>
      </c>
      <c r="AE13" s="36">
        <v>9.0</v>
      </c>
      <c r="AF13" s="36">
        <v>1.0</v>
      </c>
      <c r="AG13" s="36">
        <v>12.12</v>
      </c>
      <c r="AH13" s="28">
        <v>3642.0</v>
      </c>
      <c r="AI13" s="36">
        <v>6.0</v>
      </c>
      <c r="AK13" s="36">
        <v>29.12</v>
      </c>
      <c r="AL13" s="28">
        <v>0.7</v>
      </c>
      <c r="AM13" s="36">
        <v>1.6</v>
      </c>
      <c r="AN13" s="36">
        <v>1.5</v>
      </c>
      <c r="AO13" s="36">
        <v>1.9</v>
      </c>
      <c r="AP13" s="36">
        <v>0.01</v>
      </c>
      <c r="AQ13" s="36">
        <v>1.4</v>
      </c>
      <c r="AR13" s="36">
        <v>6.5</v>
      </c>
      <c r="AS13" s="36">
        <v>7.67</v>
      </c>
      <c r="AT13" s="28">
        <f t="shared" si="27"/>
        <v>14.17</v>
      </c>
      <c r="AU13" s="21">
        <f t="shared" ref="AU13:AV13" si="28">SUM(AR13)</f>
        <v>6.5</v>
      </c>
      <c r="AV13">
        <f t="shared" si="28"/>
        <v>7.67</v>
      </c>
      <c r="AW13">
        <f t="shared" si="6"/>
        <v>10</v>
      </c>
      <c r="AX13">
        <f t="shared" si="7"/>
        <v>11</v>
      </c>
      <c r="AY13">
        <f t="shared" si="8"/>
        <v>10</v>
      </c>
      <c r="AZ13">
        <f t="shared" si="9"/>
        <v>6</v>
      </c>
      <c r="BA13">
        <f t="shared" ref="BA13:BF13" si="29">SUM(AL13)</f>
        <v>0.7</v>
      </c>
      <c r="BB13">
        <f t="shared" si="29"/>
        <v>1.6</v>
      </c>
      <c r="BC13">
        <f t="shared" si="29"/>
        <v>1.5</v>
      </c>
      <c r="BD13">
        <f t="shared" si="29"/>
        <v>1.9</v>
      </c>
      <c r="BE13">
        <f t="shared" si="29"/>
        <v>0.01</v>
      </c>
      <c r="BF13">
        <f t="shared" si="29"/>
        <v>1.4</v>
      </c>
      <c r="BG13">
        <f t="shared" si="11"/>
        <v>14.17</v>
      </c>
      <c r="BH13" s="24">
        <v>2.0</v>
      </c>
      <c r="BI13" s="50">
        <f t="shared" si="12"/>
        <v>74.45</v>
      </c>
      <c r="BJ13" s="32">
        <v>1.0</v>
      </c>
    </row>
    <row r="14">
      <c r="A14" s="43">
        <v>419310.0</v>
      </c>
      <c r="B14" s="55" t="s">
        <v>172</v>
      </c>
      <c r="D14" s="25" t="s">
        <v>84</v>
      </c>
      <c r="E14" s="27"/>
      <c r="F14" s="27"/>
      <c r="G14" s="27" t="s">
        <v>57</v>
      </c>
      <c r="H14" s="27" t="s">
        <v>57</v>
      </c>
      <c r="I14" s="27" t="s">
        <v>173</v>
      </c>
      <c r="J14" s="27"/>
      <c r="K14" s="27"/>
      <c r="L14" s="27" t="s">
        <v>84</v>
      </c>
      <c r="N14" s="27" t="s">
        <v>57</v>
      </c>
      <c r="O14" s="27" t="s">
        <v>57</v>
      </c>
      <c r="P14" s="27"/>
      <c r="Q14" s="27"/>
      <c r="R14" s="27"/>
      <c r="S14" s="27"/>
      <c r="T14" s="27" t="s">
        <v>57</v>
      </c>
      <c r="U14" s="27"/>
      <c r="V14" s="43">
        <v>419310.0</v>
      </c>
      <c r="W14" s="36">
        <v>9.0</v>
      </c>
      <c r="X14" s="36">
        <v>1.0</v>
      </c>
      <c r="Y14" s="134" t="s">
        <v>67</v>
      </c>
      <c r="Z14" s="28">
        <v>228.0</v>
      </c>
      <c r="AA14" s="36">
        <v>8.0</v>
      </c>
      <c r="AB14" s="36">
        <v>1.0</v>
      </c>
      <c r="AC14" s="36">
        <v>28.11</v>
      </c>
      <c r="AD14" s="28">
        <v>8282.0</v>
      </c>
      <c r="AE14" s="36">
        <v>9.0</v>
      </c>
      <c r="AF14" s="36">
        <v>1.0</v>
      </c>
      <c r="AG14" s="36">
        <v>29.12</v>
      </c>
      <c r="AH14" s="28">
        <v>444.0</v>
      </c>
      <c r="AI14" s="36">
        <v>8.0</v>
      </c>
      <c r="AK14" s="36">
        <v>24.02</v>
      </c>
      <c r="AL14" s="28">
        <v>0.7</v>
      </c>
      <c r="AR14" s="36">
        <v>6.0</v>
      </c>
      <c r="AS14" s="36">
        <v>6.0</v>
      </c>
      <c r="AT14" s="28">
        <f t="shared" si="27"/>
        <v>12</v>
      </c>
      <c r="AU14" s="21">
        <f t="shared" ref="AU14:AV14" si="30">SUM(AR14)</f>
        <v>6</v>
      </c>
      <c r="AV14">
        <f t="shared" si="30"/>
        <v>6</v>
      </c>
      <c r="AW14">
        <f t="shared" si="6"/>
        <v>10</v>
      </c>
      <c r="AX14">
        <f t="shared" si="7"/>
        <v>9</v>
      </c>
      <c r="AY14">
        <f t="shared" si="8"/>
        <v>10</v>
      </c>
      <c r="AZ14">
        <f t="shared" si="9"/>
        <v>8</v>
      </c>
      <c r="BA14">
        <f t="shared" ref="BA14:BF14" si="31">SUM(AL14)</f>
        <v>0.7</v>
      </c>
      <c r="BB14">
        <f t="shared" si="31"/>
        <v>0</v>
      </c>
      <c r="BC14">
        <f t="shared" si="31"/>
        <v>0</v>
      </c>
      <c r="BD14">
        <f t="shared" si="31"/>
        <v>0</v>
      </c>
      <c r="BE14">
        <f t="shared" si="31"/>
        <v>0</v>
      </c>
      <c r="BF14">
        <f t="shared" si="31"/>
        <v>0</v>
      </c>
      <c r="BG14">
        <f t="shared" si="11"/>
        <v>12</v>
      </c>
      <c r="BH14" s="4"/>
      <c r="BI14" s="50">
        <f t="shared" si="12"/>
        <v>61.7</v>
      </c>
      <c r="BJ14" s="32">
        <v>2.0</v>
      </c>
    </row>
    <row r="15">
      <c r="A15" s="43">
        <v>467306.0</v>
      </c>
      <c r="B15" s="55" t="s">
        <v>174</v>
      </c>
      <c r="C15" s="4"/>
      <c r="D15" s="25" t="s">
        <v>84</v>
      </c>
      <c r="E15" s="27" t="s">
        <v>84</v>
      </c>
      <c r="F15" s="27"/>
      <c r="G15" s="27" t="s">
        <v>84</v>
      </c>
      <c r="H15" s="27" t="s">
        <v>57</v>
      </c>
      <c r="I15" s="27" t="s">
        <v>61</v>
      </c>
      <c r="J15" s="27" t="s">
        <v>57</v>
      </c>
      <c r="K15" s="27"/>
      <c r="L15" s="27"/>
      <c r="N15" s="27" t="s">
        <v>57</v>
      </c>
      <c r="O15" s="27" t="s">
        <v>57</v>
      </c>
      <c r="P15" s="27" t="s">
        <v>57</v>
      </c>
      <c r="Q15" s="27" t="s">
        <v>170</v>
      </c>
      <c r="R15" s="27"/>
      <c r="S15" s="27" t="s">
        <v>57</v>
      </c>
      <c r="T15" s="27" t="s">
        <v>57</v>
      </c>
      <c r="U15" s="27"/>
      <c r="V15" s="43">
        <v>467306.0</v>
      </c>
      <c r="W15" s="36">
        <v>8.0</v>
      </c>
      <c r="X15" s="36">
        <v>1.0</v>
      </c>
      <c r="Y15" s="134" t="s">
        <v>67</v>
      </c>
      <c r="Z15" s="28">
        <v>2939.0</v>
      </c>
      <c r="AA15" s="36">
        <v>9.0</v>
      </c>
      <c r="AB15" s="36">
        <v>2.0</v>
      </c>
      <c r="AC15" s="134" t="s">
        <v>58</v>
      </c>
      <c r="AD15" s="28">
        <v>666.0</v>
      </c>
      <c r="AE15" s="36">
        <v>8.0</v>
      </c>
      <c r="AF15" s="36">
        <v>1.0</v>
      </c>
      <c r="AG15" s="24">
        <v>5.12</v>
      </c>
      <c r="AH15" s="28">
        <v>93122.0</v>
      </c>
      <c r="AI15" s="36">
        <v>7.0</v>
      </c>
      <c r="AJ15" s="36">
        <v>1.0</v>
      </c>
      <c r="AK15" s="24">
        <v>29.12</v>
      </c>
      <c r="AL15" s="28">
        <v>1.0</v>
      </c>
      <c r="AN15" s="36">
        <v>0.6</v>
      </c>
      <c r="AO15" s="36">
        <v>2.0</v>
      </c>
      <c r="AQ15" s="36">
        <v>0.4</v>
      </c>
      <c r="AR15" s="36">
        <v>7.0</v>
      </c>
      <c r="AS15" s="24">
        <v>6.75</v>
      </c>
      <c r="AT15" s="28">
        <f t="shared" si="27"/>
        <v>13.75</v>
      </c>
      <c r="AU15" s="21">
        <f t="shared" ref="AU15:AV15" si="32">SUM(AR15)</f>
        <v>7</v>
      </c>
      <c r="AV15">
        <f t="shared" si="32"/>
        <v>6.75</v>
      </c>
      <c r="AW15">
        <f t="shared" si="6"/>
        <v>9</v>
      </c>
      <c r="AX15">
        <f t="shared" si="7"/>
        <v>11</v>
      </c>
      <c r="AY15">
        <f t="shared" si="8"/>
        <v>9</v>
      </c>
      <c r="AZ15">
        <f t="shared" si="9"/>
        <v>8</v>
      </c>
      <c r="BA15">
        <f t="shared" ref="BA15:BF15" si="33">SUM(AL15)</f>
        <v>1</v>
      </c>
      <c r="BB15">
        <f t="shared" si="33"/>
        <v>0</v>
      </c>
      <c r="BC15">
        <f t="shared" si="33"/>
        <v>0.6</v>
      </c>
      <c r="BD15">
        <f t="shared" si="33"/>
        <v>2</v>
      </c>
      <c r="BE15">
        <f t="shared" si="33"/>
        <v>0</v>
      </c>
      <c r="BF15">
        <f t="shared" si="33"/>
        <v>0.4</v>
      </c>
      <c r="BG15">
        <f t="shared" si="11"/>
        <v>13.75</v>
      </c>
      <c r="BH15" s="4"/>
      <c r="BI15" s="50">
        <f t="shared" si="12"/>
        <v>68.5</v>
      </c>
      <c r="BJ15" s="32">
        <v>1.0</v>
      </c>
    </row>
    <row r="16">
      <c r="A16" s="43">
        <v>467727.0</v>
      </c>
      <c r="B16" s="55" t="s">
        <v>175</v>
      </c>
      <c r="C16" s="4"/>
      <c r="D16" s="25" t="s">
        <v>84</v>
      </c>
      <c r="E16" s="27" t="s">
        <v>61</v>
      </c>
      <c r="F16" s="27" t="s">
        <v>61</v>
      </c>
      <c r="G16" s="27"/>
      <c r="H16" s="27"/>
      <c r="I16" s="27" t="s">
        <v>57</v>
      </c>
      <c r="J16" s="27" t="s">
        <v>170</v>
      </c>
      <c r="K16" s="27"/>
      <c r="L16" s="27"/>
      <c r="N16" s="27" t="s">
        <v>57</v>
      </c>
      <c r="O16" s="27" t="s">
        <v>57</v>
      </c>
      <c r="P16" s="27" t="s">
        <v>57</v>
      </c>
      <c r="Q16" s="27" t="s">
        <v>158</v>
      </c>
      <c r="R16" s="27"/>
      <c r="S16" s="27" t="s">
        <v>84</v>
      </c>
      <c r="T16" s="27"/>
      <c r="U16" s="27"/>
      <c r="V16" s="43">
        <v>467727.0</v>
      </c>
      <c r="W16" s="36">
        <v>9.0</v>
      </c>
      <c r="X16" s="36">
        <v>1.0</v>
      </c>
      <c r="Y16" s="24">
        <v>19.09</v>
      </c>
      <c r="Z16" s="28">
        <v>929292.0</v>
      </c>
      <c r="AA16" s="36">
        <v>10.0</v>
      </c>
      <c r="AB16" s="36">
        <v>2.0</v>
      </c>
      <c r="AC16" s="134" t="s">
        <v>67</v>
      </c>
      <c r="AD16" s="28">
        <v>17010.0</v>
      </c>
      <c r="AE16" s="36">
        <v>9.5</v>
      </c>
      <c r="AF16" s="36">
        <v>1.0</v>
      </c>
      <c r="AG16" s="24">
        <v>28.11</v>
      </c>
      <c r="AH16" s="28">
        <v>8282.0</v>
      </c>
      <c r="AI16" s="36">
        <v>8.0</v>
      </c>
      <c r="AJ16" s="36">
        <v>1.0</v>
      </c>
      <c r="AK16" s="24">
        <v>5.12</v>
      </c>
      <c r="AL16" s="28">
        <v>0.6</v>
      </c>
      <c r="AM16" s="36">
        <v>0.5</v>
      </c>
      <c r="AP16" s="36">
        <v>1.2</v>
      </c>
      <c r="AQ16" s="36">
        <v>1.4</v>
      </c>
      <c r="AR16" s="36">
        <v>8.0</v>
      </c>
      <c r="AS16" s="24">
        <v>6.5</v>
      </c>
      <c r="AT16" s="28">
        <f t="shared" si="27"/>
        <v>14.5</v>
      </c>
      <c r="AU16" s="21">
        <f t="shared" ref="AU16:AV16" si="34">SUM(AR16)</f>
        <v>8</v>
      </c>
      <c r="AV16">
        <f t="shared" si="34"/>
        <v>6.5</v>
      </c>
      <c r="AW16">
        <f t="shared" si="6"/>
        <v>10</v>
      </c>
      <c r="AX16">
        <f t="shared" si="7"/>
        <v>12</v>
      </c>
      <c r="AY16">
        <f t="shared" si="8"/>
        <v>10.5</v>
      </c>
      <c r="AZ16">
        <f t="shared" si="9"/>
        <v>9</v>
      </c>
      <c r="BA16">
        <f t="shared" ref="BA16:BF16" si="35">SUM(AL16)</f>
        <v>0.6</v>
      </c>
      <c r="BB16">
        <f t="shared" si="35"/>
        <v>0.5</v>
      </c>
      <c r="BC16">
        <f t="shared" si="35"/>
        <v>0</v>
      </c>
      <c r="BD16">
        <f t="shared" si="35"/>
        <v>0</v>
      </c>
      <c r="BE16">
        <f t="shared" si="35"/>
        <v>1.2</v>
      </c>
      <c r="BF16">
        <f t="shared" si="35"/>
        <v>1.4</v>
      </c>
      <c r="BG16">
        <f t="shared" si="11"/>
        <v>14.5</v>
      </c>
      <c r="BH16" s="4"/>
      <c r="BI16" s="50">
        <f t="shared" si="12"/>
        <v>74.2</v>
      </c>
      <c r="BJ16" s="32">
        <v>1.0</v>
      </c>
    </row>
    <row r="17">
      <c r="A17" s="43">
        <v>468133.0</v>
      </c>
      <c r="B17" s="55" t="s">
        <v>176</v>
      </c>
      <c r="D17" s="36" t="s">
        <v>84</v>
      </c>
      <c r="I17" s="36" t="s">
        <v>57</v>
      </c>
      <c r="L17" s="36" t="s">
        <v>57</v>
      </c>
      <c r="N17" s="36" t="s">
        <v>57</v>
      </c>
      <c r="S17" s="36" t="s">
        <v>57</v>
      </c>
      <c r="V17" s="43">
        <v>468133.0</v>
      </c>
      <c r="W17" s="36">
        <v>10.0</v>
      </c>
      <c r="X17" s="36">
        <v>1.0</v>
      </c>
      <c r="Y17" s="134" t="s">
        <v>163</v>
      </c>
      <c r="Z17" s="28">
        <v>34232.0</v>
      </c>
      <c r="AA17" s="36">
        <v>10.0</v>
      </c>
      <c r="AB17" s="36">
        <v>2.0</v>
      </c>
      <c r="AC17" s="24">
        <v>19.12</v>
      </c>
      <c r="AD17" s="28">
        <v>7884.0</v>
      </c>
      <c r="AG17" s="38"/>
      <c r="AH17" s="21"/>
      <c r="AK17" s="38"/>
      <c r="AL17" s="21"/>
      <c r="AR17" s="36">
        <v>0.01</v>
      </c>
      <c r="AS17" s="24">
        <v>7.0</v>
      </c>
      <c r="AT17" s="28"/>
      <c r="AU17" s="21">
        <f t="shared" ref="AU17:AV17" si="36">SUM(AR17)</f>
        <v>0.01</v>
      </c>
      <c r="AV17">
        <f t="shared" si="36"/>
        <v>7</v>
      </c>
      <c r="AW17">
        <f t="shared" si="6"/>
        <v>11</v>
      </c>
      <c r="AX17">
        <f t="shared" si="7"/>
        <v>12</v>
      </c>
      <c r="AY17">
        <f t="shared" si="8"/>
        <v>0</v>
      </c>
      <c r="AZ17">
        <f t="shared" si="9"/>
        <v>0</v>
      </c>
      <c r="BA17">
        <f t="shared" ref="BA17:BF17" si="37">SUM(AL17)</f>
        <v>0</v>
      </c>
      <c r="BB17">
        <f t="shared" si="37"/>
        <v>0</v>
      </c>
      <c r="BC17">
        <f t="shared" si="37"/>
        <v>0</v>
      </c>
      <c r="BD17">
        <f t="shared" si="37"/>
        <v>0</v>
      </c>
      <c r="BE17">
        <f t="shared" si="37"/>
        <v>0</v>
      </c>
      <c r="BF17">
        <f t="shared" si="37"/>
        <v>0</v>
      </c>
      <c r="BG17">
        <f t="shared" si="11"/>
        <v>0</v>
      </c>
      <c r="BH17" s="4"/>
      <c r="BI17" s="50">
        <f t="shared" si="12"/>
        <v>30.01</v>
      </c>
      <c r="BJ17" s="32"/>
    </row>
    <row r="18">
      <c r="A18" s="51">
        <v>468012.0</v>
      </c>
      <c r="B18" s="44" t="s">
        <v>177</v>
      </c>
      <c r="D18" s="36"/>
      <c r="E18" s="36" t="s">
        <v>84</v>
      </c>
      <c r="F18" s="36" t="s">
        <v>61</v>
      </c>
      <c r="G18" s="36" t="s">
        <v>57</v>
      </c>
      <c r="H18" s="36" t="s">
        <v>84</v>
      </c>
      <c r="I18" s="36" t="s">
        <v>57</v>
      </c>
      <c r="J18" s="36" t="s">
        <v>57</v>
      </c>
      <c r="K18" s="36" t="s">
        <v>57</v>
      </c>
      <c r="L18" s="36" t="s">
        <v>57</v>
      </c>
      <c r="O18" s="36" t="s">
        <v>57</v>
      </c>
      <c r="P18" s="36" t="s">
        <v>158</v>
      </c>
      <c r="Q18" s="36" t="s">
        <v>57</v>
      </c>
      <c r="S18" s="36" t="s">
        <v>84</v>
      </c>
      <c r="V18" s="49">
        <v>468012.0</v>
      </c>
      <c r="W18" s="36">
        <v>9.0</v>
      </c>
      <c r="X18" s="36">
        <v>1.5</v>
      </c>
      <c r="Y18" s="36">
        <v>19.09</v>
      </c>
      <c r="Z18" s="36">
        <v>541221.0</v>
      </c>
      <c r="AA18" s="36">
        <v>10.0</v>
      </c>
      <c r="AB18" s="36">
        <v>2.0</v>
      </c>
      <c r="AC18" s="134" t="s">
        <v>161</v>
      </c>
      <c r="AD18" s="36">
        <v>9292.0</v>
      </c>
      <c r="AE18" s="36">
        <v>10.0</v>
      </c>
      <c r="AF18" s="36">
        <v>1.0</v>
      </c>
      <c r="AG18" s="134" t="s">
        <v>58</v>
      </c>
      <c r="AH18" s="36">
        <v>2812.0</v>
      </c>
      <c r="AI18" s="36">
        <v>9.0</v>
      </c>
      <c r="AJ18" s="36">
        <v>2.0</v>
      </c>
      <c r="AK18" s="36">
        <v>5.12</v>
      </c>
      <c r="AL18" s="36">
        <v>0.8</v>
      </c>
      <c r="AM18" s="36">
        <v>0.7</v>
      </c>
      <c r="AO18" s="36">
        <v>0.9</v>
      </c>
      <c r="AP18" s="36">
        <v>1.6</v>
      </c>
      <c r="AQ18" s="36">
        <v>0.01</v>
      </c>
      <c r="AR18" s="36">
        <v>7.5</v>
      </c>
      <c r="AS18" s="36">
        <v>6.75</v>
      </c>
      <c r="AT18" s="28">
        <f t="shared" ref="AT18:AT19" si="40">SUM(AR18:AS18)</f>
        <v>14.25</v>
      </c>
      <c r="AU18" s="21">
        <f t="shared" ref="AU18:AV18" si="38">SUM(AR18)</f>
        <v>7.5</v>
      </c>
      <c r="AV18">
        <f t="shared" si="38"/>
        <v>6.75</v>
      </c>
      <c r="AW18">
        <f t="shared" si="6"/>
        <v>10.5</v>
      </c>
      <c r="AX18">
        <f t="shared" si="7"/>
        <v>12</v>
      </c>
      <c r="AY18">
        <f t="shared" si="8"/>
        <v>11</v>
      </c>
      <c r="AZ18">
        <f t="shared" si="9"/>
        <v>11</v>
      </c>
      <c r="BA18">
        <f t="shared" ref="BA18:BF18" si="39">SUM(AL18)</f>
        <v>0.8</v>
      </c>
      <c r="BB18">
        <f t="shared" si="39"/>
        <v>0.7</v>
      </c>
      <c r="BC18">
        <f t="shared" si="39"/>
        <v>0</v>
      </c>
      <c r="BD18">
        <f t="shared" si="39"/>
        <v>0.9</v>
      </c>
      <c r="BE18">
        <f t="shared" si="39"/>
        <v>1.6</v>
      </c>
      <c r="BF18">
        <f t="shared" si="39"/>
        <v>0.01</v>
      </c>
      <c r="BG18">
        <f t="shared" si="11"/>
        <v>14.25</v>
      </c>
      <c r="BH18" s="4"/>
      <c r="BI18" s="50">
        <f t="shared" si="12"/>
        <v>77.01</v>
      </c>
      <c r="BJ18" s="32">
        <v>1.0</v>
      </c>
    </row>
    <row r="19">
      <c r="A19" s="36">
        <v>468013.0</v>
      </c>
      <c r="B19" s="36" t="s">
        <v>178</v>
      </c>
      <c r="E19" s="36" t="s">
        <v>57</v>
      </c>
      <c r="F19" s="36" t="s">
        <v>61</v>
      </c>
      <c r="G19" s="36" t="s">
        <v>57</v>
      </c>
      <c r="H19" s="36" t="s">
        <v>57</v>
      </c>
      <c r="I19" s="36" t="s">
        <v>57</v>
      </c>
      <c r="J19" s="36" t="s">
        <v>57</v>
      </c>
      <c r="K19" s="36" t="s">
        <v>57</v>
      </c>
      <c r="L19" s="36" t="s">
        <v>57</v>
      </c>
      <c r="O19" s="36" t="s">
        <v>57</v>
      </c>
      <c r="P19" s="36" t="s">
        <v>158</v>
      </c>
      <c r="Q19" s="36" t="s">
        <v>57</v>
      </c>
      <c r="S19" s="36" t="s">
        <v>84</v>
      </c>
      <c r="V19" s="49">
        <v>468013.0</v>
      </c>
      <c r="W19" s="36">
        <v>9.0</v>
      </c>
      <c r="X19" s="36">
        <v>2.0</v>
      </c>
      <c r="Y19" s="36">
        <v>19.09</v>
      </c>
      <c r="Z19" s="36">
        <v>115341.0</v>
      </c>
      <c r="AA19" s="36">
        <v>10.0</v>
      </c>
      <c r="AB19" s="36">
        <v>2.0</v>
      </c>
      <c r="AC19" s="134" t="s">
        <v>161</v>
      </c>
      <c r="AD19" s="36">
        <v>4949.0</v>
      </c>
      <c r="AE19" s="36">
        <v>10.0</v>
      </c>
      <c r="AF19" s="36">
        <v>2.0</v>
      </c>
      <c r="AG19" s="134" t="s">
        <v>58</v>
      </c>
      <c r="AH19" s="36">
        <v>98282.0</v>
      </c>
      <c r="AI19" s="36">
        <v>9.0</v>
      </c>
      <c r="AJ19" s="36">
        <v>2.0</v>
      </c>
      <c r="AK19" s="36">
        <v>5.12</v>
      </c>
      <c r="AL19" s="36">
        <v>0.6</v>
      </c>
      <c r="AM19" s="36">
        <v>0.01</v>
      </c>
      <c r="AO19" s="36">
        <v>0.3</v>
      </c>
      <c r="AP19" s="36">
        <v>1.6</v>
      </c>
      <c r="AQ19" s="36">
        <v>0.8</v>
      </c>
      <c r="AR19" s="36">
        <v>7.0</v>
      </c>
      <c r="AS19" s="36">
        <v>7.42</v>
      </c>
      <c r="AT19" s="28">
        <f t="shared" si="40"/>
        <v>14.42</v>
      </c>
      <c r="AU19" s="21">
        <f t="shared" ref="AU19:AV19" si="41">SUM(AR19)</f>
        <v>7</v>
      </c>
      <c r="AV19">
        <f t="shared" si="41"/>
        <v>7.42</v>
      </c>
      <c r="AW19">
        <f t="shared" si="6"/>
        <v>11</v>
      </c>
      <c r="AX19">
        <f t="shared" si="7"/>
        <v>12</v>
      </c>
      <c r="AY19">
        <f t="shared" si="8"/>
        <v>12</v>
      </c>
      <c r="AZ19">
        <f t="shared" si="9"/>
        <v>11</v>
      </c>
      <c r="BA19">
        <f t="shared" ref="BA19:BF19" si="42">SUM(AL19)</f>
        <v>0.6</v>
      </c>
      <c r="BB19">
        <f t="shared" si="42"/>
        <v>0.01</v>
      </c>
      <c r="BC19">
        <f t="shared" si="42"/>
        <v>0</v>
      </c>
      <c r="BD19">
        <f t="shared" si="42"/>
        <v>0.3</v>
      </c>
      <c r="BE19">
        <f t="shared" si="42"/>
        <v>1.6</v>
      </c>
      <c r="BF19">
        <f t="shared" si="42"/>
        <v>0.8</v>
      </c>
      <c r="BG19">
        <f t="shared" si="11"/>
        <v>14.42</v>
      </c>
      <c r="BH19" s="4"/>
      <c r="BI19" s="50">
        <f t="shared" si="12"/>
        <v>78.15</v>
      </c>
      <c r="BJ19" s="32">
        <v>1.0</v>
      </c>
    </row>
    <row r="20">
      <c r="A20" s="36"/>
      <c r="B20" s="36"/>
      <c r="E20" s="36"/>
      <c r="F20" s="36"/>
      <c r="G20" s="36"/>
      <c r="H20" s="36"/>
      <c r="I20" s="36"/>
      <c r="J20" s="36"/>
      <c r="K20" s="36"/>
      <c r="L20" s="36"/>
      <c r="M20" s="133"/>
      <c r="O20" s="36"/>
      <c r="P20" s="36"/>
      <c r="Q20" s="36"/>
      <c r="S20" s="36"/>
      <c r="V20" s="49"/>
      <c r="W20" s="36"/>
      <c r="X20" s="36"/>
      <c r="Y20" s="36"/>
      <c r="Z20" s="36"/>
      <c r="AA20" s="36"/>
      <c r="AB20" s="36"/>
      <c r="AC20" s="136"/>
      <c r="AD20" s="36"/>
      <c r="AE20" s="36"/>
      <c r="AF20" s="36"/>
      <c r="AG20" s="136"/>
      <c r="AH20" s="36"/>
      <c r="AI20" s="36"/>
      <c r="AJ20" s="36"/>
      <c r="AK20" s="36"/>
      <c r="AP20" s="36"/>
      <c r="AQ20" s="36"/>
      <c r="AR20" s="36"/>
      <c r="AS20" s="36"/>
      <c r="AT20" s="36"/>
      <c r="BI20" s="39"/>
      <c r="BJ20" s="32"/>
    </row>
    <row r="21">
      <c r="A21" s="36"/>
      <c r="B21" s="36"/>
      <c r="E21" s="36"/>
      <c r="F21" s="36"/>
      <c r="G21" s="36"/>
      <c r="H21" s="36"/>
      <c r="I21" s="36"/>
      <c r="J21" s="36"/>
      <c r="K21" s="36"/>
      <c r="L21" s="36"/>
      <c r="M21" s="133"/>
      <c r="O21" s="36"/>
      <c r="P21" s="36"/>
      <c r="Q21" s="36"/>
      <c r="S21" s="36"/>
      <c r="V21" s="49"/>
      <c r="W21" s="36"/>
      <c r="X21" s="36"/>
      <c r="Y21" s="36"/>
      <c r="Z21" s="36"/>
      <c r="AA21" s="36"/>
      <c r="AB21" s="36"/>
      <c r="AC21" s="136"/>
      <c r="AD21" s="36"/>
      <c r="AE21" s="36"/>
      <c r="AF21" s="36"/>
      <c r="AG21" s="136"/>
      <c r="AH21" s="36"/>
      <c r="AI21" s="36"/>
      <c r="AJ21" s="36"/>
      <c r="AK21" s="36"/>
      <c r="AP21" s="36"/>
      <c r="AQ21" s="36"/>
      <c r="AR21" s="36">
        <f t="shared" ref="AR21:AS21" si="43">COUNTA($B$4:$B$19)-COUNTIF(AR4:AR19,"&gt;=6")</f>
        <v>1</v>
      </c>
      <c r="AS21" s="36">
        <f t="shared" si="43"/>
        <v>0</v>
      </c>
      <c r="AT21" s="36"/>
      <c r="BI21" s="39"/>
      <c r="BJ21" s="32"/>
    </row>
    <row r="22">
      <c r="A22" s="43">
        <v>489380.0</v>
      </c>
      <c r="B22" s="69" t="s">
        <v>179</v>
      </c>
      <c r="C22" s="24"/>
      <c r="D22" s="25"/>
      <c r="E22" s="27"/>
      <c r="F22" s="27"/>
      <c r="G22" s="27"/>
      <c r="H22" s="27"/>
      <c r="I22" s="27"/>
      <c r="J22" s="27"/>
      <c r="K22" s="27"/>
      <c r="L22" s="27"/>
      <c r="M22" s="133"/>
      <c r="N22" s="27"/>
      <c r="O22" s="27"/>
      <c r="P22" s="27"/>
      <c r="Q22" s="27"/>
      <c r="R22" s="27"/>
      <c r="S22" s="27"/>
      <c r="T22" s="27"/>
      <c r="U22" s="27"/>
      <c r="V22" s="43">
        <v>489380.0</v>
      </c>
      <c r="Y22" s="24"/>
      <c r="Z22" s="28"/>
      <c r="AC22" s="67"/>
      <c r="AD22" s="28"/>
      <c r="AG22" s="24"/>
      <c r="AH22" s="28"/>
      <c r="AK22" s="68"/>
      <c r="AL22" s="28"/>
      <c r="AS22" s="24"/>
      <c r="AT22" s="30"/>
      <c r="AU22">
        <f t="shared" ref="AU22:AV22" si="44">SUM(AR22)</f>
        <v>0</v>
      </c>
      <c r="AV22">
        <f t="shared" si="44"/>
        <v>0</v>
      </c>
      <c r="AW22" s="21">
        <f t="shared" ref="AW22:AW26" si="47">SUM(W22,X22)</f>
        <v>0</v>
      </c>
      <c r="AX22">
        <f t="shared" ref="AX22:AX26" si="48">SUM(AA22,AB22)</f>
        <v>0</v>
      </c>
      <c r="AY22">
        <f t="shared" ref="AY22:AY26" si="49">SUM(AE22,AF22)</f>
        <v>0</v>
      </c>
      <c r="AZ22">
        <f t="shared" ref="AZ22:AZ26" si="50">SUM(AI22,AJ22)</f>
        <v>0</v>
      </c>
      <c r="BA22">
        <f t="shared" ref="BA22:BF22" si="45">SUM(AL22)</f>
        <v>0</v>
      </c>
      <c r="BB22">
        <f t="shared" si="45"/>
        <v>0</v>
      </c>
      <c r="BC22">
        <f t="shared" si="45"/>
        <v>0</v>
      </c>
      <c r="BD22">
        <f t="shared" si="45"/>
        <v>0</v>
      </c>
      <c r="BE22">
        <f t="shared" si="45"/>
        <v>0</v>
      </c>
      <c r="BF22">
        <f t="shared" si="45"/>
        <v>0</v>
      </c>
      <c r="BG22">
        <f t="shared" ref="BG22:BG26" si="52">SUM(AT22)</f>
        <v>0</v>
      </c>
      <c r="BI22" s="31">
        <f t="shared" ref="BI22:BI26" si="53">SUM(AW22:BH22)</f>
        <v>0</v>
      </c>
      <c r="BJ22" s="32"/>
    </row>
    <row r="23">
      <c r="A23" s="43">
        <v>489388.0</v>
      </c>
      <c r="B23" s="69" t="s">
        <v>180</v>
      </c>
      <c r="C23" s="4"/>
      <c r="D23" s="25"/>
      <c r="E23" s="27"/>
      <c r="F23" s="27"/>
      <c r="G23" s="27"/>
      <c r="H23" s="27"/>
      <c r="I23" s="27"/>
      <c r="J23" s="27"/>
      <c r="K23" s="27"/>
      <c r="L23" s="27"/>
      <c r="M23" s="133"/>
      <c r="N23" s="27"/>
      <c r="O23" s="27"/>
      <c r="P23" s="27"/>
      <c r="Q23" s="27"/>
      <c r="R23" s="27"/>
      <c r="S23" s="27"/>
      <c r="T23" s="27"/>
      <c r="U23" s="27"/>
      <c r="V23" s="43">
        <v>489388.0</v>
      </c>
      <c r="W23" s="58"/>
      <c r="X23" s="58"/>
      <c r="Y23" s="132"/>
      <c r="Z23" s="60"/>
      <c r="AA23" s="58"/>
      <c r="AB23" s="58"/>
      <c r="AC23" s="132"/>
      <c r="AD23" s="60"/>
      <c r="AG23" s="24"/>
      <c r="AH23" s="28"/>
      <c r="AK23" s="63"/>
      <c r="AL23" s="21"/>
      <c r="AS23" s="24"/>
      <c r="AT23" s="30"/>
      <c r="AU23">
        <f t="shared" ref="AU23:AV23" si="46">SUM(AR23)</f>
        <v>0</v>
      </c>
      <c r="AV23">
        <f t="shared" si="46"/>
        <v>0</v>
      </c>
      <c r="AW23" s="21">
        <f t="shared" si="47"/>
        <v>0</v>
      </c>
      <c r="AX23">
        <f t="shared" si="48"/>
        <v>0</v>
      </c>
      <c r="AY23">
        <f t="shared" si="49"/>
        <v>0</v>
      </c>
      <c r="AZ23">
        <f t="shared" si="50"/>
        <v>0</v>
      </c>
      <c r="BA23">
        <f t="shared" ref="BA23:BF23" si="51">SUM(AL23)</f>
        <v>0</v>
      </c>
      <c r="BB23">
        <f t="shared" si="51"/>
        <v>0</v>
      </c>
      <c r="BC23">
        <f t="shared" si="51"/>
        <v>0</v>
      </c>
      <c r="BD23">
        <f t="shared" si="51"/>
        <v>0</v>
      </c>
      <c r="BE23">
        <f t="shared" si="51"/>
        <v>0</v>
      </c>
      <c r="BF23">
        <f t="shared" si="51"/>
        <v>0</v>
      </c>
      <c r="BG23">
        <f t="shared" si="52"/>
        <v>0</v>
      </c>
      <c r="BI23" s="31">
        <f t="shared" si="53"/>
        <v>0</v>
      </c>
      <c r="BJ23" s="32"/>
    </row>
    <row r="24">
      <c r="A24" s="43">
        <v>472094.0</v>
      </c>
      <c r="B24" s="69" t="s">
        <v>181</v>
      </c>
      <c r="C24" s="24"/>
      <c r="D24" s="25" t="s">
        <v>84</v>
      </c>
      <c r="E24" s="27" t="s">
        <v>84</v>
      </c>
      <c r="F24" s="27" t="s">
        <v>84</v>
      </c>
      <c r="G24" s="27"/>
      <c r="H24" s="27"/>
      <c r="I24" s="27"/>
      <c r="J24" s="27"/>
      <c r="K24" s="27"/>
      <c r="L24" s="27"/>
      <c r="M24" s="133"/>
      <c r="N24" s="27"/>
      <c r="O24" s="27"/>
      <c r="P24" s="27"/>
      <c r="Q24" s="27"/>
      <c r="R24" s="27"/>
      <c r="S24" s="27"/>
      <c r="T24" s="27"/>
      <c r="U24" s="27"/>
      <c r="V24" s="43">
        <v>472094.0</v>
      </c>
      <c r="Y24" s="67"/>
      <c r="Z24" s="28"/>
      <c r="AC24" s="24"/>
      <c r="AD24" s="28"/>
      <c r="AG24" s="68"/>
      <c r="AH24" s="28"/>
      <c r="AK24" s="24"/>
      <c r="AL24" s="28">
        <v>0.5</v>
      </c>
      <c r="AS24" s="24"/>
      <c r="AT24" s="30"/>
      <c r="AU24">
        <f t="shared" ref="AU24:AV24" si="54">SUM(AR24)</f>
        <v>0</v>
      </c>
      <c r="AV24">
        <f t="shared" si="54"/>
        <v>0</v>
      </c>
      <c r="AW24" s="21">
        <f t="shared" si="47"/>
        <v>0</v>
      </c>
      <c r="AX24">
        <f t="shared" si="48"/>
        <v>0</v>
      </c>
      <c r="AY24">
        <f t="shared" si="49"/>
        <v>0</v>
      </c>
      <c r="AZ24">
        <f t="shared" si="50"/>
        <v>0</v>
      </c>
      <c r="BA24">
        <f t="shared" ref="BA24:BF24" si="55">SUM(AL24)</f>
        <v>0.5</v>
      </c>
      <c r="BB24">
        <f t="shared" si="55"/>
        <v>0</v>
      </c>
      <c r="BC24">
        <f t="shared" si="55"/>
        <v>0</v>
      </c>
      <c r="BD24">
        <f t="shared" si="55"/>
        <v>0</v>
      </c>
      <c r="BE24">
        <f t="shared" si="55"/>
        <v>0</v>
      </c>
      <c r="BF24">
        <f t="shared" si="55"/>
        <v>0</v>
      </c>
      <c r="BG24">
        <f t="shared" si="52"/>
        <v>0</v>
      </c>
      <c r="BI24" s="31">
        <f t="shared" si="53"/>
        <v>0.5</v>
      </c>
      <c r="BJ24" s="32"/>
    </row>
    <row r="25">
      <c r="A25" s="43">
        <v>409364.0</v>
      </c>
      <c r="B25" s="69" t="s">
        <v>182</v>
      </c>
      <c r="C25" s="24"/>
      <c r="D25" s="25" t="s">
        <v>84</v>
      </c>
      <c r="E25" s="27"/>
      <c r="F25" s="27"/>
      <c r="G25" s="27"/>
      <c r="H25" s="27"/>
      <c r="I25" s="27"/>
      <c r="J25" s="27"/>
      <c r="K25" s="27"/>
      <c r="L25" s="27"/>
      <c r="M25" s="133"/>
      <c r="N25" s="27"/>
      <c r="O25" s="27"/>
      <c r="P25" s="27"/>
      <c r="Q25" s="27"/>
      <c r="R25" s="27"/>
      <c r="S25" s="27"/>
      <c r="T25" s="27"/>
      <c r="U25" s="27"/>
      <c r="V25" s="43">
        <v>409364.0</v>
      </c>
      <c r="Y25" s="24"/>
      <c r="Z25" s="28"/>
      <c r="AC25" s="24"/>
      <c r="AD25" s="28"/>
      <c r="AG25" s="24"/>
      <c r="AH25" s="28"/>
      <c r="AK25" s="24"/>
      <c r="AL25" s="28"/>
      <c r="AS25" s="24"/>
      <c r="AT25" s="30"/>
      <c r="AU25">
        <f t="shared" ref="AU25:AV25" si="56">SUM(AR25)</f>
        <v>0</v>
      </c>
      <c r="AV25">
        <f t="shared" si="56"/>
        <v>0</v>
      </c>
      <c r="AW25" s="21">
        <f t="shared" si="47"/>
        <v>0</v>
      </c>
      <c r="AX25">
        <f t="shared" si="48"/>
        <v>0</v>
      </c>
      <c r="AY25">
        <f t="shared" si="49"/>
        <v>0</v>
      </c>
      <c r="AZ25">
        <f t="shared" si="50"/>
        <v>0</v>
      </c>
      <c r="BA25">
        <f t="shared" ref="BA25:BF25" si="57">SUM(AL25)</f>
        <v>0</v>
      </c>
      <c r="BB25">
        <f t="shared" si="57"/>
        <v>0</v>
      </c>
      <c r="BC25">
        <f t="shared" si="57"/>
        <v>0</v>
      </c>
      <c r="BD25">
        <f t="shared" si="57"/>
        <v>0</v>
      </c>
      <c r="BE25">
        <f t="shared" si="57"/>
        <v>0</v>
      </c>
      <c r="BF25">
        <f t="shared" si="57"/>
        <v>0</v>
      </c>
      <c r="BG25">
        <f t="shared" si="52"/>
        <v>0</v>
      </c>
      <c r="BI25" s="31">
        <f t="shared" si="53"/>
        <v>0</v>
      </c>
      <c r="BJ25" s="32"/>
    </row>
    <row r="26">
      <c r="A26" s="43">
        <v>409478.0</v>
      </c>
      <c r="B26" s="69" t="s">
        <v>183</v>
      </c>
      <c r="C26" s="24"/>
      <c r="D26" s="25"/>
      <c r="E26" s="27"/>
      <c r="F26" s="27"/>
      <c r="G26" s="27"/>
      <c r="H26" s="27"/>
      <c r="I26" s="27"/>
      <c r="J26" s="27"/>
      <c r="K26" s="27"/>
      <c r="L26" s="27"/>
      <c r="M26" s="133"/>
      <c r="N26" s="27"/>
      <c r="O26" s="27"/>
      <c r="P26" s="27"/>
      <c r="Q26" s="27"/>
      <c r="R26" s="27"/>
      <c r="S26" s="27"/>
      <c r="T26" s="27"/>
      <c r="U26" s="27"/>
      <c r="V26" s="43">
        <v>409478.0</v>
      </c>
      <c r="Y26" s="24"/>
      <c r="Z26" s="28"/>
      <c r="AC26" s="24"/>
      <c r="AD26" s="28"/>
      <c r="AG26" s="24"/>
      <c r="AH26" s="28"/>
      <c r="AK26" s="33"/>
      <c r="AL26" s="28"/>
      <c r="AS26" s="24"/>
      <c r="AT26" s="30"/>
      <c r="AU26">
        <f t="shared" ref="AU26:AV26" si="58">SUM(AR26)</f>
        <v>0</v>
      </c>
      <c r="AV26">
        <f t="shared" si="58"/>
        <v>0</v>
      </c>
      <c r="AW26" s="21">
        <f t="shared" si="47"/>
        <v>0</v>
      </c>
      <c r="AX26">
        <f t="shared" si="48"/>
        <v>0</v>
      </c>
      <c r="AY26">
        <f t="shared" si="49"/>
        <v>0</v>
      </c>
      <c r="AZ26">
        <f t="shared" si="50"/>
        <v>0</v>
      </c>
      <c r="BA26">
        <f t="shared" ref="BA26:BF26" si="59">SUM(AL26)</f>
        <v>0</v>
      </c>
      <c r="BB26">
        <f t="shared" si="59"/>
        <v>0</v>
      </c>
      <c r="BC26">
        <f t="shared" si="59"/>
        <v>0</v>
      </c>
      <c r="BD26">
        <f t="shared" si="59"/>
        <v>0</v>
      </c>
      <c r="BE26">
        <f t="shared" si="59"/>
        <v>0</v>
      </c>
      <c r="BF26">
        <f t="shared" si="59"/>
        <v>0</v>
      </c>
      <c r="BG26">
        <f t="shared" si="52"/>
        <v>0</v>
      </c>
      <c r="BI26" s="31">
        <f t="shared" si="53"/>
        <v>0</v>
      </c>
      <c r="BJ26" s="32"/>
    </row>
  </sheetData>
  <mergeCells count="48">
    <mergeCell ref="AH2:AH3"/>
    <mergeCell ref="AK2:AK3"/>
    <mergeCell ref="A1:B1"/>
    <mergeCell ref="C1:C3"/>
    <mergeCell ref="D1:U1"/>
    <mergeCell ref="V1:Y1"/>
    <mergeCell ref="Z1:AC1"/>
    <mergeCell ref="AD1:AG1"/>
    <mergeCell ref="AH1:AK1"/>
    <mergeCell ref="N2:N3"/>
    <mergeCell ref="O2:O3"/>
    <mergeCell ref="M4:M19"/>
    <mergeCell ref="P2:P3"/>
    <mergeCell ref="Q2:Q3"/>
    <mergeCell ref="R2:R3"/>
    <mergeCell ref="S2:S3"/>
    <mergeCell ref="T2:T3"/>
    <mergeCell ref="U2:U3"/>
    <mergeCell ref="V2:V3"/>
    <mergeCell ref="Y2:Y3"/>
    <mergeCell ref="Z2:Z3"/>
    <mergeCell ref="AC2:AC3"/>
    <mergeCell ref="AD2:AD3"/>
    <mergeCell ref="AG2:AG3"/>
    <mergeCell ref="AR2:AR3"/>
    <mergeCell ref="AS2:AS3"/>
    <mergeCell ref="AU1:BG2"/>
    <mergeCell ref="BI1:BI3"/>
    <mergeCell ref="BJ1:BJ3"/>
    <mergeCell ref="AL2:AL3"/>
    <mergeCell ref="AM2:AM3"/>
    <mergeCell ref="AN2:AN3"/>
    <mergeCell ref="AO2:AO3"/>
    <mergeCell ref="AT2:AT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P2:AP3"/>
    <mergeCell ref="AQ2:AQ3"/>
  </mergeCells>
  <conditionalFormatting sqref="AG4">
    <cfRule type="timePeriod" dxfId="0" priority="1" timePeriod="last7Days"/>
  </conditionalFormatting>
  <conditionalFormatting sqref="AG4">
    <cfRule type="timePeriod" dxfId="0" priority="2" timePeriod="last7Days"/>
  </conditionalFormatting>
  <conditionalFormatting sqref="AG4">
    <cfRule type="timePeriod" dxfId="0" priority="3" timePeriod="last7Days"/>
  </conditionalFormatting>
  <conditionalFormatting sqref="AG4">
    <cfRule type="timePeriod" dxfId="0" priority="4" timePeriod="last7Days"/>
  </conditionalFormatting>
  <conditionalFormatting sqref="AU4:BH26">
    <cfRule type="cellIs" dxfId="1" priority="5" operator="lessThan">
      <formula>0.1</formula>
    </cfRule>
  </conditionalFormatting>
  <conditionalFormatting sqref="AU4:BH26">
    <cfRule type="cellIs" dxfId="2" priority="6" operator="greaterThan">
      <formula>0.1</formula>
    </cfRule>
  </conditionalFormatting>
  <conditionalFormatting sqref="BI4:BJ26">
    <cfRule type="cellIs" dxfId="3" priority="7" operator="between">
      <formula>60</formula>
      <formula>68</formula>
    </cfRule>
  </conditionalFormatting>
  <conditionalFormatting sqref="BI4:BJ26">
    <cfRule type="cellIs" dxfId="4" priority="8" operator="between">
      <formula>68</formula>
      <formula>74</formula>
    </cfRule>
  </conditionalFormatting>
  <conditionalFormatting sqref="BI4:BJ26">
    <cfRule type="cellIs" dxfId="2" priority="9" operator="between">
      <formula>74</formula>
      <formula>81</formula>
    </cfRule>
  </conditionalFormatting>
  <conditionalFormatting sqref="BI4:BJ26">
    <cfRule type="cellIs" dxfId="5" priority="10" operator="between">
      <formula>81</formula>
      <formula>90</formula>
    </cfRule>
  </conditionalFormatting>
  <conditionalFormatting sqref="BI4:BJ26">
    <cfRule type="cellIs" dxfId="6" priority="11" operator="greaterThan">
      <formula>90</formula>
    </cfRule>
  </conditionalFormatting>
  <conditionalFormatting sqref="G4:G11 G13 G15:G16 G22:G26">
    <cfRule type="containsText" dxfId="7" priority="12" operator="containsText" text="н">
      <formula>NOT(ISERROR(SEARCH(("н"),(G4))))</formula>
    </cfRule>
  </conditionalFormatting>
  <conditionalFormatting sqref="G4:G11 G13 G15:G16 G22:G26">
    <cfRule type="containsText" dxfId="7" priority="13" operator="containsText" text="n">
      <formula>NOT(ISERROR(SEARCH(("n"),(G4))))</formula>
    </cfRule>
  </conditionalFormatting>
  <conditionalFormatting sqref="F4:F11 F13 F15:F16 F22:F26">
    <cfRule type="containsText" dxfId="7" priority="14" operator="containsText" text="н">
      <formula>NOT(ISERROR(SEARCH(("н"),(F4))))</formula>
    </cfRule>
  </conditionalFormatting>
  <conditionalFormatting sqref="F4:F11 F13 F15:F16 F22:F26">
    <cfRule type="containsText" dxfId="7" priority="15" operator="containsText" text="n">
      <formula>NOT(ISERROR(SEARCH(("n"),(F4))))</formula>
    </cfRule>
  </conditionalFormatting>
  <conditionalFormatting sqref="W4:X4">
    <cfRule type="cellIs" dxfId="8" priority="16" operator="equal">
      <formula>0</formula>
    </cfRule>
  </conditionalFormatting>
  <conditionalFormatting sqref="AA4:AB4">
    <cfRule type="cellIs" dxfId="8" priority="17" operator="equal">
      <formula>0</formula>
    </cfRule>
  </conditionalFormatting>
  <conditionalFormatting sqref="AE4:AF4">
    <cfRule type="cellIs" dxfId="8" priority="18" operator="equal">
      <formula>0</formula>
    </cfRule>
  </conditionalFormatting>
  <conditionalFormatting sqref="AI4:AJ4">
    <cfRule type="cellIs" dxfId="8" priority="19" operator="equal">
      <formula>0</formula>
    </cfRule>
  </conditionalFormatting>
  <conditionalFormatting sqref="AL4:AS4">
    <cfRule type="cellIs" dxfId="8" priority="20" operator="equal">
      <formula>0</formula>
    </cfRule>
  </conditionalFormatting>
  <conditionalFormatting sqref="D1:U26">
    <cfRule type="containsText" dxfId="7" priority="21" operator="containsText" text="н">
      <formula>NOT(ISERROR(SEARCH(("н"),(D1))))</formula>
    </cfRule>
  </conditionalFormatting>
  <conditionalFormatting sqref="D1:U26">
    <cfRule type="containsText" dxfId="7" priority="22" operator="containsText" text="n">
      <formula>NOT(ISERROR(SEARCH(("n"),(D1))))</formula>
    </cfRule>
  </conditionalFormatting>
  <conditionalFormatting sqref="AG4">
    <cfRule type="timePeriod" dxfId="0" priority="23" timePeriod="last7Days"/>
  </conditionalFormatting>
  <conditionalFormatting sqref="AK4">
    <cfRule type="timePeriod" dxfId="0" priority="24" timePeriod="last7Days"/>
  </conditionalFormatting>
  <conditionalFormatting sqref="BI1:BJ26">
    <cfRule type="cellIs" dxfId="3" priority="25" operator="between">
      <formula>60</formula>
      <formula>68</formula>
    </cfRule>
  </conditionalFormatting>
  <conditionalFormatting sqref="AT4:AT26">
    <cfRule type="cellIs" dxfId="6" priority="26" operator="between">
      <formula>12</formula>
      <formula>1000</formula>
    </cfRule>
  </conditionalFormatting>
  <conditionalFormatting sqref="BI1:BJ26">
    <cfRule type="cellIs" dxfId="4" priority="27" operator="between">
      <formula>68</formula>
      <formula>74</formula>
    </cfRule>
  </conditionalFormatting>
  <conditionalFormatting sqref="BI1:BJ26">
    <cfRule type="cellIs" dxfId="2" priority="28" operator="between">
      <formula>74</formula>
      <formula>81</formula>
    </cfRule>
  </conditionalFormatting>
  <conditionalFormatting sqref="BI1:BJ26">
    <cfRule type="cellIs" dxfId="5" priority="29" operator="between">
      <formula>81</formula>
      <formula>90</formula>
    </cfRule>
  </conditionalFormatting>
  <conditionalFormatting sqref="BI1:BJ26">
    <cfRule type="cellIs" dxfId="6" priority="30" operator="greaterThan">
      <formula>90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20" width="2.88"/>
    <col customWidth="1" min="21" max="21" width="5.5"/>
    <col customWidth="1" min="22" max="22" width="5.0"/>
    <col customWidth="1" min="23" max="23" width="3.88"/>
    <col customWidth="1" min="24" max="24" width="4.63"/>
    <col customWidth="1" min="25" max="25" width="6.5"/>
    <col customWidth="1" min="26" max="26" width="5.13"/>
    <col customWidth="1" min="27" max="27" width="4.0"/>
    <col customWidth="1" min="28" max="28" width="5.0"/>
    <col customWidth="1" min="29" max="29" width="6.38"/>
    <col customWidth="1" min="30" max="30" width="5.13"/>
    <col customWidth="1" min="31" max="31" width="4.0"/>
    <col customWidth="1" min="32" max="32" width="5.0"/>
    <col customWidth="1" min="33" max="33" width="7.63"/>
    <col customWidth="1" min="34" max="34" width="5.0"/>
    <col customWidth="1" min="35" max="35" width="4.5"/>
    <col customWidth="1" min="36" max="36" width="5.0"/>
    <col customWidth="1" min="37" max="37" width="5.63"/>
    <col customWidth="1" min="38" max="38" width="5.13"/>
    <col customWidth="1" min="39" max="39" width="5.38"/>
    <col customWidth="1" min="40" max="40" width="5.0"/>
    <col customWidth="1" min="41" max="42" width="5.38"/>
    <col customWidth="1" min="43" max="44" width="5.88"/>
    <col customWidth="1" min="45" max="45" width="5.63"/>
    <col customWidth="1" min="46" max="46" width="4.5"/>
    <col customWidth="1" min="47" max="47" width="4.38"/>
    <col customWidth="1" min="48" max="52" width="4.25"/>
    <col customWidth="1" min="53" max="53" width="4.63"/>
    <col customWidth="1" min="54" max="54" width="4.5"/>
    <col customWidth="1" min="55" max="56" width="4.63"/>
    <col customWidth="1" min="57" max="57" width="4.5"/>
    <col customWidth="1" min="58" max="59" width="4.38"/>
    <col customWidth="1" min="60" max="60" width="6.63"/>
    <col customWidth="1" min="61" max="61" width="3.25"/>
  </cols>
  <sheetData>
    <row r="1">
      <c r="A1" s="1" t="s">
        <v>184</v>
      </c>
      <c r="C1" s="2" t="s">
        <v>1</v>
      </c>
      <c r="D1" s="3" t="s">
        <v>2</v>
      </c>
      <c r="T1" s="4"/>
      <c r="U1" s="5" t="s">
        <v>3</v>
      </c>
      <c r="X1" s="4"/>
      <c r="Y1" s="5" t="s">
        <v>4</v>
      </c>
      <c r="AB1" s="4"/>
      <c r="AC1" s="5" t="s">
        <v>5</v>
      </c>
      <c r="AF1" s="4"/>
      <c r="AG1" s="5" t="s">
        <v>6</v>
      </c>
      <c r="AJ1" s="4"/>
      <c r="AK1" s="3" t="s">
        <v>7</v>
      </c>
      <c r="AL1" s="6" t="s">
        <v>8</v>
      </c>
      <c r="AM1" s="6" t="s">
        <v>9</v>
      </c>
      <c r="AN1" s="6" t="s">
        <v>10</v>
      </c>
      <c r="AO1" s="6" t="s">
        <v>11</v>
      </c>
      <c r="AP1" s="6" t="s">
        <v>12</v>
      </c>
      <c r="AQ1" s="6" t="s">
        <v>13</v>
      </c>
      <c r="AR1" s="7" t="s">
        <v>14</v>
      </c>
      <c r="AS1" s="3" t="s">
        <v>15</v>
      </c>
      <c r="AT1" s="3" t="s">
        <v>16</v>
      </c>
      <c r="BG1" s="7"/>
      <c r="BH1" s="41" t="s">
        <v>17</v>
      </c>
      <c r="BI1" s="10" t="s">
        <v>18</v>
      </c>
    </row>
    <row r="2">
      <c r="A2" s="11" t="s">
        <v>19</v>
      </c>
      <c r="B2" s="11" t="s">
        <v>20</v>
      </c>
      <c r="C2" s="4"/>
      <c r="D2" s="12">
        <v>45537.0</v>
      </c>
      <c r="E2" s="12">
        <f t="shared" ref="E2:L2" si="1">D2+7</f>
        <v>45544</v>
      </c>
      <c r="F2" s="12">
        <f t="shared" si="1"/>
        <v>45551</v>
      </c>
      <c r="G2" s="12">
        <f t="shared" si="1"/>
        <v>45558</v>
      </c>
      <c r="H2" s="12">
        <f t="shared" si="1"/>
        <v>45565</v>
      </c>
      <c r="I2" s="12">
        <f t="shared" si="1"/>
        <v>45572</v>
      </c>
      <c r="J2" s="12">
        <f t="shared" si="1"/>
        <v>45579</v>
      </c>
      <c r="K2" s="12">
        <f t="shared" si="1"/>
        <v>45586</v>
      </c>
      <c r="L2" s="12">
        <f t="shared" si="1"/>
        <v>45593</v>
      </c>
      <c r="M2" s="13">
        <v>11.11</v>
      </c>
      <c r="N2" s="13">
        <v>18.11</v>
      </c>
      <c r="O2" s="13">
        <v>25.11</v>
      </c>
      <c r="P2" s="137">
        <v>2.12</v>
      </c>
      <c r="Q2" s="13">
        <v>9.12</v>
      </c>
      <c r="R2" s="13"/>
      <c r="S2" s="13">
        <v>23.12</v>
      </c>
      <c r="T2" s="13">
        <v>30.12</v>
      </c>
      <c r="U2" s="14" t="s">
        <v>21</v>
      </c>
      <c r="V2" s="15" t="s">
        <v>22</v>
      </c>
      <c r="W2" s="15" t="s">
        <v>23</v>
      </c>
      <c r="X2" s="16" t="s">
        <v>24</v>
      </c>
      <c r="Y2" s="14" t="s">
        <v>21</v>
      </c>
      <c r="Z2" s="15" t="s">
        <v>22</v>
      </c>
      <c r="AA2" s="15" t="s">
        <v>23</v>
      </c>
      <c r="AB2" s="16" t="s">
        <v>24</v>
      </c>
      <c r="AC2" s="14" t="s">
        <v>21</v>
      </c>
      <c r="AD2" s="15" t="s">
        <v>22</v>
      </c>
      <c r="AE2" s="15" t="s">
        <v>23</v>
      </c>
      <c r="AF2" s="16" t="s">
        <v>24</v>
      </c>
      <c r="AG2" s="14" t="s">
        <v>21</v>
      </c>
      <c r="AH2" s="15" t="s">
        <v>22</v>
      </c>
      <c r="AI2" s="15" t="s">
        <v>23</v>
      </c>
      <c r="AJ2" s="16" t="s">
        <v>24</v>
      </c>
      <c r="AK2" s="17" t="s">
        <v>25</v>
      </c>
      <c r="AL2" s="18" t="s">
        <v>25</v>
      </c>
      <c r="AM2" s="18" t="s">
        <v>25</v>
      </c>
      <c r="AN2" s="18" t="s">
        <v>25</v>
      </c>
      <c r="AO2" s="18" t="s">
        <v>25</v>
      </c>
      <c r="AP2" s="18" t="s">
        <v>25</v>
      </c>
      <c r="AQ2" s="15" t="s">
        <v>26</v>
      </c>
      <c r="AR2" s="19" t="s">
        <v>26</v>
      </c>
      <c r="AS2" s="14" t="s">
        <v>27</v>
      </c>
      <c r="AT2" s="21"/>
      <c r="BG2" s="7"/>
      <c r="BH2" s="4"/>
    </row>
    <row r="3">
      <c r="C3" s="4"/>
      <c r="R3" s="13">
        <v>16.12</v>
      </c>
      <c r="U3" s="21"/>
      <c r="V3" s="15" t="s">
        <v>26</v>
      </c>
      <c r="W3" s="15" t="s">
        <v>28</v>
      </c>
      <c r="X3" s="4"/>
      <c r="Y3" s="21"/>
      <c r="Z3" s="15" t="s">
        <v>26</v>
      </c>
      <c r="AA3" s="15" t="s">
        <v>28</v>
      </c>
      <c r="AB3" s="4"/>
      <c r="AC3" s="21"/>
      <c r="AD3" s="15" t="s">
        <v>26</v>
      </c>
      <c r="AE3" s="15" t="s">
        <v>28</v>
      </c>
      <c r="AF3" s="4"/>
      <c r="AG3" s="21"/>
      <c r="AH3" s="15" t="s">
        <v>26</v>
      </c>
      <c r="AI3" s="15" t="s">
        <v>28</v>
      </c>
      <c r="AJ3" s="4"/>
      <c r="AK3" s="21"/>
      <c r="AR3" s="4"/>
      <c r="AS3" s="21"/>
      <c r="AT3" s="17" t="s">
        <v>29</v>
      </c>
      <c r="AU3" s="18" t="s">
        <v>30</v>
      </c>
      <c r="AV3" s="18" t="s">
        <v>3</v>
      </c>
      <c r="AW3" s="18" t="s">
        <v>4</v>
      </c>
      <c r="AX3" s="18" t="s">
        <v>5</v>
      </c>
      <c r="AY3" s="18" t="s">
        <v>6</v>
      </c>
      <c r="AZ3" s="18" t="s">
        <v>7</v>
      </c>
      <c r="BA3" s="18" t="s">
        <v>8</v>
      </c>
      <c r="BB3" s="18" t="s">
        <v>9</v>
      </c>
      <c r="BC3" s="18" t="s">
        <v>10</v>
      </c>
      <c r="BD3" s="18" t="s">
        <v>11</v>
      </c>
      <c r="BE3" s="18" t="s">
        <v>12</v>
      </c>
      <c r="BF3" s="18" t="s">
        <v>31</v>
      </c>
      <c r="BG3" s="23" t="s">
        <v>23</v>
      </c>
      <c r="BH3" s="4"/>
    </row>
    <row r="4">
      <c r="A4" s="43">
        <v>465211.0</v>
      </c>
      <c r="B4" s="55" t="s">
        <v>185</v>
      </c>
      <c r="C4" s="24"/>
      <c r="D4" s="25" t="s">
        <v>91</v>
      </c>
      <c r="E4" s="27" t="s">
        <v>57</v>
      </c>
      <c r="F4" s="27" t="s">
        <v>57</v>
      </c>
      <c r="G4" s="27"/>
      <c r="H4" s="27" t="s">
        <v>57</v>
      </c>
      <c r="I4" s="27"/>
      <c r="J4" s="27" t="s">
        <v>57</v>
      </c>
      <c r="K4" s="27"/>
      <c r="L4" s="27"/>
      <c r="M4" s="27"/>
      <c r="N4" s="27" t="s">
        <v>57</v>
      </c>
      <c r="O4" s="27"/>
      <c r="P4" s="53"/>
      <c r="Q4" s="27"/>
      <c r="R4" s="27" t="s">
        <v>186</v>
      </c>
      <c r="S4" s="27"/>
      <c r="T4" s="27"/>
      <c r="U4" s="138">
        <v>465211.0</v>
      </c>
      <c r="V4" s="36">
        <v>9.0</v>
      </c>
      <c r="W4" s="36">
        <v>2.0</v>
      </c>
      <c r="X4" s="24">
        <v>16.09</v>
      </c>
      <c r="Y4" s="28">
        <f t="shared" ref="Y4:Y6" si="4">U4+1609</f>
        <v>466820</v>
      </c>
      <c r="Z4" s="36">
        <v>10.0</v>
      </c>
      <c r="AA4" s="36">
        <v>2.0</v>
      </c>
      <c r="AB4" s="24">
        <v>30.09</v>
      </c>
      <c r="AC4" s="28">
        <f>Y4+3009</f>
        <v>469829</v>
      </c>
      <c r="AD4" s="36">
        <v>10.0</v>
      </c>
      <c r="AE4" s="36">
        <v>2.0</v>
      </c>
      <c r="AF4" s="24">
        <v>14.1</v>
      </c>
      <c r="AG4" s="28">
        <f>AC4+1410</f>
        <v>471239</v>
      </c>
      <c r="AH4" s="29">
        <v>10.0</v>
      </c>
      <c r="AI4" s="36">
        <v>2.0</v>
      </c>
      <c r="AJ4" s="24">
        <v>18.11</v>
      </c>
      <c r="AK4" s="28">
        <v>1.2</v>
      </c>
      <c r="AL4" s="36">
        <v>0.9</v>
      </c>
      <c r="AM4" s="36">
        <v>0.3</v>
      </c>
      <c r="AN4" s="36">
        <v>0.7</v>
      </c>
      <c r="AO4" s="36">
        <v>2.0</v>
      </c>
      <c r="AP4" s="36">
        <v>1.6</v>
      </c>
      <c r="AQ4" s="36">
        <v>9.3</v>
      </c>
      <c r="AR4" s="24">
        <v>8.75</v>
      </c>
      <c r="AS4" s="28">
        <f>SUM(AQ4:AR4)</f>
        <v>18.05</v>
      </c>
      <c r="AT4" s="21">
        <f t="shared" ref="AT4:AU4" si="2">SUM(AQ4)</f>
        <v>9.3</v>
      </c>
      <c r="AU4">
        <f t="shared" si="2"/>
        <v>8.75</v>
      </c>
      <c r="AV4">
        <f t="shared" ref="AV4:AV19" si="6">SUM(V4,W4)</f>
        <v>11</v>
      </c>
      <c r="AW4">
        <f t="shared" ref="AW4:AW19" si="7">SUM(Z4,AA4)</f>
        <v>12</v>
      </c>
      <c r="AX4">
        <f t="shared" ref="AX4:AX19" si="8">SUM(AD4,AE4)</f>
        <v>12</v>
      </c>
      <c r="AY4">
        <f t="shared" ref="AY4:AY19" si="9">SUM(AH4,AI4)</f>
        <v>12</v>
      </c>
      <c r="AZ4">
        <f t="shared" ref="AZ4:BE4" si="3">SUM(AK4)</f>
        <v>1.2</v>
      </c>
      <c r="BA4">
        <f t="shared" si="3"/>
        <v>0.9</v>
      </c>
      <c r="BB4">
        <f t="shared" si="3"/>
        <v>0.3</v>
      </c>
      <c r="BC4">
        <f t="shared" si="3"/>
        <v>0.7</v>
      </c>
      <c r="BD4">
        <f t="shared" si="3"/>
        <v>2</v>
      </c>
      <c r="BE4">
        <f t="shared" si="3"/>
        <v>1.6</v>
      </c>
      <c r="BF4">
        <f t="shared" ref="BF4:BF19" si="11">SUM(AS4)</f>
        <v>18.05</v>
      </c>
      <c r="BG4" s="24">
        <v>1.0</v>
      </c>
      <c r="BH4" s="50">
        <f t="shared" ref="BH4:BH19" si="12">SUM(AT4:BG4)</f>
        <v>90.8</v>
      </c>
      <c r="BI4" s="32">
        <v>1.0</v>
      </c>
    </row>
    <row r="5">
      <c r="A5" s="49">
        <v>367134.0</v>
      </c>
      <c r="B5" s="55" t="s">
        <v>187</v>
      </c>
      <c r="C5" s="4"/>
      <c r="D5" s="25"/>
      <c r="E5" s="27"/>
      <c r="F5" s="27"/>
      <c r="G5" s="27"/>
      <c r="H5" s="27" t="s">
        <v>57</v>
      </c>
      <c r="I5" s="27"/>
      <c r="J5" s="27"/>
      <c r="K5" s="27"/>
      <c r="L5" s="27"/>
      <c r="M5" s="27"/>
      <c r="N5" s="27"/>
      <c r="O5" s="27"/>
      <c r="P5" s="53"/>
      <c r="Q5" s="27"/>
      <c r="R5" s="27" t="s">
        <v>186</v>
      </c>
      <c r="S5" s="27"/>
      <c r="T5" s="54"/>
      <c r="U5" s="49">
        <v>367134.0</v>
      </c>
      <c r="V5" s="36">
        <v>9.0</v>
      </c>
      <c r="W5" s="36">
        <v>1.0</v>
      </c>
      <c r="X5" s="24">
        <v>30.09</v>
      </c>
      <c r="Y5" s="21">
        <f t="shared" si="4"/>
        <v>368743</v>
      </c>
      <c r="Z5" s="36">
        <v>6.0</v>
      </c>
      <c r="AA5" s="36">
        <v>1.0</v>
      </c>
      <c r="AB5" s="24">
        <v>12.02</v>
      </c>
      <c r="AC5" s="21">
        <f>368743+1</f>
        <v>368744</v>
      </c>
      <c r="AD5" s="36">
        <v>6.0</v>
      </c>
      <c r="AE5" s="36">
        <v>1.0</v>
      </c>
      <c r="AF5" s="24">
        <v>4.03</v>
      </c>
      <c r="AG5" s="21">
        <f>368743+1</f>
        <v>368744</v>
      </c>
      <c r="AH5" s="36">
        <v>6.0</v>
      </c>
      <c r="AJ5" s="24">
        <v>4.03</v>
      </c>
      <c r="AK5" s="21"/>
      <c r="AL5" s="36">
        <v>1.1</v>
      </c>
      <c r="AM5" s="36">
        <v>0.4</v>
      </c>
      <c r="AO5" s="36">
        <v>0.4</v>
      </c>
      <c r="AP5" s="36">
        <v>0.8</v>
      </c>
      <c r="AQ5" s="36">
        <v>8.5</v>
      </c>
      <c r="AR5" s="24">
        <v>6.0</v>
      </c>
      <c r="AS5" s="28"/>
      <c r="AT5" s="21">
        <f t="shared" ref="AT5:AU5" si="5">SUM(AQ5)</f>
        <v>8.5</v>
      </c>
      <c r="AU5">
        <f t="shared" si="5"/>
        <v>6</v>
      </c>
      <c r="AV5">
        <f t="shared" si="6"/>
        <v>10</v>
      </c>
      <c r="AW5">
        <f t="shared" si="7"/>
        <v>7</v>
      </c>
      <c r="AX5">
        <f t="shared" si="8"/>
        <v>7</v>
      </c>
      <c r="AY5">
        <f t="shared" si="9"/>
        <v>6</v>
      </c>
      <c r="AZ5">
        <f t="shared" ref="AZ5:BE5" si="10">SUM(AK5)</f>
        <v>0</v>
      </c>
      <c r="BA5">
        <f t="shared" si="10"/>
        <v>1.1</v>
      </c>
      <c r="BB5">
        <f t="shared" si="10"/>
        <v>0.4</v>
      </c>
      <c r="BC5">
        <f t="shared" si="10"/>
        <v>0</v>
      </c>
      <c r="BD5">
        <f t="shared" si="10"/>
        <v>0.4</v>
      </c>
      <c r="BE5">
        <f t="shared" si="10"/>
        <v>0.8</v>
      </c>
      <c r="BF5">
        <f t="shared" si="11"/>
        <v>0</v>
      </c>
      <c r="BG5" s="4"/>
      <c r="BH5" s="50">
        <f t="shared" si="12"/>
        <v>47.2</v>
      </c>
      <c r="BI5" s="32"/>
    </row>
    <row r="6">
      <c r="A6" s="43">
        <v>465561.0</v>
      </c>
      <c r="B6" s="55" t="s">
        <v>188</v>
      </c>
      <c r="C6" s="24"/>
      <c r="D6" s="25" t="s">
        <v>91</v>
      </c>
      <c r="E6" s="27" t="s">
        <v>55</v>
      </c>
      <c r="F6" s="27" t="s">
        <v>57</v>
      </c>
      <c r="G6" s="27"/>
      <c r="H6" s="27"/>
      <c r="I6" s="27" t="s">
        <v>57</v>
      </c>
      <c r="J6" s="27"/>
      <c r="K6" s="27" t="s">
        <v>57</v>
      </c>
      <c r="L6" s="27"/>
      <c r="M6" s="27"/>
      <c r="N6" s="27"/>
      <c r="O6" s="27"/>
      <c r="P6" s="139" t="s">
        <v>57</v>
      </c>
      <c r="Q6" s="27"/>
      <c r="R6" s="27" t="s">
        <v>186</v>
      </c>
      <c r="S6" s="27"/>
      <c r="T6" s="27"/>
      <c r="U6" s="138">
        <v>465561.0</v>
      </c>
      <c r="V6" s="58">
        <v>8.0</v>
      </c>
      <c r="W6" s="58">
        <v>2.0</v>
      </c>
      <c r="X6" s="140">
        <v>16.09</v>
      </c>
      <c r="Y6" s="81">
        <f t="shared" si="4"/>
        <v>467170</v>
      </c>
      <c r="Z6" s="36">
        <v>10.0</v>
      </c>
      <c r="AA6" s="36">
        <v>2.0</v>
      </c>
      <c r="AB6" s="24">
        <v>7.1</v>
      </c>
      <c r="AC6" s="28">
        <f>Y6+3010</f>
        <v>470180</v>
      </c>
      <c r="AD6" s="36">
        <v>9.0</v>
      </c>
      <c r="AE6" s="36">
        <v>1.0</v>
      </c>
      <c r="AF6" s="24">
        <v>21.1</v>
      </c>
      <c r="AG6" s="28">
        <f>AC6+2110</f>
        <v>472290</v>
      </c>
      <c r="AH6" s="36">
        <v>10.0</v>
      </c>
      <c r="AI6" s="36">
        <v>2.0</v>
      </c>
      <c r="AJ6" s="24">
        <v>2.12</v>
      </c>
      <c r="AK6" s="28">
        <v>0.5</v>
      </c>
      <c r="AL6" s="36">
        <v>0.4</v>
      </c>
      <c r="AM6" s="36">
        <v>0.4</v>
      </c>
      <c r="AO6" s="36">
        <v>0.8</v>
      </c>
      <c r="AP6" s="36">
        <v>1.8</v>
      </c>
      <c r="AQ6" s="36">
        <v>9.0</v>
      </c>
      <c r="AR6" s="24">
        <v>8.21</v>
      </c>
      <c r="AS6" s="28">
        <f t="shared" ref="AS6:AS16" si="15">SUM(AQ6:AR6)</f>
        <v>17.21</v>
      </c>
      <c r="AT6" s="21">
        <f t="shared" ref="AT6:AU6" si="13">SUM(AQ6)</f>
        <v>9</v>
      </c>
      <c r="AU6">
        <f t="shared" si="13"/>
        <v>8.21</v>
      </c>
      <c r="AV6">
        <f t="shared" si="6"/>
        <v>10</v>
      </c>
      <c r="AW6">
        <f t="shared" si="7"/>
        <v>12</v>
      </c>
      <c r="AX6">
        <f t="shared" si="8"/>
        <v>10</v>
      </c>
      <c r="AY6">
        <f t="shared" si="9"/>
        <v>12</v>
      </c>
      <c r="AZ6">
        <f t="shared" ref="AZ6:BE6" si="14">SUM(AK6)</f>
        <v>0.5</v>
      </c>
      <c r="BA6">
        <f t="shared" si="14"/>
        <v>0.4</v>
      </c>
      <c r="BB6">
        <f t="shared" si="14"/>
        <v>0.4</v>
      </c>
      <c r="BC6">
        <f t="shared" si="14"/>
        <v>0</v>
      </c>
      <c r="BD6">
        <f t="shared" si="14"/>
        <v>0.8</v>
      </c>
      <c r="BE6">
        <f t="shared" si="14"/>
        <v>1.8</v>
      </c>
      <c r="BF6">
        <f t="shared" si="11"/>
        <v>17.21</v>
      </c>
      <c r="BG6" s="24">
        <v>1.0</v>
      </c>
      <c r="BH6" s="50">
        <f t="shared" si="12"/>
        <v>83.32</v>
      </c>
      <c r="BI6" s="32">
        <v>1.0</v>
      </c>
    </row>
    <row r="7">
      <c r="A7" s="43">
        <v>465567.0</v>
      </c>
      <c r="B7" s="55" t="s">
        <v>189</v>
      </c>
      <c r="C7" s="24"/>
      <c r="D7" s="25" t="s">
        <v>91</v>
      </c>
      <c r="E7" s="27"/>
      <c r="F7" s="27" t="s">
        <v>55</v>
      </c>
      <c r="G7" s="27"/>
      <c r="H7" s="27"/>
      <c r="I7" s="27"/>
      <c r="J7" s="27"/>
      <c r="K7" s="27"/>
      <c r="L7" s="36" t="s">
        <v>57</v>
      </c>
      <c r="M7" s="27"/>
      <c r="N7" s="27" t="s">
        <v>57</v>
      </c>
      <c r="O7" s="27"/>
      <c r="P7" s="139" t="s">
        <v>57</v>
      </c>
      <c r="Q7" s="27"/>
      <c r="R7" s="27"/>
      <c r="S7" s="27"/>
      <c r="T7" s="27" t="s">
        <v>57</v>
      </c>
      <c r="U7" s="138">
        <v>465567.0</v>
      </c>
      <c r="V7" s="36">
        <v>10.0</v>
      </c>
      <c r="X7" s="24">
        <v>28.1</v>
      </c>
      <c r="Y7" s="21">
        <f>465567+2810</f>
        <v>468377</v>
      </c>
      <c r="Z7" s="36">
        <v>10.0</v>
      </c>
      <c r="AA7" s="36">
        <v>2.0</v>
      </c>
      <c r="AB7" s="24">
        <v>18.11</v>
      </c>
      <c r="AC7" s="21">
        <f>Y7+1811</f>
        <v>470188</v>
      </c>
      <c r="AD7" s="36">
        <v>10.0</v>
      </c>
      <c r="AE7" s="36">
        <v>2.0</v>
      </c>
      <c r="AF7" s="24">
        <v>2.12</v>
      </c>
      <c r="AG7" s="21">
        <f>AC7+2120</f>
        <v>472308</v>
      </c>
      <c r="AH7" s="36">
        <v>9.0</v>
      </c>
      <c r="AI7" s="36">
        <v>2.0</v>
      </c>
      <c r="AJ7" s="24">
        <v>30.12</v>
      </c>
      <c r="AK7" s="28"/>
      <c r="AQ7" s="36">
        <v>7.0</v>
      </c>
      <c r="AR7" s="24">
        <v>6.0</v>
      </c>
      <c r="AS7" s="28">
        <f t="shared" si="15"/>
        <v>13</v>
      </c>
      <c r="AT7" s="21">
        <f t="shared" ref="AT7:AU7" si="16">SUM(AQ7)</f>
        <v>7</v>
      </c>
      <c r="AU7">
        <f t="shared" si="16"/>
        <v>6</v>
      </c>
      <c r="AV7">
        <f t="shared" si="6"/>
        <v>10</v>
      </c>
      <c r="AW7">
        <f t="shared" si="7"/>
        <v>12</v>
      </c>
      <c r="AX7">
        <f t="shared" si="8"/>
        <v>12</v>
      </c>
      <c r="AY7">
        <f t="shared" si="9"/>
        <v>11</v>
      </c>
      <c r="AZ7">
        <f t="shared" ref="AZ7:BE7" si="17">SUM(AK7)</f>
        <v>0</v>
      </c>
      <c r="BA7">
        <f t="shared" si="17"/>
        <v>0</v>
      </c>
      <c r="BB7">
        <f t="shared" si="17"/>
        <v>0</v>
      </c>
      <c r="BC7">
        <f t="shared" si="17"/>
        <v>0</v>
      </c>
      <c r="BD7">
        <f t="shared" si="17"/>
        <v>0</v>
      </c>
      <c r="BE7">
        <f t="shared" si="17"/>
        <v>0</v>
      </c>
      <c r="BF7">
        <f t="shared" si="11"/>
        <v>13</v>
      </c>
      <c r="BG7" s="4"/>
      <c r="BH7" s="50">
        <f t="shared" si="12"/>
        <v>71</v>
      </c>
      <c r="BI7" s="32">
        <v>1.0</v>
      </c>
    </row>
    <row r="8">
      <c r="A8" s="43">
        <v>465917.0</v>
      </c>
      <c r="B8" s="55" t="s">
        <v>190</v>
      </c>
      <c r="C8" s="24"/>
      <c r="D8" s="25" t="s">
        <v>91</v>
      </c>
      <c r="E8" s="27" t="s">
        <v>55</v>
      </c>
      <c r="F8" s="27" t="s">
        <v>57</v>
      </c>
      <c r="G8" s="27" t="s">
        <v>57</v>
      </c>
      <c r="H8" s="27"/>
      <c r="I8" s="27"/>
      <c r="J8" s="27"/>
      <c r="K8" s="27"/>
      <c r="L8" s="27" t="s">
        <v>57</v>
      </c>
      <c r="M8" s="27"/>
      <c r="N8" s="27" t="s">
        <v>57</v>
      </c>
      <c r="O8" s="27"/>
      <c r="P8" s="53"/>
      <c r="Q8" s="27"/>
      <c r="R8" s="27" t="s">
        <v>186</v>
      </c>
      <c r="S8" s="27" t="s">
        <v>57</v>
      </c>
      <c r="T8" s="27"/>
      <c r="U8" s="138">
        <v>465917.0</v>
      </c>
      <c r="V8" s="36">
        <v>8.0</v>
      </c>
      <c r="W8" s="36">
        <v>2.0</v>
      </c>
      <c r="X8" s="24">
        <v>16.09</v>
      </c>
      <c r="Y8" s="28">
        <f>U8+1609</f>
        <v>467526</v>
      </c>
      <c r="Z8" s="36">
        <v>8.0</v>
      </c>
      <c r="AA8" s="36">
        <v>2.0</v>
      </c>
      <c r="AB8" s="24">
        <v>23.09</v>
      </c>
      <c r="AC8" s="28">
        <f>Y8+2309</f>
        <v>469835</v>
      </c>
      <c r="AD8" s="36">
        <v>9.0</v>
      </c>
      <c r="AE8" s="36">
        <v>2.0</v>
      </c>
      <c r="AF8" s="24">
        <v>18.11</v>
      </c>
      <c r="AG8" s="28">
        <f>AC8+1811</f>
        <v>471646</v>
      </c>
      <c r="AH8" s="36">
        <v>9.0</v>
      </c>
      <c r="AI8" s="36">
        <v>2.0</v>
      </c>
      <c r="AJ8" s="24">
        <v>23.12</v>
      </c>
      <c r="AK8" s="28">
        <v>0.9</v>
      </c>
      <c r="AL8" s="36">
        <v>1.4</v>
      </c>
      <c r="AM8" s="36">
        <v>0.7</v>
      </c>
      <c r="AO8" s="36">
        <v>0.01</v>
      </c>
      <c r="AP8" s="36">
        <v>0.6</v>
      </c>
      <c r="AQ8" s="36">
        <v>10.0</v>
      </c>
      <c r="AR8" s="24">
        <v>7.75</v>
      </c>
      <c r="AS8" s="28">
        <f t="shared" si="15"/>
        <v>17.75</v>
      </c>
      <c r="AT8" s="21">
        <f t="shared" ref="AT8:AU8" si="18">SUM(AQ8)</f>
        <v>10</v>
      </c>
      <c r="AU8">
        <f t="shared" si="18"/>
        <v>7.75</v>
      </c>
      <c r="AV8">
        <f t="shared" si="6"/>
        <v>10</v>
      </c>
      <c r="AW8">
        <f t="shared" si="7"/>
        <v>10</v>
      </c>
      <c r="AX8">
        <f t="shared" si="8"/>
        <v>11</v>
      </c>
      <c r="AY8">
        <f t="shared" si="9"/>
        <v>11</v>
      </c>
      <c r="AZ8">
        <f t="shared" ref="AZ8:BE8" si="19">SUM(AK8)</f>
        <v>0.9</v>
      </c>
      <c r="BA8">
        <f t="shared" si="19"/>
        <v>1.4</v>
      </c>
      <c r="BB8">
        <f t="shared" si="19"/>
        <v>0.7</v>
      </c>
      <c r="BC8">
        <f t="shared" si="19"/>
        <v>0</v>
      </c>
      <c r="BD8">
        <f t="shared" si="19"/>
        <v>0.01</v>
      </c>
      <c r="BE8">
        <f t="shared" si="19"/>
        <v>0.6</v>
      </c>
      <c r="BF8">
        <f t="shared" si="11"/>
        <v>17.75</v>
      </c>
      <c r="BG8" s="24">
        <v>2.0</v>
      </c>
      <c r="BH8" s="50">
        <f t="shared" si="12"/>
        <v>83.11</v>
      </c>
      <c r="BI8" s="32">
        <v>1.0</v>
      </c>
    </row>
    <row r="9">
      <c r="A9" s="43">
        <v>465987.0</v>
      </c>
      <c r="B9" s="55" t="s">
        <v>191</v>
      </c>
      <c r="C9" s="24"/>
      <c r="D9" s="25" t="s">
        <v>91</v>
      </c>
      <c r="E9" s="27"/>
      <c r="F9" s="27" t="s">
        <v>57</v>
      </c>
      <c r="G9" s="27"/>
      <c r="H9" s="27"/>
      <c r="I9" s="27"/>
      <c r="J9" s="27"/>
      <c r="K9" s="27"/>
      <c r="L9" s="27" t="s">
        <v>57</v>
      </c>
      <c r="M9" s="27"/>
      <c r="N9" s="27" t="s">
        <v>57</v>
      </c>
      <c r="O9" s="27"/>
      <c r="P9" s="53"/>
      <c r="Q9" s="27" t="s">
        <v>57</v>
      </c>
      <c r="R9" s="27" t="s">
        <v>192</v>
      </c>
      <c r="S9" s="27"/>
      <c r="T9" s="27" t="s">
        <v>57</v>
      </c>
      <c r="U9" s="138">
        <v>465987.0</v>
      </c>
      <c r="V9" s="36">
        <v>8.0</v>
      </c>
      <c r="W9" s="36">
        <v>1.0</v>
      </c>
      <c r="X9" s="24">
        <v>23.09</v>
      </c>
      <c r="Y9" s="28">
        <f>U9+2309</f>
        <v>468296</v>
      </c>
      <c r="Z9" s="36">
        <v>9.0</v>
      </c>
      <c r="AA9" s="36">
        <v>2.0</v>
      </c>
      <c r="AB9" s="24">
        <v>18.11</v>
      </c>
      <c r="AC9" s="28">
        <f t="shared" ref="AC9:AC10" si="22">Y9+1811</f>
        <v>470107</v>
      </c>
      <c r="AD9" s="36">
        <v>8.0</v>
      </c>
      <c r="AE9" s="36">
        <v>2.0</v>
      </c>
      <c r="AF9" s="24">
        <v>16.12</v>
      </c>
      <c r="AG9" s="28">
        <f>AC9+1712</f>
        <v>471819</v>
      </c>
      <c r="AH9" s="36">
        <v>6.0</v>
      </c>
      <c r="AI9" s="36">
        <v>1.0</v>
      </c>
      <c r="AJ9" s="24">
        <v>30.12</v>
      </c>
      <c r="AK9" s="28">
        <v>0.3</v>
      </c>
      <c r="AQ9" s="36">
        <v>6.5</v>
      </c>
      <c r="AR9" s="24">
        <v>8.58</v>
      </c>
      <c r="AS9" s="28">
        <f t="shared" si="15"/>
        <v>15.08</v>
      </c>
      <c r="AT9" s="21">
        <f t="shared" ref="AT9:AU9" si="20">SUM(AQ9)</f>
        <v>6.5</v>
      </c>
      <c r="AU9">
        <f t="shared" si="20"/>
        <v>8.58</v>
      </c>
      <c r="AV9">
        <f t="shared" si="6"/>
        <v>9</v>
      </c>
      <c r="AW9">
        <f t="shared" si="7"/>
        <v>11</v>
      </c>
      <c r="AX9">
        <f t="shared" si="8"/>
        <v>10</v>
      </c>
      <c r="AY9">
        <f t="shared" si="9"/>
        <v>7</v>
      </c>
      <c r="AZ9">
        <f t="shared" ref="AZ9:BE9" si="21">SUM(AK9)</f>
        <v>0.3</v>
      </c>
      <c r="BA9">
        <f t="shared" si="21"/>
        <v>0</v>
      </c>
      <c r="BB9">
        <f t="shared" si="21"/>
        <v>0</v>
      </c>
      <c r="BC9">
        <f t="shared" si="21"/>
        <v>0</v>
      </c>
      <c r="BD9">
        <f t="shared" si="21"/>
        <v>0</v>
      </c>
      <c r="BE9">
        <f t="shared" si="21"/>
        <v>0</v>
      </c>
      <c r="BF9">
        <f t="shared" si="11"/>
        <v>15.08</v>
      </c>
      <c r="BG9" s="4"/>
      <c r="BH9" s="50">
        <f t="shared" si="12"/>
        <v>67.46</v>
      </c>
      <c r="BI9" s="32">
        <v>1.0</v>
      </c>
    </row>
    <row r="10">
      <c r="A10" s="43">
        <v>466114.0</v>
      </c>
      <c r="B10" s="55" t="s">
        <v>193</v>
      </c>
      <c r="C10" s="24"/>
      <c r="D10" s="25" t="s">
        <v>91</v>
      </c>
      <c r="E10" s="27"/>
      <c r="F10" s="27"/>
      <c r="G10" s="27"/>
      <c r="H10" s="27"/>
      <c r="I10" s="27"/>
      <c r="J10" s="27" t="s">
        <v>57</v>
      </c>
      <c r="K10" s="27"/>
      <c r="L10" s="27"/>
      <c r="M10" s="27"/>
      <c r="N10" s="27" t="s">
        <v>57</v>
      </c>
      <c r="O10" s="27"/>
      <c r="P10" s="53"/>
      <c r="Q10" s="27" t="s">
        <v>57</v>
      </c>
      <c r="R10" s="27" t="s">
        <v>186</v>
      </c>
      <c r="S10" s="27"/>
      <c r="T10" s="27"/>
      <c r="U10" s="138">
        <v>466114.0</v>
      </c>
      <c r="V10" s="36">
        <v>7.0</v>
      </c>
      <c r="X10" s="24">
        <v>14.1</v>
      </c>
      <c r="Y10" s="28">
        <f>U10+1410</f>
        <v>467524</v>
      </c>
      <c r="Z10" s="36">
        <v>8.0</v>
      </c>
      <c r="AA10" s="36">
        <v>2.0</v>
      </c>
      <c r="AB10" s="24">
        <v>18.11</v>
      </c>
      <c r="AC10" s="28">
        <f t="shared" si="22"/>
        <v>469335</v>
      </c>
      <c r="AD10" s="36">
        <v>8.0</v>
      </c>
      <c r="AE10" s="36">
        <v>2.0</v>
      </c>
      <c r="AF10" s="24">
        <v>9.12</v>
      </c>
      <c r="AG10" s="28">
        <f>AC10+912</f>
        <v>470247</v>
      </c>
      <c r="AH10" s="36">
        <v>6.0</v>
      </c>
      <c r="AJ10" s="24">
        <v>12.02</v>
      </c>
      <c r="AK10" s="28"/>
      <c r="AL10" s="36">
        <v>1.4</v>
      </c>
      <c r="AQ10" s="36">
        <v>6.0</v>
      </c>
      <c r="AR10" s="24">
        <v>7.5</v>
      </c>
      <c r="AS10" s="28">
        <f t="shared" si="15"/>
        <v>13.5</v>
      </c>
      <c r="AT10" s="21">
        <f t="shared" ref="AT10:AU10" si="23">SUM(AQ10)</f>
        <v>6</v>
      </c>
      <c r="AU10">
        <f t="shared" si="23"/>
        <v>7.5</v>
      </c>
      <c r="AV10">
        <f t="shared" si="6"/>
        <v>7</v>
      </c>
      <c r="AW10">
        <f t="shared" si="7"/>
        <v>10</v>
      </c>
      <c r="AX10">
        <f t="shared" si="8"/>
        <v>10</v>
      </c>
      <c r="AY10">
        <f t="shared" si="9"/>
        <v>6</v>
      </c>
      <c r="AZ10">
        <f t="shared" ref="AZ10:BE10" si="24">SUM(AK10)</f>
        <v>0</v>
      </c>
      <c r="BA10">
        <f t="shared" si="24"/>
        <v>1.4</v>
      </c>
      <c r="BB10">
        <f t="shared" si="24"/>
        <v>0</v>
      </c>
      <c r="BC10">
        <f t="shared" si="24"/>
        <v>0</v>
      </c>
      <c r="BD10">
        <f t="shared" si="24"/>
        <v>0</v>
      </c>
      <c r="BE10">
        <f t="shared" si="24"/>
        <v>0</v>
      </c>
      <c r="BF10">
        <f t="shared" si="11"/>
        <v>13.5</v>
      </c>
      <c r="BG10" s="4"/>
      <c r="BH10" s="50">
        <f t="shared" si="12"/>
        <v>61.4</v>
      </c>
      <c r="BI10" s="32">
        <v>2.0</v>
      </c>
    </row>
    <row r="11">
      <c r="A11" s="43">
        <v>466217.0</v>
      </c>
      <c r="B11" s="55" t="s">
        <v>194</v>
      </c>
      <c r="C11" s="4"/>
      <c r="D11" s="25" t="s">
        <v>91</v>
      </c>
      <c r="E11" s="27"/>
      <c r="F11" s="27" t="s">
        <v>57</v>
      </c>
      <c r="G11" s="27"/>
      <c r="H11" s="27"/>
      <c r="I11" s="27"/>
      <c r="J11" s="27" t="s">
        <v>57</v>
      </c>
      <c r="K11" s="27"/>
      <c r="L11" s="27"/>
      <c r="M11" s="27"/>
      <c r="N11" s="27"/>
      <c r="O11" s="27"/>
      <c r="P11" s="139" t="s">
        <v>57</v>
      </c>
      <c r="Q11" s="27"/>
      <c r="R11" s="27" t="s">
        <v>192</v>
      </c>
      <c r="S11" s="27"/>
      <c r="T11" s="27"/>
      <c r="U11" s="138">
        <v>466217.0</v>
      </c>
      <c r="V11" s="61">
        <v>9.0</v>
      </c>
      <c r="W11" s="61">
        <v>2.0</v>
      </c>
      <c r="X11" s="109">
        <v>16.09</v>
      </c>
      <c r="Y11" s="60">
        <f>U11+1609</f>
        <v>467826</v>
      </c>
      <c r="Z11" s="61">
        <v>10.0</v>
      </c>
      <c r="AA11" s="61">
        <v>2.0</v>
      </c>
      <c r="AB11" s="109">
        <v>14.1</v>
      </c>
      <c r="AC11" s="60">
        <f>Y11+1410</f>
        <v>469236</v>
      </c>
      <c r="AD11" s="36">
        <v>10.0</v>
      </c>
      <c r="AE11" s="36">
        <v>2.0</v>
      </c>
      <c r="AF11" s="24">
        <v>2.12</v>
      </c>
      <c r="AG11" s="28">
        <f>AC11+2110</f>
        <v>471346</v>
      </c>
      <c r="AH11" s="58">
        <v>10.0</v>
      </c>
      <c r="AI11" s="58">
        <v>2.0</v>
      </c>
      <c r="AJ11" s="109">
        <v>16.12</v>
      </c>
      <c r="AK11" s="28">
        <v>0.5</v>
      </c>
      <c r="AL11" s="36">
        <v>1.6</v>
      </c>
      <c r="AN11" s="36">
        <v>1.2</v>
      </c>
      <c r="AO11" s="36">
        <v>2.0</v>
      </c>
      <c r="AQ11" s="36">
        <v>8.0</v>
      </c>
      <c r="AR11" s="24">
        <v>6.0</v>
      </c>
      <c r="AS11" s="28">
        <f t="shared" si="15"/>
        <v>14</v>
      </c>
      <c r="AT11" s="21">
        <f t="shared" ref="AT11:AU11" si="25">SUM(AQ11)</f>
        <v>8</v>
      </c>
      <c r="AU11">
        <f t="shared" si="25"/>
        <v>6</v>
      </c>
      <c r="AV11">
        <f t="shared" si="6"/>
        <v>11</v>
      </c>
      <c r="AW11">
        <f t="shared" si="7"/>
        <v>12</v>
      </c>
      <c r="AX11">
        <f t="shared" si="8"/>
        <v>12</v>
      </c>
      <c r="AY11">
        <f t="shared" si="9"/>
        <v>12</v>
      </c>
      <c r="AZ11">
        <f t="shared" ref="AZ11:BE11" si="26">SUM(AK11)</f>
        <v>0.5</v>
      </c>
      <c r="BA11">
        <f t="shared" si="26"/>
        <v>1.6</v>
      </c>
      <c r="BB11">
        <f t="shared" si="26"/>
        <v>0</v>
      </c>
      <c r="BC11">
        <f t="shared" si="26"/>
        <v>1.2</v>
      </c>
      <c r="BD11">
        <f t="shared" si="26"/>
        <v>2</v>
      </c>
      <c r="BE11">
        <f t="shared" si="26"/>
        <v>0</v>
      </c>
      <c r="BF11">
        <f t="shared" si="11"/>
        <v>14</v>
      </c>
      <c r="BG11" s="24">
        <v>3.0</v>
      </c>
      <c r="BH11" s="50">
        <f t="shared" si="12"/>
        <v>83.3</v>
      </c>
      <c r="BI11" s="32">
        <v>1.0</v>
      </c>
    </row>
    <row r="12">
      <c r="A12" s="43">
        <v>466495.0</v>
      </c>
      <c r="B12" s="55" t="s">
        <v>195</v>
      </c>
      <c r="C12" s="24"/>
      <c r="D12" s="25" t="s">
        <v>91</v>
      </c>
      <c r="E12" s="27" t="s">
        <v>55</v>
      </c>
      <c r="F12" s="27"/>
      <c r="G12" s="27" t="s">
        <v>57</v>
      </c>
      <c r="H12" s="27"/>
      <c r="I12" s="27" t="s">
        <v>57</v>
      </c>
      <c r="J12" s="27"/>
      <c r="K12" s="27"/>
      <c r="L12" s="27"/>
      <c r="M12" s="27"/>
      <c r="N12" s="27"/>
      <c r="O12" s="27"/>
      <c r="P12" s="139" t="s">
        <v>57</v>
      </c>
      <c r="Q12" s="27"/>
      <c r="R12" s="27" t="s">
        <v>186</v>
      </c>
      <c r="S12" s="27" t="s">
        <v>57</v>
      </c>
      <c r="T12" s="27"/>
      <c r="U12" s="138">
        <v>466495.0</v>
      </c>
      <c r="V12" s="36">
        <v>7.0</v>
      </c>
      <c r="W12" s="36">
        <v>1.0</v>
      </c>
      <c r="X12" s="24">
        <v>23.09</v>
      </c>
      <c r="Y12" s="28">
        <f>U12+2309</f>
        <v>468804</v>
      </c>
      <c r="Z12" s="36">
        <v>7.0</v>
      </c>
      <c r="AA12" s="36">
        <v>2.0</v>
      </c>
      <c r="AB12" s="24">
        <v>7.1</v>
      </c>
      <c r="AC12" s="28">
        <f>Y12+7010</f>
        <v>475814</v>
      </c>
      <c r="AD12" s="36">
        <v>9.0</v>
      </c>
      <c r="AE12" s="36">
        <v>2.0</v>
      </c>
      <c r="AF12" s="24">
        <v>2.12</v>
      </c>
      <c r="AG12" s="28">
        <f>AC12+2120</f>
        <v>477934</v>
      </c>
      <c r="AH12" s="58">
        <v>8.0</v>
      </c>
      <c r="AI12" s="58">
        <v>2.0</v>
      </c>
      <c r="AJ12" s="141">
        <v>23.12</v>
      </c>
      <c r="AK12" s="28">
        <v>0.2</v>
      </c>
      <c r="AL12" s="36">
        <v>0.1</v>
      </c>
      <c r="AM12" s="36">
        <v>1.1</v>
      </c>
      <c r="AO12" s="36">
        <v>2.0</v>
      </c>
      <c r="AP12" s="36">
        <v>0.01</v>
      </c>
      <c r="AQ12" s="36">
        <v>6.0</v>
      </c>
      <c r="AR12" s="24">
        <v>6.0</v>
      </c>
      <c r="AS12" s="28">
        <f t="shared" si="15"/>
        <v>12</v>
      </c>
      <c r="AT12" s="21">
        <f t="shared" ref="AT12:AU12" si="27">SUM(AQ12)</f>
        <v>6</v>
      </c>
      <c r="AU12">
        <f t="shared" si="27"/>
        <v>6</v>
      </c>
      <c r="AV12">
        <f t="shared" si="6"/>
        <v>8</v>
      </c>
      <c r="AW12">
        <f t="shared" si="7"/>
        <v>9</v>
      </c>
      <c r="AX12">
        <f t="shared" si="8"/>
        <v>11</v>
      </c>
      <c r="AY12">
        <f t="shared" si="9"/>
        <v>10</v>
      </c>
      <c r="AZ12">
        <f t="shared" ref="AZ12:BE12" si="28">SUM(AK12)</f>
        <v>0.2</v>
      </c>
      <c r="BA12">
        <f t="shared" si="28"/>
        <v>0.1</v>
      </c>
      <c r="BB12">
        <f t="shared" si="28"/>
        <v>1.1</v>
      </c>
      <c r="BC12">
        <f t="shared" si="28"/>
        <v>0</v>
      </c>
      <c r="BD12">
        <f t="shared" si="28"/>
        <v>2</v>
      </c>
      <c r="BE12">
        <f t="shared" si="28"/>
        <v>0.01</v>
      </c>
      <c r="BF12">
        <f t="shared" si="11"/>
        <v>12</v>
      </c>
      <c r="BG12" s="4"/>
      <c r="BH12" s="50">
        <f t="shared" si="12"/>
        <v>65.41</v>
      </c>
      <c r="BI12" s="32">
        <v>1.0</v>
      </c>
    </row>
    <row r="13">
      <c r="A13" s="43">
        <v>466650.0</v>
      </c>
      <c r="B13" s="55" t="s">
        <v>196</v>
      </c>
      <c r="C13" s="24"/>
      <c r="D13" s="25" t="s">
        <v>91</v>
      </c>
      <c r="E13" s="27"/>
      <c r="F13" s="27" t="s">
        <v>57</v>
      </c>
      <c r="G13" s="27"/>
      <c r="H13" s="27"/>
      <c r="I13" s="27"/>
      <c r="J13" s="27" t="s">
        <v>57</v>
      </c>
      <c r="K13" s="27"/>
      <c r="L13" s="27"/>
      <c r="M13" s="27"/>
      <c r="N13" s="27"/>
      <c r="O13" s="27" t="s">
        <v>57</v>
      </c>
      <c r="P13" s="53"/>
      <c r="Q13" s="27" t="s">
        <v>57</v>
      </c>
      <c r="R13" s="27" t="s">
        <v>186</v>
      </c>
      <c r="S13" s="27"/>
      <c r="T13" s="27"/>
      <c r="U13" s="138">
        <v>466650.0</v>
      </c>
      <c r="V13" s="36">
        <v>9.0</v>
      </c>
      <c r="W13" s="36">
        <v>2.0</v>
      </c>
      <c r="X13" s="109">
        <v>16.09</v>
      </c>
      <c r="Y13" s="28">
        <f>U13+1609</f>
        <v>468259</v>
      </c>
      <c r="Z13" s="36">
        <v>10.0</v>
      </c>
      <c r="AA13" s="36">
        <v>2.0</v>
      </c>
      <c r="AB13" s="24">
        <v>14.1</v>
      </c>
      <c r="AC13" s="28">
        <f>Y13+1410</f>
        <v>469669</v>
      </c>
      <c r="AD13" s="36">
        <v>9.0</v>
      </c>
      <c r="AE13" s="36">
        <v>2.0</v>
      </c>
      <c r="AF13" s="24">
        <v>25.11</v>
      </c>
      <c r="AG13" s="28">
        <f>AC13+2511</f>
        <v>472180</v>
      </c>
      <c r="AH13" s="36">
        <v>9.0</v>
      </c>
      <c r="AI13" s="36">
        <v>2.0</v>
      </c>
      <c r="AJ13" s="24">
        <v>9.12</v>
      </c>
      <c r="AK13" s="28">
        <v>0.7</v>
      </c>
      <c r="AL13" s="36">
        <v>0.6</v>
      </c>
      <c r="AM13" s="36">
        <v>0.5</v>
      </c>
      <c r="AN13" s="36">
        <v>1.6</v>
      </c>
      <c r="AO13" s="36">
        <v>2.0</v>
      </c>
      <c r="AP13" s="36">
        <v>1.0</v>
      </c>
      <c r="AQ13" s="36">
        <v>7.0</v>
      </c>
      <c r="AR13" s="24">
        <v>6.5</v>
      </c>
      <c r="AS13" s="28">
        <f t="shared" si="15"/>
        <v>13.5</v>
      </c>
      <c r="AT13" s="21">
        <f t="shared" ref="AT13:AU13" si="29">SUM(AQ13)</f>
        <v>7</v>
      </c>
      <c r="AU13">
        <f t="shared" si="29"/>
        <v>6.5</v>
      </c>
      <c r="AV13">
        <f t="shared" si="6"/>
        <v>11</v>
      </c>
      <c r="AW13">
        <f t="shared" si="7"/>
        <v>12</v>
      </c>
      <c r="AX13">
        <f t="shared" si="8"/>
        <v>11</v>
      </c>
      <c r="AY13">
        <f t="shared" si="9"/>
        <v>11</v>
      </c>
      <c r="AZ13">
        <f t="shared" ref="AZ13:BE13" si="30">SUM(AK13)</f>
        <v>0.7</v>
      </c>
      <c r="BA13">
        <f t="shared" si="30"/>
        <v>0.6</v>
      </c>
      <c r="BB13">
        <f t="shared" si="30"/>
        <v>0.5</v>
      </c>
      <c r="BC13">
        <f t="shared" si="30"/>
        <v>1.6</v>
      </c>
      <c r="BD13">
        <f t="shared" si="30"/>
        <v>2</v>
      </c>
      <c r="BE13">
        <f t="shared" si="30"/>
        <v>1</v>
      </c>
      <c r="BF13">
        <f t="shared" si="11"/>
        <v>13.5</v>
      </c>
      <c r="BG13" s="4"/>
      <c r="BH13" s="50">
        <f t="shared" si="12"/>
        <v>78.4</v>
      </c>
      <c r="BI13" s="32">
        <v>1.0</v>
      </c>
    </row>
    <row r="14">
      <c r="A14" s="43">
        <v>466752.0</v>
      </c>
      <c r="B14" s="55" t="s">
        <v>197</v>
      </c>
      <c r="C14" s="24"/>
      <c r="D14" s="25" t="s">
        <v>91</v>
      </c>
      <c r="E14" s="27"/>
      <c r="F14" s="27"/>
      <c r="G14" s="27"/>
      <c r="H14" s="27"/>
      <c r="I14" s="27" t="s">
        <v>57</v>
      </c>
      <c r="J14" s="27"/>
      <c r="K14" s="27"/>
      <c r="L14" s="27"/>
      <c r="M14" s="27"/>
      <c r="N14" s="27" t="s">
        <v>57</v>
      </c>
      <c r="O14" s="27"/>
      <c r="P14" s="53"/>
      <c r="Q14" s="27"/>
      <c r="R14" s="27" t="s">
        <v>186</v>
      </c>
      <c r="S14" s="27" t="s">
        <v>57</v>
      </c>
      <c r="T14" s="27"/>
      <c r="U14" s="138">
        <v>466752.0</v>
      </c>
      <c r="V14" s="36">
        <v>8.0</v>
      </c>
      <c r="W14" s="36">
        <v>1.0</v>
      </c>
      <c r="X14" s="24">
        <v>7.1</v>
      </c>
      <c r="Y14" s="28">
        <f>U14+7010</f>
        <v>473762</v>
      </c>
      <c r="Z14" s="36">
        <v>8.0</v>
      </c>
      <c r="AA14" s="36">
        <v>1.0</v>
      </c>
      <c r="AB14" s="24">
        <v>18.11</v>
      </c>
      <c r="AC14" s="28">
        <f>Y14+1811</f>
        <v>475573</v>
      </c>
      <c r="AD14" s="36">
        <v>8.0</v>
      </c>
      <c r="AE14" s="36">
        <v>2.0</v>
      </c>
      <c r="AF14" s="24">
        <v>23.12</v>
      </c>
      <c r="AG14" s="28">
        <f>AC14+2312</f>
        <v>477885</v>
      </c>
      <c r="AH14" s="36">
        <v>6.0</v>
      </c>
      <c r="AI14" s="36">
        <v>2.0</v>
      </c>
      <c r="AJ14" s="24">
        <v>12.02</v>
      </c>
      <c r="AK14" s="28"/>
      <c r="AQ14" s="36">
        <v>6.0</v>
      </c>
      <c r="AR14" s="24">
        <v>6.0</v>
      </c>
      <c r="AS14" s="28">
        <f t="shared" si="15"/>
        <v>12</v>
      </c>
      <c r="AT14" s="21">
        <f t="shared" ref="AT14:AU14" si="31">SUM(AQ14)</f>
        <v>6</v>
      </c>
      <c r="AU14">
        <f t="shared" si="31"/>
        <v>6</v>
      </c>
      <c r="AV14">
        <f t="shared" si="6"/>
        <v>9</v>
      </c>
      <c r="AW14">
        <f t="shared" si="7"/>
        <v>9</v>
      </c>
      <c r="AX14">
        <f t="shared" si="8"/>
        <v>10</v>
      </c>
      <c r="AY14">
        <f t="shared" si="9"/>
        <v>8</v>
      </c>
      <c r="AZ14">
        <f t="shared" ref="AZ14:BE14" si="32">SUM(AK14)</f>
        <v>0</v>
      </c>
      <c r="BA14">
        <f t="shared" si="32"/>
        <v>0</v>
      </c>
      <c r="BB14">
        <f t="shared" si="32"/>
        <v>0</v>
      </c>
      <c r="BC14">
        <f t="shared" si="32"/>
        <v>0</v>
      </c>
      <c r="BD14">
        <f t="shared" si="32"/>
        <v>0</v>
      </c>
      <c r="BE14">
        <f t="shared" si="32"/>
        <v>0</v>
      </c>
      <c r="BF14">
        <f t="shared" si="11"/>
        <v>12</v>
      </c>
      <c r="BG14" s="4"/>
      <c r="BH14" s="50">
        <f t="shared" si="12"/>
        <v>60</v>
      </c>
      <c r="BI14" s="32">
        <v>2.0</v>
      </c>
    </row>
    <row r="15">
      <c r="A15" s="43">
        <v>466828.0</v>
      </c>
      <c r="B15" s="55" t="s">
        <v>198</v>
      </c>
      <c r="D15" s="25" t="s">
        <v>91</v>
      </c>
      <c r="E15" s="27"/>
      <c r="F15" s="27"/>
      <c r="G15" s="27"/>
      <c r="H15" s="27"/>
      <c r="I15" s="27"/>
      <c r="J15" s="27"/>
      <c r="K15" s="27"/>
      <c r="L15" s="27" t="s">
        <v>57</v>
      </c>
      <c r="M15" s="27"/>
      <c r="N15" s="27"/>
      <c r="O15" s="27"/>
      <c r="P15" s="139" t="s">
        <v>57</v>
      </c>
      <c r="Q15" s="27"/>
      <c r="R15" s="27" t="s">
        <v>186</v>
      </c>
      <c r="S15" s="27"/>
      <c r="T15" s="27" t="s">
        <v>57</v>
      </c>
      <c r="U15" s="138">
        <v>466828.0</v>
      </c>
      <c r="V15" s="36">
        <v>10.0</v>
      </c>
      <c r="X15" s="36">
        <v>28.1</v>
      </c>
      <c r="Y15" s="28">
        <f>U15+2810</f>
        <v>469638</v>
      </c>
      <c r="Z15" s="36">
        <v>10.0</v>
      </c>
      <c r="AA15" s="36">
        <v>2.0</v>
      </c>
      <c r="AB15" s="36">
        <v>2.12</v>
      </c>
      <c r="AC15" s="28">
        <f>Y15+2120</f>
        <v>471758</v>
      </c>
      <c r="AD15" s="36">
        <v>9.0</v>
      </c>
      <c r="AE15" s="36">
        <v>2.0</v>
      </c>
      <c r="AF15" s="36">
        <v>30.12</v>
      </c>
      <c r="AG15" s="28">
        <v>472809.0</v>
      </c>
      <c r="AH15" s="36">
        <v>6.0</v>
      </c>
      <c r="AJ15" s="36">
        <v>12.02</v>
      </c>
      <c r="AK15" s="28">
        <v>0.5</v>
      </c>
      <c r="AN15" s="36">
        <v>0.4</v>
      </c>
      <c r="AO15" s="36">
        <v>1.6</v>
      </c>
      <c r="AP15" s="36">
        <v>0.8</v>
      </c>
      <c r="AQ15" s="36">
        <v>9.0</v>
      </c>
      <c r="AR15" s="36">
        <v>6.0</v>
      </c>
      <c r="AS15" s="28">
        <f t="shared" si="15"/>
        <v>15</v>
      </c>
      <c r="AT15" s="21">
        <f t="shared" ref="AT15:AU15" si="33">SUM(AQ15)</f>
        <v>9</v>
      </c>
      <c r="AU15">
        <f t="shared" si="33"/>
        <v>6</v>
      </c>
      <c r="AV15">
        <f t="shared" si="6"/>
        <v>10</v>
      </c>
      <c r="AW15">
        <f t="shared" si="7"/>
        <v>12</v>
      </c>
      <c r="AX15">
        <f t="shared" si="8"/>
        <v>11</v>
      </c>
      <c r="AY15">
        <f t="shared" si="9"/>
        <v>6</v>
      </c>
      <c r="AZ15">
        <f t="shared" ref="AZ15:BE15" si="34">SUM(AK15)</f>
        <v>0.5</v>
      </c>
      <c r="BA15">
        <f t="shared" si="34"/>
        <v>0</v>
      </c>
      <c r="BB15">
        <f t="shared" si="34"/>
        <v>0</v>
      </c>
      <c r="BC15">
        <f t="shared" si="34"/>
        <v>0.4</v>
      </c>
      <c r="BD15">
        <f t="shared" si="34"/>
        <v>1.6</v>
      </c>
      <c r="BE15">
        <f t="shared" si="34"/>
        <v>0.8</v>
      </c>
      <c r="BF15">
        <f t="shared" si="11"/>
        <v>15</v>
      </c>
      <c r="BG15" s="4"/>
      <c r="BH15" s="50">
        <f t="shared" si="12"/>
        <v>72.3</v>
      </c>
      <c r="BI15" s="32">
        <v>2.0</v>
      </c>
    </row>
    <row r="16">
      <c r="A16" s="43">
        <v>467132.0</v>
      </c>
      <c r="B16" s="55" t="s">
        <v>199</v>
      </c>
      <c r="D16" s="25" t="s">
        <v>91</v>
      </c>
      <c r="E16" s="27" t="s">
        <v>55</v>
      </c>
      <c r="F16" s="27"/>
      <c r="G16" s="27"/>
      <c r="H16" s="27"/>
      <c r="I16" s="27"/>
      <c r="J16" s="27" t="s">
        <v>57</v>
      </c>
      <c r="K16" s="27"/>
      <c r="L16" s="27"/>
      <c r="M16" s="27"/>
      <c r="N16" s="27" t="s">
        <v>57</v>
      </c>
      <c r="O16" s="27"/>
      <c r="P16" s="53"/>
      <c r="Q16" s="27"/>
      <c r="R16" s="27" t="s">
        <v>192</v>
      </c>
      <c r="S16" s="27"/>
      <c r="T16" s="27" t="s">
        <v>57</v>
      </c>
      <c r="U16" s="138">
        <v>467132.0</v>
      </c>
      <c r="V16" s="36">
        <v>8.0</v>
      </c>
      <c r="X16" s="36">
        <v>14.1</v>
      </c>
      <c r="Y16" s="28">
        <f>U16+1410</f>
        <v>468542</v>
      </c>
      <c r="Z16" s="36">
        <v>8.0</v>
      </c>
      <c r="AA16" s="36">
        <v>2.0</v>
      </c>
      <c r="AB16" s="36">
        <v>18.11</v>
      </c>
      <c r="AC16" s="28">
        <f>468542+8111</f>
        <v>476653</v>
      </c>
      <c r="AD16" s="36">
        <v>9.0</v>
      </c>
      <c r="AE16" s="36">
        <v>2.0</v>
      </c>
      <c r="AF16" s="36">
        <v>16.12</v>
      </c>
      <c r="AG16" s="28">
        <f>AC16+1612</f>
        <v>478265</v>
      </c>
      <c r="AH16" s="36">
        <v>8.0</v>
      </c>
      <c r="AI16" s="36">
        <v>2.0</v>
      </c>
      <c r="AJ16" s="36">
        <v>30.12</v>
      </c>
      <c r="AK16" s="28">
        <v>1.5</v>
      </c>
      <c r="AL16" s="36">
        <v>0.1</v>
      </c>
      <c r="AO16" s="36">
        <v>1.6</v>
      </c>
      <c r="AP16" s="36">
        <v>1.8</v>
      </c>
      <c r="AQ16" s="36">
        <v>6.0</v>
      </c>
      <c r="AR16" s="36">
        <v>6.0</v>
      </c>
      <c r="AS16" s="28">
        <f t="shared" si="15"/>
        <v>12</v>
      </c>
      <c r="AT16" s="21">
        <f t="shared" ref="AT16:AU16" si="35">SUM(AQ16)</f>
        <v>6</v>
      </c>
      <c r="AU16">
        <f t="shared" si="35"/>
        <v>6</v>
      </c>
      <c r="AV16">
        <f t="shared" si="6"/>
        <v>8</v>
      </c>
      <c r="AW16">
        <f t="shared" si="7"/>
        <v>10</v>
      </c>
      <c r="AX16">
        <f t="shared" si="8"/>
        <v>11</v>
      </c>
      <c r="AY16">
        <f t="shared" si="9"/>
        <v>10</v>
      </c>
      <c r="AZ16">
        <f t="shared" ref="AZ16:BE16" si="36">SUM(AK16)</f>
        <v>1.5</v>
      </c>
      <c r="BA16">
        <f t="shared" si="36"/>
        <v>0.1</v>
      </c>
      <c r="BB16">
        <f t="shared" si="36"/>
        <v>0</v>
      </c>
      <c r="BC16">
        <f t="shared" si="36"/>
        <v>0</v>
      </c>
      <c r="BD16">
        <f t="shared" si="36"/>
        <v>1.6</v>
      </c>
      <c r="BE16">
        <f t="shared" si="36"/>
        <v>1.8</v>
      </c>
      <c r="BF16">
        <f t="shared" si="11"/>
        <v>12</v>
      </c>
      <c r="BG16" s="4"/>
      <c r="BH16" s="50">
        <f t="shared" si="12"/>
        <v>68</v>
      </c>
      <c r="BI16" s="32">
        <v>1.0</v>
      </c>
    </row>
    <row r="17">
      <c r="A17" s="43">
        <v>467432.0</v>
      </c>
      <c r="B17" s="55" t="s">
        <v>200</v>
      </c>
      <c r="C17" s="24"/>
      <c r="D17" s="25" t="s">
        <v>91</v>
      </c>
      <c r="E17" s="27" t="s">
        <v>55</v>
      </c>
      <c r="F17" s="27"/>
      <c r="G17" s="27"/>
      <c r="H17" s="27"/>
      <c r="I17" s="27"/>
      <c r="J17" s="27"/>
      <c r="K17" s="27"/>
      <c r="L17" s="27"/>
      <c r="M17" s="27" t="s">
        <v>57</v>
      </c>
      <c r="N17" s="27" t="s">
        <v>57</v>
      </c>
      <c r="O17" s="27"/>
      <c r="P17" s="53"/>
      <c r="Q17" s="27"/>
      <c r="R17" s="27" t="s">
        <v>186</v>
      </c>
      <c r="S17" s="27"/>
      <c r="T17" s="27" t="s">
        <v>57</v>
      </c>
      <c r="U17" s="138">
        <v>467432.0</v>
      </c>
      <c r="V17" s="36">
        <v>9.0</v>
      </c>
      <c r="X17" s="24">
        <v>11.11</v>
      </c>
      <c r="Y17" s="28">
        <f>467432+1111</f>
        <v>468543</v>
      </c>
      <c r="Z17" s="36">
        <v>9.0</v>
      </c>
      <c r="AB17" s="24">
        <v>18.11</v>
      </c>
      <c r="AC17" s="28">
        <f>Y17+1811</f>
        <v>470354</v>
      </c>
      <c r="AD17" s="36">
        <v>8.0</v>
      </c>
      <c r="AF17" s="24">
        <v>30.12</v>
      </c>
      <c r="AG17" s="28">
        <f>AC17+3012</f>
        <v>473366</v>
      </c>
      <c r="AH17" s="36">
        <v>6.0</v>
      </c>
      <c r="AJ17" s="24">
        <v>12.02</v>
      </c>
      <c r="AK17" s="28">
        <v>0.2</v>
      </c>
      <c r="AL17" s="36">
        <v>0.2</v>
      </c>
      <c r="AM17" s="36">
        <v>0.2</v>
      </c>
      <c r="AO17" s="36">
        <v>1.2</v>
      </c>
      <c r="AP17" s="36">
        <v>0.01</v>
      </c>
      <c r="AQ17" s="36">
        <v>0.01</v>
      </c>
      <c r="AR17" s="24">
        <v>6.0</v>
      </c>
      <c r="AS17" s="28"/>
      <c r="AT17" s="21">
        <f t="shared" ref="AT17:AU17" si="37">SUM(AQ17)</f>
        <v>0.01</v>
      </c>
      <c r="AU17">
        <f t="shared" si="37"/>
        <v>6</v>
      </c>
      <c r="AV17">
        <f t="shared" si="6"/>
        <v>9</v>
      </c>
      <c r="AW17">
        <f t="shared" si="7"/>
        <v>9</v>
      </c>
      <c r="AX17">
        <f t="shared" si="8"/>
        <v>8</v>
      </c>
      <c r="AY17">
        <f t="shared" si="9"/>
        <v>6</v>
      </c>
      <c r="AZ17">
        <f t="shared" ref="AZ17:BE17" si="38">SUM(AK17)</f>
        <v>0.2</v>
      </c>
      <c r="BA17">
        <f t="shared" si="38"/>
        <v>0.2</v>
      </c>
      <c r="BB17">
        <f t="shared" si="38"/>
        <v>0.2</v>
      </c>
      <c r="BC17">
        <f t="shared" si="38"/>
        <v>0</v>
      </c>
      <c r="BD17">
        <f t="shared" si="38"/>
        <v>1.2</v>
      </c>
      <c r="BE17">
        <f t="shared" si="38"/>
        <v>0.01</v>
      </c>
      <c r="BF17">
        <f t="shared" si="11"/>
        <v>0</v>
      </c>
      <c r="BG17" s="4"/>
      <c r="BH17" s="50">
        <f t="shared" si="12"/>
        <v>39.82</v>
      </c>
      <c r="BI17" s="32"/>
    </row>
    <row r="18">
      <c r="A18" s="43">
        <v>467731.0</v>
      </c>
      <c r="B18" s="55" t="s">
        <v>201</v>
      </c>
      <c r="C18" s="24"/>
      <c r="D18" s="25" t="s">
        <v>91</v>
      </c>
      <c r="E18" s="27"/>
      <c r="F18" s="27"/>
      <c r="G18" s="27" t="s">
        <v>57</v>
      </c>
      <c r="H18" s="27"/>
      <c r="I18" s="27"/>
      <c r="J18" s="27" t="s">
        <v>57</v>
      </c>
      <c r="K18" s="27"/>
      <c r="L18" s="27"/>
      <c r="M18" s="27"/>
      <c r="N18" s="27"/>
      <c r="O18" s="27"/>
      <c r="P18" s="139" t="s">
        <v>57</v>
      </c>
      <c r="Q18" s="27" t="s">
        <v>57</v>
      </c>
      <c r="R18" s="27" t="s">
        <v>186</v>
      </c>
      <c r="S18" s="27"/>
      <c r="T18" s="27"/>
      <c r="U18" s="142">
        <v>467731.0</v>
      </c>
      <c r="V18" s="36">
        <v>9.0</v>
      </c>
      <c r="W18" s="36">
        <v>2.0</v>
      </c>
      <c r="X18" s="24">
        <v>23.09</v>
      </c>
      <c r="Y18" s="28">
        <f t="shared" ref="Y18:Y19" si="41">U18+2309</f>
        <v>470040</v>
      </c>
      <c r="Z18" s="36">
        <v>8.0</v>
      </c>
      <c r="AA18" s="36">
        <v>2.0</v>
      </c>
      <c r="AB18" s="24">
        <v>14.1</v>
      </c>
      <c r="AC18" s="28">
        <f>470040+1410</f>
        <v>471450</v>
      </c>
      <c r="AD18" s="36">
        <v>9.0</v>
      </c>
      <c r="AE18" s="36">
        <v>2.0</v>
      </c>
      <c r="AF18" s="24">
        <v>2.12</v>
      </c>
      <c r="AG18" s="28">
        <f>AC18+2120</f>
        <v>473570</v>
      </c>
      <c r="AH18" s="36">
        <v>9.0</v>
      </c>
      <c r="AI18" s="36">
        <v>2.0</v>
      </c>
      <c r="AJ18" s="24">
        <v>9.12</v>
      </c>
      <c r="AK18" s="28">
        <v>1.4</v>
      </c>
      <c r="AL18" s="36">
        <v>1.2</v>
      </c>
      <c r="AM18" s="36">
        <v>0.5</v>
      </c>
      <c r="AN18" s="36">
        <v>0.1</v>
      </c>
      <c r="AP18" s="36">
        <v>1.6</v>
      </c>
      <c r="AQ18" s="36">
        <v>8.0</v>
      </c>
      <c r="AR18" s="24">
        <v>8.88</v>
      </c>
      <c r="AS18" s="28">
        <f t="shared" ref="AS18:AS19" si="42">SUM(AQ18:AR18)</f>
        <v>16.88</v>
      </c>
      <c r="AT18" s="21">
        <f t="shared" ref="AT18:AU18" si="39">SUM(AQ18)</f>
        <v>8</v>
      </c>
      <c r="AU18">
        <f t="shared" si="39"/>
        <v>8.88</v>
      </c>
      <c r="AV18">
        <f t="shared" si="6"/>
        <v>11</v>
      </c>
      <c r="AW18">
        <f t="shared" si="7"/>
        <v>10</v>
      </c>
      <c r="AX18">
        <f t="shared" si="8"/>
        <v>11</v>
      </c>
      <c r="AY18">
        <f t="shared" si="9"/>
        <v>11</v>
      </c>
      <c r="AZ18">
        <f t="shared" ref="AZ18:BE18" si="40">SUM(AK18)</f>
        <v>1.4</v>
      </c>
      <c r="BA18">
        <f t="shared" si="40"/>
        <v>1.2</v>
      </c>
      <c r="BB18">
        <f t="shared" si="40"/>
        <v>0.5</v>
      </c>
      <c r="BC18">
        <f t="shared" si="40"/>
        <v>0.1</v>
      </c>
      <c r="BD18">
        <f t="shared" si="40"/>
        <v>0</v>
      </c>
      <c r="BE18">
        <f t="shared" si="40"/>
        <v>1.6</v>
      </c>
      <c r="BF18">
        <f t="shared" si="11"/>
        <v>16.88</v>
      </c>
      <c r="BG18" s="24">
        <v>2.0</v>
      </c>
      <c r="BH18" s="50">
        <f t="shared" si="12"/>
        <v>83.56</v>
      </c>
      <c r="BI18" s="32">
        <v>1.0</v>
      </c>
    </row>
    <row r="19">
      <c r="A19" s="43">
        <v>468197.0</v>
      </c>
      <c r="B19" s="55" t="s">
        <v>202</v>
      </c>
      <c r="C19" s="4"/>
      <c r="D19" s="25" t="s">
        <v>91</v>
      </c>
      <c r="E19" s="27"/>
      <c r="F19" s="27" t="s">
        <v>57</v>
      </c>
      <c r="G19" s="27" t="s">
        <v>57</v>
      </c>
      <c r="H19" s="27"/>
      <c r="I19" s="27"/>
      <c r="J19" s="27"/>
      <c r="K19" s="27"/>
      <c r="L19" s="27" t="s">
        <v>57</v>
      </c>
      <c r="M19" s="27"/>
      <c r="N19" s="27"/>
      <c r="O19" s="27"/>
      <c r="P19" s="53"/>
      <c r="Q19" s="27" t="s">
        <v>57</v>
      </c>
      <c r="R19" s="27" t="s">
        <v>186</v>
      </c>
      <c r="S19" s="27"/>
      <c r="T19" s="27" t="s">
        <v>57</v>
      </c>
      <c r="U19" s="138">
        <v>468197.0</v>
      </c>
      <c r="V19" s="36">
        <v>7.0</v>
      </c>
      <c r="W19" s="36">
        <v>1.0</v>
      </c>
      <c r="X19" s="24">
        <v>23.09</v>
      </c>
      <c r="Y19" s="21">
        <f t="shared" si="41"/>
        <v>470506</v>
      </c>
      <c r="Z19" s="36">
        <v>9.0</v>
      </c>
      <c r="AA19" s="36">
        <v>2.0</v>
      </c>
      <c r="AB19" s="24">
        <v>28.1</v>
      </c>
      <c r="AC19" s="21">
        <f>Y19+2810</f>
        <v>473316</v>
      </c>
      <c r="AD19" s="36">
        <v>8.0</v>
      </c>
      <c r="AE19" s="36">
        <v>2.0</v>
      </c>
      <c r="AF19" s="24">
        <v>9.12</v>
      </c>
      <c r="AG19" s="21">
        <f>AC19+912</f>
        <v>474228</v>
      </c>
      <c r="AH19" s="36">
        <v>8.0</v>
      </c>
      <c r="AI19" s="36">
        <v>2.0</v>
      </c>
      <c r="AJ19" s="24">
        <v>30.12</v>
      </c>
      <c r="AK19" s="21"/>
      <c r="AN19" s="36">
        <v>1.0</v>
      </c>
      <c r="AQ19" s="36">
        <v>8.0</v>
      </c>
      <c r="AR19" s="24">
        <v>6.0</v>
      </c>
      <c r="AS19" s="28">
        <f t="shared" si="42"/>
        <v>14</v>
      </c>
      <c r="AT19" s="21">
        <f t="shared" ref="AT19:AU19" si="43">SUM(AQ19)</f>
        <v>8</v>
      </c>
      <c r="AU19">
        <f t="shared" si="43"/>
        <v>6</v>
      </c>
      <c r="AV19">
        <f t="shared" si="6"/>
        <v>8</v>
      </c>
      <c r="AW19">
        <f t="shared" si="7"/>
        <v>11</v>
      </c>
      <c r="AX19">
        <f t="shared" si="8"/>
        <v>10</v>
      </c>
      <c r="AY19">
        <f t="shared" si="9"/>
        <v>10</v>
      </c>
      <c r="AZ19">
        <f t="shared" ref="AZ19:BE19" si="44">SUM(AK19)</f>
        <v>0</v>
      </c>
      <c r="BA19">
        <f t="shared" si="44"/>
        <v>0</v>
      </c>
      <c r="BB19">
        <f t="shared" si="44"/>
        <v>0</v>
      </c>
      <c r="BC19">
        <f t="shared" si="44"/>
        <v>1</v>
      </c>
      <c r="BD19">
        <f t="shared" si="44"/>
        <v>0</v>
      </c>
      <c r="BE19">
        <f t="shared" si="44"/>
        <v>0</v>
      </c>
      <c r="BF19">
        <f t="shared" si="11"/>
        <v>14</v>
      </c>
      <c r="BG19" s="4"/>
      <c r="BH19" s="50">
        <f t="shared" si="12"/>
        <v>68</v>
      </c>
      <c r="BI19" s="32">
        <v>1.0</v>
      </c>
    </row>
    <row r="20">
      <c r="A20" s="43"/>
      <c r="B20" s="55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53"/>
      <c r="Q20" s="27"/>
      <c r="R20" s="27"/>
      <c r="S20" s="27"/>
      <c r="T20" s="27"/>
      <c r="U20" s="43"/>
      <c r="V20" s="36"/>
      <c r="W20" s="36"/>
      <c r="X20" s="36"/>
      <c r="Z20" s="36"/>
      <c r="AA20" s="36"/>
      <c r="AB20" s="36"/>
      <c r="AD20" s="36"/>
      <c r="AE20" s="36"/>
      <c r="AF20" s="36"/>
      <c r="AH20" s="36"/>
      <c r="AI20" s="36"/>
      <c r="AJ20" s="36"/>
      <c r="AN20" s="36"/>
      <c r="AQ20" s="36"/>
      <c r="AR20" s="36"/>
      <c r="AS20" s="36"/>
      <c r="BH20" s="39"/>
      <c r="BI20" s="32"/>
    </row>
    <row r="21">
      <c r="A21" s="43"/>
      <c r="B21" s="55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53"/>
      <c r="Q21" s="27"/>
      <c r="R21" s="27"/>
      <c r="S21" s="27"/>
      <c r="T21" s="27"/>
      <c r="U21" s="43"/>
      <c r="V21" s="36"/>
      <c r="W21" s="36"/>
      <c r="X21" s="36"/>
      <c r="Z21" s="36"/>
      <c r="AA21" s="36"/>
      <c r="AB21" s="36"/>
      <c r="AD21" s="36"/>
      <c r="AE21" s="36"/>
      <c r="AF21" s="36"/>
      <c r="AH21" s="36"/>
      <c r="AI21" s="36"/>
      <c r="AJ21" s="36"/>
      <c r="AN21" s="36"/>
      <c r="AQ21" s="36">
        <f t="shared" ref="AQ21:AR21" si="45">COUNTA($B$4:$B$19)-COUNTIF(AQ4:AQ19,"&gt;=6")</f>
        <v>1</v>
      </c>
      <c r="AR21" s="36">
        <f t="shared" si="45"/>
        <v>0</v>
      </c>
      <c r="AS21" s="36"/>
      <c r="BH21" s="39"/>
      <c r="BI21" s="32"/>
    </row>
    <row r="22">
      <c r="A22" s="43">
        <v>467342.0</v>
      </c>
      <c r="B22" s="69" t="s">
        <v>203</v>
      </c>
      <c r="D22" s="25" t="s">
        <v>91</v>
      </c>
      <c r="E22" s="27"/>
      <c r="F22" s="27" t="s">
        <v>57</v>
      </c>
      <c r="G22" s="27"/>
      <c r="H22" s="27"/>
      <c r="I22" s="27"/>
      <c r="J22" s="27"/>
      <c r="K22" s="27"/>
      <c r="L22" s="27"/>
      <c r="M22" s="27"/>
      <c r="N22" s="27"/>
      <c r="O22" s="27"/>
      <c r="P22" s="53"/>
      <c r="Q22" s="27"/>
      <c r="R22" s="27"/>
      <c r="S22" s="27"/>
      <c r="T22" s="27"/>
      <c r="U22" s="138">
        <v>467342.0</v>
      </c>
      <c r="V22" s="36">
        <v>9.0</v>
      </c>
      <c r="W22" s="36">
        <v>2.0</v>
      </c>
      <c r="X22" s="36">
        <v>16.09</v>
      </c>
      <c r="Y22" s="28">
        <f>U22+1609</f>
        <v>468951</v>
      </c>
      <c r="AC22" s="28"/>
      <c r="AG22" s="28"/>
      <c r="AJ22" s="85"/>
      <c r="AK22" s="28">
        <v>1.0</v>
      </c>
      <c r="AS22" s="30"/>
      <c r="AT22">
        <f t="shared" ref="AT22:AU22" si="46">SUM(AQ22)</f>
        <v>0</v>
      </c>
      <c r="AU22">
        <f t="shared" si="46"/>
        <v>0</v>
      </c>
      <c r="AV22" s="21">
        <f>SUM(V22,W22)</f>
        <v>11</v>
      </c>
      <c r="AW22">
        <f>SUM(Z22,AA22)</f>
        <v>0</v>
      </c>
      <c r="AX22">
        <f>SUM(AD22,AE22)</f>
        <v>0</v>
      </c>
      <c r="AY22">
        <f>SUM(AH22,AI22)</f>
        <v>0</v>
      </c>
      <c r="AZ22">
        <f t="shared" ref="AZ22:BE22" si="47">SUM(AK22)</f>
        <v>1</v>
      </c>
      <c r="BA22">
        <f t="shared" si="47"/>
        <v>0</v>
      </c>
      <c r="BB22">
        <f t="shared" si="47"/>
        <v>0</v>
      </c>
      <c r="BC22">
        <f t="shared" si="47"/>
        <v>0</v>
      </c>
      <c r="BD22">
        <f t="shared" si="47"/>
        <v>0</v>
      </c>
      <c r="BE22">
        <f t="shared" si="47"/>
        <v>0</v>
      </c>
      <c r="BF22">
        <f>SUM(AS22)</f>
        <v>0</v>
      </c>
      <c r="BH22" s="31">
        <f>SUM(AV22:BG22)</f>
        <v>12</v>
      </c>
      <c r="BI22" s="32"/>
    </row>
  </sheetData>
  <mergeCells count="45">
    <mergeCell ref="N2:N3"/>
    <mergeCell ref="O2:O3"/>
    <mergeCell ref="P2:P3"/>
    <mergeCell ref="Q2:Q3"/>
    <mergeCell ref="S2:S3"/>
    <mergeCell ref="T2:T3"/>
    <mergeCell ref="U2:U3"/>
    <mergeCell ref="X2:X3"/>
    <mergeCell ref="Y2:Y3"/>
    <mergeCell ref="AB2:AB3"/>
    <mergeCell ref="AC2:AC3"/>
    <mergeCell ref="AF2:AF3"/>
    <mergeCell ref="AG2:AG3"/>
    <mergeCell ref="AJ2:AJ3"/>
    <mergeCell ref="A1:B1"/>
    <mergeCell ref="C1:C3"/>
    <mergeCell ref="D1:T1"/>
    <mergeCell ref="U1:X1"/>
    <mergeCell ref="Y1:AB1"/>
    <mergeCell ref="AC1:AF1"/>
    <mergeCell ref="AG1:AJ1"/>
    <mergeCell ref="AQ2:AQ3"/>
    <mergeCell ref="AR2:AR3"/>
    <mergeCell ref="AT1:BF2"/>
    <mergeCell ref="BH1:BH3"/>
    <mergeCell ref="BI1:BI3"/>
    <mergeCell ref="AK2:AK3"/>
    <mergeCell ref="AL2:AL3"/>
    <mergeCell ref="AM2:AM3"/>
    <mergeCell ref="AN2:AN3"/>
    <mergeCell ref="AS2:AS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O2:AO3"/>
    <mergeCell ref="AP2:AP3"/>
  </mergeCells>
  <conditionalFormatting sqref="AB4">
    <cfRule type="timePeriod" dxfId="0" priority="1" timePeriod="last7Days"/>
  </conditionalFormatting>
  <conditionalFormatting sqref="AF4">
    <cfRule type="timePeriod" dxfId="0" priority="2" timePeriod="last7Days"/>
  </conditionalFormatting>
  <conditionalFormatting sqref="AF4">
    <cfRule type="timePeriod" dxfId="0" priority="3" timePeriod="last7Days"/>
  </conditionalFormatting>
  <conditionalFormatting sqref="X4 AB4 AF4">
    <cfRule type="timePeriod" dxfId="0" priority="4" timePeriod="last7Days"/>
  </conditionalFormatting>
  <conditionalFormatting sqref="X4">
    <cfRule type="timePeriod" dxfId="0" priority="5" timePeriod="last7Days"/>
  </conditionalFormatting>
  <conditionalFormatting sqref="X4">
    <cfRule type="timePeriod" dxfId="0" priority="6" timePeriod="last7Days"/>
  </conditionalFormatting>
  <conditionalFormatting sqref="AF4">
    <cfRule type="timePeriod" dxfId="0" priority="7" timePeriod="last7Days"/>
  </conditionalFormatting>
  <conditionalFormatting sqref="AT4:BG22">
    <cfRule type="cellIs" dxfId="1" priority="8" operator="lessThan">
      <formula>0.1</formula>
    </cfRule>
  </conditionalFormatting>
  <conditionalFormatting sqref="AT4:BG22">
    <cfRule type="cellIs" dxfId="2" priority="9" operator="greaterThan">
      <formula>0.1</formula>
    </cfRule>
  </conditionalFormatting>
  <conditionalFormatting sqref="BH4:BI22">
    <cfRule type="cellIs" dxfId="3" priority="10" operator="between">
      <formula>60</formula>
      <formula>68</formula>
    </cfRule>
  </conditionalFormatting>
  <conditionalFormatting sqref="BH4:BI22">
    <cfRule type="cellIs" dxfId="4" priority="11" operator="between">
      <formula>68</formula>
      <formula>74</formula>
    </cfRule>
  </conditionalFormatting>
  <conditionalFormatting sqref="BH4:BI22">
    <cfRule type="cellIs" dxfId="2" priority="12" operator="between">
      <formula>74</formula>
      <formula>81</formula>
    </cfRule>
  </conditionalFormatting>
  <conditionalFormatting sqref="BH4:BI22">
    <cfRule type="cellIs" dxfId="5" priority="13" operator="between">
      <formula>81</formula>
      <formula>90</formula>
    </cfRule>
  </conditionalFormatting>
  <conditionalFormatting sqref="BH4:BI22">
    <cfRule type="cellIs" dxfId="6" priority="14" operator="greaterThan">
      <formula>90</formula>
    </cfRule>
  </conditionalFormatting>
  <conditionalFormatting sqref="AB4">
    <cfRule type="timePeriod" dxfId="0" priority="15" timePeriod="last7Days"/>
  </conditionalFormatting>
  <conditionalFormatting sqref="G4:G21">
    <cfRule type="containsText" dxfId="7" priority="16" operator="containsText" text="н">
      <formula>NOT(ISERROR(SEARCH(("н"),(G4))))</formula>
    </cfRule>
  </conditionalFormatting>
  <conditionalFormatting sqref="G4:G21">
    <cfRule type="containsText" dxfId="7" priority="17" operator="containsText" text="n">
      <formula>NOT(ISERROR(SEARCH(("n"),(G4))))</formula>
    </cfRule>
  </conditionalFormatting>
  <conditionalFormatting sqref="F4:F21">
    <cfRule type="containsText" dxfId="7" priority="18" operator="containsText" text="н">
      <formula>NOT(ISERROR(SEARCH(("н"),(F4))))</formula>
    </cfRule>
  </conditionalFormatting>
  <conditionalFormatting sqref="F4:F21">
    <cfRule type="containsText" dxfId="7" priority="19" operator="containsText" text="n">
      <formula>NOT(ISERROR(SEARCH(("n"),(F4))))</formula>
    </cfRule>
  </conditionalFormatting>
  <conditionalFormatting sqref="V4:W4">
    <cfRule type="cellIs" dxfId="8" priority="20" operator="equal">
      <formula>0</formula>
    </cfRule>
  </conditionalFormatting>
  <conditionalFormatting sqref="Z4:AA4">
    <cfRule type="cellIs" dxfId="8" priority="21" operator="equal">
      <formula>0</formula>
    </cfRule>
  </conditionalFormatting>
  <conditionalFormatting sqref="AD4:AE4">
    <cfRule type="cellIs" dxfId="8" priority="22" operator="equal">
      <formula>0</formula>
    </cfRule>
  </conditionalFormatting>
  <conditionalFormatting sqref="AH4:AI4">
    <cfRule type="cellIs" dxfId="8" priority="23" operator="equal">
      <formula>0</formula>
    </cfRule>
  </conditionalFormatting>
  <conditionalFormatting sqref="AK4:AR4">
    <cfRule type="cellIs" dxfId="8" priority="24" operator="equal">
      <formula>0</formula>
    </cfRule>
  </conditionalFormatting>
  <conditionalFormatting sqref="D1:T22">
    <cfRule type="containsText" dxfId="7" priority="25" operator="containsText" text="н">
      <formula>NOT(ISERROR(SEARCH(("н"),(D1))))</formula>
    </cfRule>
  </conditionalFormatting>
  <conditionalFormatting sqref="D1:T22">
    <cfRule type="containsText" dxfId="7" priority="26" operator="containsText" text="n">
      <formula>NOT(ISERROR(SEARCH(("n"),(D1))))</formula>
    </cfRule>
  </conditionalFormatting>
  <conditionalFormatting sqref="X4">
    <cfRule type="timePeriod" dxfId="0" priority="27" timePeriod="last7Days"/>
  </conditionalFormatting>
  <conditionalFormatting sqref="AB4">
    <cfRule type="timePeriod" dxfId="0" priority="28" timePeriod="last7Days"/>
  </conditionalFormatting>
  <conditionalFormatting sqref="AF4">
    <cfRule type="timePeriod" dxfId="0" priority="29" timePeriod="last7Days"/>
  </conditionalFormatting>
  <conditionalFormatting sqref="AJ4">
    <cfRule type="timePeriod" dxfId="0" priority="30" timePeriod="last7Days"/>
  </conditionalFormatting>
  <conditionalFormatting sqref="BH1:BI22">
    <cfRule type="cellIs" dxfId="3" priority="31" operator="between">
      <formula>60</formula>
      <formula>68</formula>
    </cfRule>
  </conditionalFormatting>
  <conditionalFormatting sqref="AS4:AS22">
    <cfRule type="cellIs" dxfId="6" priority="32" operator="between">
      <formula>12</formula>
      <formula>1000</formula>
    </cfRule>
  </conditionalFormatting>
  <conditionalFormatting sqref="BH1:BI22">
    <cfRule type="cellIs" dxfId="4" priority="33" operator="between">
      <formula>68</formula>
      <formula>74</formula>
    </cfRule>
  </conditionalFormatting>
  <conditionalFormatting sqref="BH1:BI22">
    <cfRule type="cellIs" dxfId="2" priority="34" operator="between">
      <formula>74</formula>
      <formula>81</formula>
    </cfRule>
  </conditionalFormatting>
  <conditionalFormatting sqref="BH1:BI22">
    <cfRule type="cellIs" dxfId="5" priority="35" operator="between">
      <formula>81</formula>
      <formula>90</formula>
    </cfRule>
  </conditionalFormatting>
  <conditionalFormatting sqref="BH1:BI22">
    <cfRule type="cellIs" dxfId="6" priority="36" operator="greaterThan">
      <formula>90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0.63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22" width="2.88"/>
    <col customWidth="1" min="23" max="23" width="7.38"/>
    <col customWidth="1" min="24" max="24" width="5.0"/>
    <col customWidth="1" min="25" max="25" width="3.88"/>
    <col customWidth="1" min="26" max="26" width="4.63"/>
    <col customWidth="1" min="27" max="27" width="6.5"/>
    <col customWidth="1" min="28" max="28" width="5.13"/>
    <col customWidth="1" min="29" max="29" width="4.0"/>
    <col customWidth="1" min="30" max="30" width="5.0"/>
    <col customWidth="1" min="31" max="31" width="6.38"/>
    <col customWidth="1" min="32" max="32" width="5.13"/>
    <col customWidth="1" min="33" max="33" width="4.0"/>
    <col customWidth="1" min="34" max="34" width="5.0"/>
    <col customWidth="1" min="35" max="35" width="7.63"/>
    <col customWidth="1" min="36" max="36" width="5.0"/>
    <col customWidth="1" min="37" max="37" width="4.5"/>
    <col customWidth="1" min="38" max="38" width="5.0"/>
    <col customWidth="1" min="39" max="39" width="5.63"/>
    <col customWidth="1" min="40" max="40" width="5.13"/>
    <col customWidth="1" min="41" max="41" width="5.38"/>
    <col customWidth="1" min="42" max="42" width="5.0"/>
    <col customWidth="1" min="43" max="44" width="5.38"/>
    <col customWidth="1" min="45" max="46" width="5.88"/>
    <col customWidth="1" min="47" max="47" width="5.63"/>
    <col customWidth="1" min="48" max="48" width="4.5"/>
    <col customWidth="1" min="49" max="49" width="4.38"/>
    <col customWidth="1" min="50" max="54" width="4.25"/>
    <col customWidth="1" min="55" max="55" width="4.63"/>
    <col customWidth="1" min="56" max="56" width="4.5"/>
    <col customWidth="1" min="57" max="58" width="4.63"/>
    <col customWidth="1" min="59" max="59" width="4.5"/>
    <col customWidth="1" min="60" max="61" width="4.38"/>
    <col customWidth="1" min="62" max="62" width="6.63"/>
    <col customWidth="1" min="63" max="63" width="3.25"/>
  </cols>
  <sheetData>
    <row r="1">
      <c r="A1" s="1" t="s">
        <v>204</v>
      </c>
      <c r="C1" s="2" t="s">
        <v>1</v>
      </c>
      <c r="D1" s="3" t="s">
        <v>2</v>
      </c>
      <c r="V1" s="4"/>
      <c r="W1" s="5" t="s">
        <v>3</v>
      </c>
      <c r="Z1" s="4"/>
      <c r="AA1" s="5" t="s">
        <v>4</v>
      </c>
      <c r="AD1" s="4"/>
      <c r="AE1" s="5" t="s">
        <v>5</v>
      </c>
      <c r="AH1" s="4"/>
      <c r="AI1" s="5" t="s">
        <v>6</v>
      </c>
      <c r="AL1" s="4"/>
      <c r="AM1" s="3" t="s">
        <v>7</v>
      </c>
      <c r="AN1" s="6" t="s">
        <v>8</v>
      </c>
      <c r="AO1" s="6" t="s">
        <v>9</v>
      </c>
      <c r="AP1" s="6" t="s">
        <v>10</v>
      </c>
      <c r="AQ1" s="6" t="s">
        <v>11</v>
      </c>
      <c r="AR1" s="6" t="s">
        <v>12</v>
      </c>
      <c r="AS1" s="6" t="s">
        <v>13</v>
      </c>
      <c r="AT1" s="7" t="s">
        <v>14</v>
      </c>
      <c r="AU1" s="3" t="s">
        <v>15</v>
      </c>
      <c r="AV1" s="3" t="s">
        <v>16</v>
      </c>
      <c r="BI1" s="7"/>
      <c r="BJ1" s="41" t="s">
        <v>17</v>
      </c>
      <c r="BK1" s="10" t="s">
        <v>18</v>
      </c>
    </row>
    <row r="2">
      <c r="A2" s="11" t="s">
        <v>19</v>
      </c>
      <c r="B2" s="11" t="s">
        <v>20</v>
      </c>
      <c r="C2" s="4"/>
      <c r="D2" s="12">
        <v>45905.0</v>
      </c>
      <c r="E2" s="12">
        <f t="shared" ref="E2:S2" si="1">D2+7</f>
        <v>45912</v>
      </c>
      <c r="F2" s="12">
        <f t="shared" si="1"/>
        <v>45919</v>
      </c>
      <c r="G2" s="12">
        <f t="shared" si="1"/>
        <v>45926</v>
      </c>
      <c r="H2" s="12">
        <f t="shared" si="1"/>
        <v>45933</v>
      </c>
      <c r="I2" s="12">
        <f t="shared" si="1"/>
        <v>45940</v>
      </c>
      <c r="J2" s="12">
        <f t="shared" si="1"/>
        <v>45947</v>
      </c>
      <c r="K2" s="12">
        <f t="shared" si="1"/>
        <v>45954</v>
      </c>
      <c r="L2" s="12">
        <f t="shared" si="1"/>
        <v>45961</v>
      </c>
      <c r="M2" s="12">
        <f t="shared" si="1"/>
        <v>45968</v>
      </c>
      <c r="N2" s="12">
        <f t="shared" si="1"/>
        <v>45975</v>
      </c>
      <c r="O2" s="12">
        <f t="shared" si="1"/>
        <v>45982</v>
      </c>
      <c r="P2" s="12">
        <f t="shared" si="1"/>
        <v>45989</v>
      </c>
      <c r="Q2" s="12">
        <f t="shared" si="1"/>
        <v>45996</v>
      </c>
      <c r="R2" s="12">
        <f t="shared" si="1"/>
        <v>46003</v>
      </c>
      <c r="S2" s="12">
        <f t="shared" si="1"/>
        <v>46010</v>
      </c>
      <c r="T2" s="13" t="s">
        <v>205</v>
      </c>
      <c r="U2" s="13" t="s">
        <v>206</v>
      </c>
      <c r="V2" s="13" t="s">
        <v>207</v>
      </c>
      <c r="W2" s="14" t="s">
        <v>21</v>
      </c>
      <c r="X2" s="15" t="s">
        <v>22</v>
      </c>
      <c r="Y2" s="15" t="s">
        <v>23</v>
      </c>
      <c r="Z2" s="16" t="s">
        <v>24</v>
      </c>
      <c r="AA2" s="14" t="s">
        <v>21</v>
      </c>
      <c r="AB2" s="15" t="s">
        <v>22</v>
      </c>
      <c r="AC2" s="15" t="s">
        <v>23</v>
      </c>
      <c r="AD2" s="16" t="s">
        <v>24</v>
      </c>
      <c r="AE2" s="14" t="s">
        <v>21</v>
      </c>
      <c r="AF2" s="15" t="s">
        <v>22</v>
      </c>
      <c r="AG2" s="15" t="s">
        <v>23</v>
      </c>
      <c r="AH2" s="16" t="s">
        <v>24</v>
      </c>
      <c r="AI2" s="14" t="s">
        <v>21</v>
      </c>
      <c r="AJ2" s="15" t="s">
        <v>22</v>
      </c>
      <c r="AK2" s="15" t="s">
        <v>23</v>
      </c>
      <c r="AL2" s="16" t="s">
        <v>24</v>
      </c>
      <c r="AM2" s="17" t="s">
        <v>25</v>
      </c>
      <c r="AN2" s="18" t="s">
        <v>25</v>
      </c>
      <c r="AO2" s="18" t="s">
        <v>25</v>
      </c>
      <c r="AP2" s="18" t="s">
        <v>25</v>
      </c>
      <c r="AQ2" s="18" t="s">
        <v>25</v>
      </c>
      <c r="AR2" s="18" t="s">
        <v>25</v>
      </c>
      <c r="AS2" s="15" t="s">
        <v>26</v>
      </c>
      <c r="AT2" s="19" t="s">
        <v>26</v>
      </c>
      <c r="AU2" s="14" t="s">
        <v>27</v>
      </c>
      <c r="AV2" s="21"/>
      <c r="BI2" s="7"/>
      <c r="BJ2" s="4"/>
    </row>
    <row r="3">
      <c r="C3" s="4"/>
      <c r="W3" s="21"/>
      <c r="X3" s="15" t="s">
        <v>26</v>
      </c>
      <c r="Y3" s="15" t="s">
        <v>28</v>
      </c>
      <c r="Z3" s="4"/>
      <c r="AA3" s="21"/>
      <c r="AB3" s="15" t="s">
        <v>26</v>
      </c>
      <c r="AC3" s="15" t="s">
        <v>28</v>
      </c>
      <c r="AD3" s="4"/>
      <c r="AE3" s="21"/>
      <c r="AF3" s="15" t="s">
        <v>26</v>
      </c>
      <c r="AG3" s="15" t="s">
        <v>28</v>
      </c>
      <c r="AH3" s="4"/>
      <c r="AI3" s="21"/>
      <c r="AJ3" s="15" t="s">
        <v>26</v>
      </c>
      <c r="AK3" s="15" t="s">
        <v>28</v>
      </c>
      <c r="AL3" s="4"/>
      <c r="AM3" s="21"/>
      <c r="AT3" s="4"/>
      <c r="AU3" s="21"/>
      <c r="AV3" s="17" t="s">
        <v>29</v>
      </c>
      <c r="AW3" s="18" t="s">
        <v>30</v>
      </c>
      <c r="AX3" s="18" t="s">
        <v>3</v>
      </c>
      <c r="AY3" s="18" t="s">
        <v>4</v>
      </c>
      <c r="AZ3" s="18" t="s">
        <v>5</v>
      </c>
      <c r="BA3" s="18" t="s">
        <v>6</v>
      </c>
      <c r="BB3" s="18" t="s">
        <v>7</v>
      </c>
      <c r="BC3" s="18" t="s">
        <v>8</v>
      </c>
      <c r="BD3" s="18" t="s">
        <v>9</v>
      </c>
      <c r="BE3" s="18" t="s">
        <v>10</v>
      </c>
      <c r="BF3" s="18" t="s">
        <v>11</v>
      </c>
      <c r="BG3" s="18" t="s">
        <v>12</v>
      </c>
      <c r="BH3" s="18" t="s">
        <v>31</v>
      </c>
      <c r="BI3" s="23" t="s">
        <v>23</v>
      </c>
      <c r="BJ3" s="4"/>
    </row>
    <row r="4">
      <c r="A4" s="36">
        <v>465479.0</v>
      </c>
      <c r="B4" s="36" t="s">
        <v>208</v>
      </c>
      <c r="C4" s="24"/>
      <c r="D4" s="25" t="s">
        <v>85</v>
      </c>
      <c r="E4" s="27" t="s">
        <v>85</v>
      </c>
      <c r="F4" s="27" t="s">
        <v>85</v>
      </c>
      <c r="G4" s="27" t="s">
        <v>85</v>
      </c>
      <c r="H4" s="27"/>
      <c r="I4" s="27"/>
      <c r="J4" s="27" t="s">
        <v>85</v>
      </c>
      <c r="K4" s="27" t="s">
        <v>85</v>
      </c>
      <c r="L4" s="27" t="s">
        <v>85</v>
      </c>
      <c r="M4" s="27"/>
      <c r="N4" s="27"/>
      <c r="O4" s="27"/>
      <c r="P4" s="27"/>
      <c r="Q4" s="27" t="s">
        <v>85</v>
      </c>
      <c r="R4" s="27"/>
      <c r="S4" s="27" t="s">
        <v>85</v>
      </c>
      <c r="T4" s="27" t="s">
        <v>85</v>
      </c>
      <c r="U4" s="27"/>
      <c r="V4" s="27" t="s">
        <v>85</v>
      </c>
      <c r="W4" s="28">
        <v>465479.0</v>
      </c>
      <c r="X4" s="36">
        <v>6.0</v>
      </c>
      <c r="Z4" s="24" t="s">
        <v>209</v>
      </c>
      <c r="AA4" s="28">
        <v>1753.0</v>
      </c>
      <c r="AB4" s="36">
        <v>0.01</v>
      </c>
      <c r="AD4" s="24"/>
      <c r="AE4" s="28"/>
      <c r="AH4" s="24"/>
      <c r="AI4" s="28"/>
      <c r="AJ4" s="29"/>
      <c r="AL4" s="24"/>
      <c r="AM4" s="28"/>
      <c r="AN4" s="36">
        <v>0.7</v>
      </c>
      <c r="AQ4" s="36">
        <v>0.01</v>
      </c>
      <c r="AS4" s="36">
        <v>6.0</v>
      </c>
      <c r="AT4" s="24">
        <v>6.0</v>
      </c>
      <c r="AU4" s="28"/>
      <c r="AV4" s="21">
        <f t="shared" ref="AV4:AW4" si="2">SUM(AS4)</f>
        <v>6</v>
      </c>
      <c r="AW4">
        <f t="shared" si="2"/>
        <v>6</v>
      </c>
      <c r="AX4">
        <f t="shared" ref="AX4:AX22" si="5">SUM(X4,Y4)</f>
        <v>6</v>
      </c>
      <c r="AY4">
        <f t="shared" ref="AY4:AY22" si="6">SUM(AB4,AC4)</f>
        <v>0.01</v>
      </c>
      <c r="AZ4">
        <f t="shared" ref="AZ4:AZ22" si="7">SUM(AF4,AG4)</f>
        <v>0</v>
      </c>
      <c r="BA4">
        <f t="shared" ref="BA4:BA5" si="8">SUM(AJ4,AK4)</f>
        <v>0</v>
      </c>
      <c r="BB4">
        <f t="shared" ref="BB4:BG4" si="3">SUM(AM4)</f>
        <v>0</v>
      </c>
      <c r="BC4">
        <f t="shared" si="3"/>
        <v>0.7</v>
      </c>
      <c r="BD4">
        <f t="shared" si="3"/>
        <v>0</v>
      </c>
      <c r="BE4">
        <f t="shared" si="3"/>
        <v>0</v>
      </c>
      <c r="BF4">
        <f t="shared" si="3"/>
        <v>0.01</v>
      </c>
      <c r="BG4">
        <f t="shared" si="3"/>
        <v>0</v>
      </c>
      <c r="BH4">
        <f t="shared" ref="BH4:BH22" si="10">SUM(AU4)</f>
        <v>0</v>
      </c>
      <c r="BI4" s="4"/>
      <c r="BJ4" s="50">
        <f t="shared" ref="BJ4:BJ22" si="11">SUM(AV4:BI4)</f>
        <v>18.72</v>
      </c>
      <c r="BK4" s="32"/>
    </row>
    <row r="5">
      <c r="A5" s="36">
        <v>465544.0</v>
      </c>
      <c r="B5" s="36" t="s">
        <v>210</v>
      </c>
      <c r="C5" s="24">
        <v>13239.0</v>
      </c>
      <c r="D5" s="25"/>
      <c r="E5" s="27"/>
      <c r="F5" s="27"/>
      <c r="G5" s="27"/>
      <c r="H5" s="27"/>
      <c r="I5" s="27"/>
      <c r="J5" s="27" t="s">
        <v>85</v>
      </c>
      <c r="K5" s="27"/>
      <c r="L5" s="27"/>
      <c r="M5" s="27"/>
      <c r="N5" s="27"/>
      <c r="O5" s="27"/>
      <c r="P5" s="27"/>
      <c r="Q5" s="143" t="s">
        <v>211</v>
      </c>
      <c r="R5" s="144" t="s">
        <v>212</v>
      </c>
      <c r="S5" s="144" t="s">
        <v>212</v>
      </c>
      <c r="T5" s="144" t="s">
        <v>212</v>
      </c>
      <c r="U5" s="144" t="s">
        <v>212</v>
      </c>
      <c r="V5" s="144" t="s">
        <v>212</v>
      </c>
      <c r="W5" s="28">
        <v>465544.0</v>
      </c>
      <c r="X5" s="36">
        <v>8.0</v>
      </c>
      <c r="Y5" s="36">
        <v>2.0</v>
      </c>
      <c r="Z5" s="24" t="s">
        <v>213</v>
      </c>
      <c r="AA5" s="28">
        <v>1703.0</v>
      </c>
      <c r="AB5" s="36">
        <v>8.5</v>
      </c>
      <c r="AC5" s="36">
        <v>2.0</v>
      </c>
      <c r="AD5" s="24" t="s">
        <v>214</v>
      </c>
      <c r="AE5" s="28">
        <v>1712.0</v>
      </c>
      <c r="AF5" s="36">
        <v>8.5</v>
      </c>
      <c r="AG5" s="36">
        <v>2.0</v>
      </c>
      <c r="AH5" s="24" t="s">
        <v>215</v>
      </c>
      <c r="AI5" s="28">
        <v>1737.0</v>
      </c>
      <c r="AJ5" s="36">
        <v>8.0</v>
      </c>
      <c r="AK5" s="36">
        <v>2.0</v>
      </c>
      <c r="AL5" s="24" t="s">
        <v>216</v>
      </c>
      <c r="AM5" s="28">
        <v>0.7</v>
      </c>
      <c r="AN5" s="36">
        <v>1.2</v>
      </c>
      <c r="AO5" s="36">
        <v>0.7</v>
      </c>
      <c r="AP5" s="36">
        <v>1.4</v>
      </c>
      <c r="AQ5" s="36">
        <v>0.01</v>
      </c>
      <c r="AR5" s="36">
        <v>0.8</v>
      </c>
      <c r="AS5" s="36">
        <v>6.0</v>
      </c>
      <c r="AT5" s="24">
        <v>7.75</v>
      </c>
      <c r="AU5" s="28">
        <f t="shared" ref="AU5:AU6" si="12">SUM(AS5:AT5)</f>
        <v>13.75</v>
      </c>
      <c r="AV5" s="21">
        <f t="shared" ref="AV5:AW5" si="4">SUM(AS5)</f>
        <v>6</v>
      </c>
      <c r="AW5">
        <f t="shared" si="4"/>
        <v>7.75</v>
      </c>
      <c r="AX5">
        <f t="shared" si="5"/>
        <v>10</v>
      </c>
      <c r="AY5">
        <f t="shared" si="6"/>
        <v>10.5</v>
      </c>
      <c r="AZ5">
        <f t="shared" si="7"/>
        <v>10.5</v>
      </c>
      <c r="BA5">
        <f t="shared" si="8"/>
        <v>10</v>
      </c>
      <c r="BB5">
        <f t="shared" ref="BB5:BG5" si="9">SUM(AM5)</f>
        <v>0.7</v>
      </c>
      <c r="BC5">
        <f t="shared" si="9"/>
        <v>1.2</v>
      </c>
      <c r="BD5">
        <f t="shared" si="9"/>
        <v>0.7</v>
      </c>
      <c r="BE5">
        <f t="shared" si="9"/>
        <v>1.4</v>
      </c>
      <c r="BF5">
        <f t="shared" si="9"/>
        <v>0.01</v>
      </c>
      <c r="BG5">
        <f t="shared" si="9"/>
        <v>0.8</v>
      </c>
      <c r="BH5">
        <f t="shared" si="10"/>
        <v>13.75</v>
      </c>
      <c r="BI5" s="24">
        <v>1.0</v>
      </c>
      <c r="BJ5" s="50">
        <f t="shared" si="11"/>
        <v>74.31</v>
      </c>
      <c r="BK5" s="32">
        <v>1.0</v>
      </c>
    </row>
    <row r="6">
      <c r="A6" s="36">
        <v>465945.0</v>
      </c>
      <c r="B6" s="36" t="s">
        <v>217</v>
      </c>
      <c r="C6" s="24">
        <v>24488.0</v>
      </c>
      <c r="D6" s="25"/>
      <c r="E6" s="27"/>
      <c r="F6" s="27"/>
      <c r="G6" s="27"/>
      <c r="H6" s="27"/>
      <c r="I6" s="27"/>
      <c r="J6" s="27"/>
      <c r="K6" s="27" t="s">
        <v>85</v>
      </c>
      <c r="M6" s="27" t="s">
        <v>85</v>
      </c>
      <c r="N6" s="27"/>
      <c r="O6" s="27"/>
      <c r="P6" s="27"/>
      <c r="Q6" s="27"/>
      <c r="R6" s="27"/>
      <c r="S6" s="27"/>
      <c r="T6" s="143" t="s">
        <v>211</v>
      </c>
      <c r="U6" s="144" t="s">
        <v>212</v>
      </c>
      <c r="V6" s="144" t="s">
        <v>212</v>
      </c>
      <c r="W6" s="28">
        <v>465945.0</v>
      </c>
      <c r="X6" s="36">
        <v>7.5</v>
      </c>
      <c r="Y6" s="36">
        <v>2.0</v>
      </c>
      <c r="Z6" s="24">
        <v>19.09</v>
      </c>
      <c r="AA6" s="28">
        <v>1702.0</v>
      </c>
      <c r="AB6" s="36">
        <v>9.0</v>
      </c>
      <c r="AC6" s="36">
        <v>1.0</v>
      </c>
      <c r="AD6" s="24" t="s">
        <v>218</v>
      </c>
      <c r="AE6" s="28">
        <v>1731.0</v>
      </c>
      <c r="AF6" s="36">
        <v>7.5</v>
      </c>
      <c r="AH6" s="24" t="s">
        <v>209</v>
      </c>
      <c r="AI6" s="28">
        <v>1750.0</v>
      </c>
      <c r="AJ6" s="36">
        <v>8.0</v>
      </c>
      <c r="AK6" s="36">
        <v>0.49</v>
      </c>
      <c r="AL6" s="36" t="s">
        <v>219</v>
      </c>
      <c r="AM6" s="28"/>
      <c r="AN6" s="36">
        <v>1.4</v>
      </c>
      <c r="AO6" s="36">
        <v>0.6</v>
      </c>
      <c r="AQ6" s="36">
        <v>0.01</v>
      </c>
      <c r="AR6" s="36">
        <v>0.01</v>
      </c>
      <c r="AS6" s="36">
        <v>7.5</v>
      </c>
      <c r="AT6" s="24">
        <v>8.75</v>
      </c>
      <c r="AU6" s="28">
        <f t="shared" si="12"/>
        <v>16.25</v>
      </c>
      <c r="AV6" s="21">
        <f t="shared" ref="AV6:AW6" si="13">SUM(AS6)</f>
        <v>7.5</v>
      </c>
      <c r="AW6">
        <f t="shared" si="13"/>
        <v>8.75</v>
      </c>
      <c r="AX6">
        <f t="shared" si="5"/>
        <v>9.5</v>
      </c>
      <c r="AY6">
        <f t="shared" si="6"/>
        <v>10</v>
      </c>
      <c r="AZ6">
        <f t="shared" si="7"/>
        <v>7.5</v>
      </c>
      <c r="BA6">
        <f>SUM(AJ18,AK18)</f>
        <v>12</v>
      </c>
      <c r="BB6">
        <f t="shared" ref="BB6:BG6" si="14">SUM(AM6)</f>
        <v>0</v>
      </c>
      <c r="BC6">
        <f t="shared" si="14"/>
        <v>1.4</v>
      </c>
      <c r="BD6">
        <f t="shared" si="14"/>
        <v>0.6</v>
      </c>
      <c r="BE6">
        <f t="shared" si="14"/>
        <v>0</v>
      </c>
      <c r="BF6">
        <f t="shared" si="14"/>
        <v>0.01</v>
      </c>
      <c r="BG6">
        <f t="shared" si="14"/>
        <v>0.01</v>
      </c>
      <c r="BH6">
        <f t="shared" si="10"/>
        <v>16.25</v>
      </c>
      <c r="BI6" s="4"/>
      <c r="BJ6" s="50">
        <f t="shared" si="11"/>
        <v>73.52</v>
      </c>
      <c r="BK6" s="32">
        <v>1.0</v>
      </c>
    </row>
    <row r="7">
      <c r="A7" s="36">
        <v>466082.0</v>
      </c>
      <c r="B7" s="36" t="s">
        <v>220</v>
      </c>
      <c r="C7" s="24">
        <v>13010.0</v>
      </c>
      <c r="D7" s="25"/>
      <c r="E7" s="27" t="s">
        <v>85</v>
      </c>
      <c r="F7" s="27"/>
      <c r="G7" s="27" t="s">
        <v>85</v>
      </c>
      <c r="H7" s="27" t="s">
        <v>85</v>
      </c>
      <c r="I7" s="27" t="s">
        <v>85</v>
      </c>
      <c r="J7" s="27" t="s">
        <v>85</v>
      </c>
      <c r="K7" s="27"/>
      <c r="L7" s="27"/>
      <c r="M7" s="27"/>
      <c r="N7" s="27"/>
      <c r="O7" s="27"/>
      <c r="P7" s="27" t="s">
        <v>85</v>
      </c>
      <c r="Q7" s="27"/>
      <c r="R7" s="27"/>
      <c r="S7" s="27" t="s">
        <v>85</v>
      </c>
      <c r="T7" s="27" t="s">
        <v>85</v>
      </c>
      <c r="U7" s="27" t="s">
        <v>85</v>
      </c>
      <c r="V7" s="27" t="s">
        <v>85</v>
      </c>
      <c r="W7" s="28">
        <v>466082.0</v>
      </c>
      <c r="X7" s="36">
        <v>9.0</v>
      </c>
      <c r="Z7" s="24">
        <v>14.11</v>
      </c>
      <c r="AA7" s="28">
        <v>1739.0</v>
      </c>
      <c r="AB7" s="36">
        <v>7.0</v>
      </c>
      <c r="AD7" s="24" t="s">
        <v>209</v>
      </c>
      <c r="AE7" s="28">
        <v>1751.0</v>
      </c>
      <c r="AH7" s="33"/>
      <c r="AI7" s="28"/>
      <c r="AL7" s="24"/>
      <c r="AM7" s="28"/>
      <c r="AS7" s="36">
        <v>0.01</v>
      </c>
      <c r="AT7" s="24">
        <v>0.01</v>
      </c>
      <c r="AU7" s="28"/>
      <c r="AV7" s="21">
        <f t="shared" ref="AV7:AW7" si="15">SUM(AS7)</f>
        <v>0.01</v>
      </c>
      <c r="AW7">
        <f t="shared" si="15"/>
        <v>0.01</v>
      </c>
      <c r="AX7">
        <f t="shared" si="5"/>
        <v>9</v>
      </c>
      <c r="AY7">
        <f t="shared" si="6"/>
        <v>7</v>
      </c>
      <c r="AZ7">
        <f t="shared" si="7"/>
        <v>0</v>
      </c>
      <c r="BA7">
        <f t="shared" ref="BA7:BA22" si="18">SUM(AJ7,AK7)</f>
        <v>0</v>
      </c>
      <c r="BB7">
        <f t="shared" ref="BB7:BG7" si="16">SUM(AM7)</f>
        <v>0</v>
      </c>
      <c r="BC7">
        <f t="shared" si="16"/>
        <v>0</v>
      </c>
      <c r="BD7">
        <f t="shared" si="16"/>
        <v>0</v>
      </c>
      <c r="BE7">
        <f t="shared" si="16"/>
        <v>0</v>
      </c>
      <c r="BF7">
        <f t="shared" si="16"/>
        <v>0</v>
      </c>
      <c r="BG7">
        <f t="shared" si="16"/>
        <v>0</v>
      </c>
      <c r="BH7">
        <f t="shared" si="10"/>
        <v>0</v>
      </c>
      <c r="BI7" s="4"/>
      <c r="BJ7" s="50">
        <f t="shared" si="11"/>
        <v>16.02</v>
      </c>
      <c r="BK7" s="32"/>
    </row>
    <row r="8">
      <c r="A8" s="36">
        <v>466137.0</v>
      </c>
      <c r="B8" s="36" t="s">
        <v>221</v>
      </c>
      <c r="C8" s="24">
        <v>13020.0</v>
      </c>
      <c r="D8" s="25"/>
      <c r="E8" s="27" t="s">
        <v>85</v>
      </c>
      <c r="F8" s="27" t="s">
        <v>85</v>
      </c>
      <c r="G8" s="27" t="s">
        <v>85</v>
      </c>
      <c r="H8" s="27" t="s">
        <v>85</v>
      </c>
      <c r="I8" s="27" t="s">
        <v>85</v>
      </c>
      <c r="J8" s="27"/>
      <c r="K8" s="27" t="s">
        <v>85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8">
        <v>466137.0</v>
      </c>
      <c r="X8" s="36">
        <v>6.0</v>
      </c>
      <c r="Z8" s="24" t="s">
        <v>216</v>
      </c>
      <c r="AA8" s="28">
        <v>1745.0</v>
      </c>
      <c r="AB8" s="36">
        <v>6.5</v>
      </c>
      <c r="AD8" s="24" t="s">
        <v>219</v>
      </c>
      <c r="AE8" s="28">
        <v>1760.0</v>
      </c>
      <c r="AF8" s="36">
        <v>6.0</v>
      </c>
      <c r="AH8" s="24" t="s">
        <v>222</v>
      </c>
      <c r="AI8" s="28">
        <v>1762.0</v>
      </c>
      <c r="AJ8" s="36">
        <v>0.01</v>
      </c>
      <c r="AL8" s="24"/>
      <c r="AM8" s="28"/>
      <c r="AS8" s="36">
        <v>6.0</v>
      </c>
      <c r="AT8" s="24">
        <v>6.0</v>
      </c>
      <c r="AU8" s="28"/>
      <c r="AV8" s="21">
        <f t="shared" ref="AV8:AW8" si="17">SUM(AS8)</f>
        <v>6</v>
      </c>
      <c r="AW8">
        <f t="shared" si="17"/>
        <v>6</v>
      </c>
      <c r="AX8">
        <f t="shared" si="5"/>
        <v>6</v>
      </c>
      <c r="AY8">
        <f t="shared" si="6"/>
        <v>6.5</v>
      </c>
      <c r="AZ8">
        <f t="shared" si="7"/>
        <v>6</v>
      </c>
      <c r="BA8">
        <f t="shared" si="18"/>
        <v>0.01</v>
      </c>
      <c r="BB8">
        <f t="shared" ref="BB8:BG8" si="19">SUM(AM8)</f>
        <v>0</v>
      </c>
      <c r="BC8">
        <f t="shared" si="19"/>
        <v>0</v>
      </c>
      <c r="BD8">
        <f t="shared" si="19"/>
        <v>0</v>
      </c>
      <c r="BE8">
        <f t="shared" si="19"/>
        <v>0</v>
      </c>
      <c r="BF8">
        <f t="shared" si="19"/>
        <v>0</v>
      </c>
      <c r="BG8">
        <f t="shared" si="19"/>
        <v>0</v>
      </c>
      <c r="BH8">
        <f t="shared" si="10"/>
        <v>0</v>
      </c>
      <c r="BI8" s="4"/>
      <c r="BJ8" s="50">
        <f t="shared" si="11"/>
        <v>30.51</v>
      </c>
      <c r="BK8" s="32"/>
    </row>
    <row r="9">
      <c r="A9" s="36">
        <v>466287.0</v>
      </c>
      <c r="B9" s="145" t="s">
        <v>223</v>
      </c>
      <c r="C9" s="24">
        <v>13110.0</v>
      </c>
      <c r="D9" s="25" t="s">
        <v>85</v>
      </c>
      <c r="E9" s="27"/>
      <c r="F9" s="27"/>
      <c r="G9" s="27"/>
      <c r="H9" s="27"/>
      <c r="I9" s="27"/>
      <c r="J9" s="27" t="s">
        <v>85</v>
      </c>
      <c r="K9" s="27" t="s">
        <v>85</v>
      </c>
      <c r="L9" s="27"/>
      <c r="M9" s="27" t="s">
        <v>85</v>
      </c>
      <c r="N9" s="27"/>
      <c r="O9" s="27" t="s">
        <v>85</v>
      </c>
      <c r="P9" s="27"/>
      <c r="Q9" s="27"/>
      <c r="R9" s="143" t="s">
        <v>211</v>
      </c>
      <c r="S9" s="144" t="s">
        <v>212</v>
      </c>
      <c r="T9" s="144" t="s">
        <v>212</v>
      </c>
      <c r="U9" s="144" t="s">
        <v>212</v>
      </c>
      <c r="V9" s="144" t="s">
        <v>212</v>
      </c>
      <c r="W9" s="146">
        <v>466287.0</v>
      </c>
      <c r="X9" s="36">
        <v>7.5</v>
      </c>
      <c r="Y9" s="36">
        <v>1.0</v>
      </c>
      <c r="Z9" s="24" t="s">
        <v>224</v>
      </c>
      <c r="AA9" s="146">
        <v>1707.0</v>
      </c>
      <c r="AB9" s="36">
        <v>7.5</v>
      </c>
      <c r="AC9" s="36">
        <v>2.0</v>
      </c>
      <c r="AD9" s="24" t="s">
        <v>214</v>
      </c>
      <c r="AE9" s="146">
        <v>1713.0</v>
      </c>
      <c r="AF9" s="36">
        <v>8.0</v>
      </c>
      <c r="AG9" s="36">
        <v>1.0</v>
      </c>
      <c r="AH9" s="24" t="s">
        <v>225</v>
      </c>
      <c r="AI9" s="146">
        <v>1742.0</v>
      </c>
      <c r="AJ9" s="36">
        <v>7.0</v>
      </c>
      <c r="AK9" s="36">
        <v>1.0</v>
      </c>
      <c r="AL9" s="24" t="s">
        <v>209</v>
      </c>
      <c r="AM9" s="28"/>
      <c r="AQ9" s="36">
        <v>0.01</v>
      </c>
      <c r="AR9" s="36">
        <v>1.6</v>
      </c>
      <c r="AS9" s="36">
        <v>6.0</v>
      </c>
      <c r="AT9" s="24">
        <v>8.38</v>
      </c>
      <c r="AU9" s="28">
        <f>SUM(AS9:AT9)</f>
        <v>14.38</v>
      </c>
      <c r="AV9" s="21">
        <f t="shared" ref="AV9:AW9" si="20">SUM(AS9)</f>
        <v>6</v>
      </c>
      <c r="AW9">
        <f t="shared" si="20"/>
        <v>8.38</v>
      </c>
      <c r="AX9">
        <f t="shared" si="5"/>
        <v>8.5</v>
      </c>
      <c r="AY9">
        <f t="shared" si="6"/>
        <v>9.5</v>
      </c>
      <c r="AZ9">
        <f t="shared" si="7"/>
        <v>9</v>
      </c>
      <c r="BA9">
        <f t="shared" si="18"/>
        <v>8</v>
      </c>
      <c r="BB9">
        <f t="shared" ref="BB9:BG9" si="21">SUM(AM9)</f>
        <v>0</v>
      </c>
      <c r="BC9">
        <f t="shared" si="21"/>
        <v>0</v>
      </c>
      <c r="BD9">
        <f t="shared" si="21"/>
        <v>0</v>
      </c>
      <c r="BE9">
        <f t="shared" si="21"/>
        <v>0</v>
      </c>
      <c r="BF9">
        <f t="shared" si="21"/>
        <v>0.01</v>
      </c>
      <c r="BG9">
        <f t="shared" si="21"/>
        <v>1.6</v>
      </c>
      <c r="BH9">
        <f t="shared" si="10"/>
        <v>14.38</v>
      </c>
      <c r="BI9" s="4"/>
      <c r="BJ9" s="50">
        <f t="shared" si="11"/>
        <v>65.37</v>
      </c>
      <c r="BK9" s="32">
        <v>1.0</v>
      </c>
    </row>
    <row r="10">
      <c r="A10" s="36">
        <v>466497.0</v>
      </c>
      <c r="B10" s="36" t="s">
        <v>226</v>
      </c>
      <c r="C10" s="24">
        <v>13030.0</v>
      </c>
      <c r="D10" s="25"/>
      <c r="E10" s="27" t="s">
        <v>85</v>
      </c>
      <c r="F10" s="27"/>
      <c r="G10" s="27"/>
      <c r="H10" s="27"/>
      <c r="I10" s="27"/>
      <c r="J10" s="27"/>
      <c r="K10" s="27" t="s">
        <v>85</v>
      </c>
      <c r="L10" s="27"/>
      <c r="M10" s="27"/>
      <c r="N10" s="27"/>
      <c r="O10" s="27" t="s">
        <v>85</v>
      </c>
      <c r="P10" s="27" t="s">
        <v>85</v>
      </c>
      <c r="Q10" s="27" t="s">
        <v>85</v>
      </c>
      <c r="R10" s="27" t="s">
        <v>85</v>
      </c>
      <c r="S10" s="27"/>
      <c r="T10" s="27"/>
      <c r="U10" s="27"/>
      <c r="V10" s="143" t="s">
        <v>211</v>
      </c>
      <c r="W10" s="28">
        <v>466497.0</v>
      </c>
      <c r="X10" s="61">
        <v>7.5</v>
      </c>
      <c r="Y10" s="58"/>
      <c r="Z10" s="24" t="s">
        <v>227</v>
      </c>
      <c r="AA10" s="62">
        <v>1723.0</v>
      </c>
      <c r="AB10" s="61">
        <v>9.0</v>
      </c>
      <c r="AC10" s="61"/>
      <c r="AD10" s="109">
        <v>14.11</v>
      </c>
      <c r="AE10" s="62">
        <v>1740.0</v>
      </c>
      <c r="AF10" s="36">
        <v>7.5</v>
      </c>
      <c r="AH10" s="36" t="s">
        <v>219</v>
      </c>
      <c r="AI10" s="28">
        <v>1761.0</v>
      </c>
      <c r="AJ10" s="36">
        <v>7.5</v>
      </c>
      <c r="AL10" s="63"/>
      <c r="AM10" s="21"/>
      <c r="AS10" s="36">
        <v>6.0</v>
      </c>
      <c r="AT10" s="24">
        <v>6.0</v>
      </c>
      <c r="AU10" s="28">
        <f>SUM(AS10:AT10)+2</f>
        <v>14</v>
      </c>
      <c r="AV10" s="21">
        <f t="shared" ref="AV10:AW10" si="22">SUM(AS10)</f>
        <v>6</v>
      </c>
      <c r="AW10">
        <f t="shared" si="22"/>
        <v>6</v>
      </c>
      <c r="AX10">
        <f t="shared" si="5"/>
        <v>7.5</v>
      </c>
      <c r="AY10">
        <f t="shared" si="6"/>
        <v>9</v>
      </c>
      <c r="AZ10">
        <f t="shared" si="7"/>
        <v>7.5</v>
      </c>
      <c r="BA10">
        <f t="shared" si="18"/>
        <v>7.5</v>
      </c>
      <c r="BB10">
        <f t="shared" ref="BB10:BG10" si="23">SUM(AM10)</f>
        <v>0</v>
      </c>
      <c r="BC10">
        <f t="shared" si="23"/>
        <v>0</v>
      </c>
      <c r="BD10">
        <f t="shared" si="23"/>
        <v>0</v>
      </c>
      <c r="BE10">
        <f t="shared" si="23"/>
        <v>0</v>
      </c>
      <c r="BF10">
        <f t="shared" si="23"/>
        <v>0</v>
      </c>
      <c r="BG10">
        <f t="shared" si="23"/>
        <v>0</v>
      </c>
      <c r="BH10">
        <f t="shared" si="10"/>
        <v>14</v>
      </c>
      <c r="BI10" s="24">
        <v>3.0</v>
      </c>
      <c r="BJ10" s="50">
        <f t="shared" si="11"/>
        <v>60.5</v>
      </c>
      <c r="BK10" s="32">
        <v>2.0</v>
      </c>
    </row>
    <row r="11">
      <c r="A11" s="36">
        <v>472157.0</v>
      </c>
      <c r="B11" s="36" t="s">
        <v>228</v>
      </c>
      <c r="C11" s="24"/>
      <c r="D11" s="25" t="s">
        <v>85</v>
      </c>
      <c r="E11" s="27"/>
      <c r="F11" s="27"/>
      <c r="G11" s="27" t="s">
        <v>85</v>
      </c>
      <c r="H11" s="27" t="s">
        <v>85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 t="s">
        <v>85</v>
      </c>
      <c r="U11" s="27"/>
      <c r="V11" s="143" t="s">
        <v>211</v>
      </c>
      <c r="W11" s="28">
        <v>472157.0</v>
      </c>
      <c r="X11" s="36">
        <v>7.0</v>
      </c>
      <c r="Z11" s="24" t="s">
        <v>229</v>
      </c>
      <c r="AA11" s="28">
        <v>1725.0</v>
      </c>
      <c r="AB11" s="36">
        <v>8.5</v>
      </c>
      <c r="AD11" s="24" t="s">
        <v>225</v>
      </c>
      <c r="AE11" s="28">
        <v>1743.0</v>
      </c>
      <c r="AF11" s="36">
        <v>8.0</v>
      </c>
      <c r="AH11" s="24" t="s">
        <v>230</v>
      </c>
      <c r="AI11" s="28">
        <v>1755.0</v>
      </c>
      <c r="AJ11" s="36">
        <v>7.5</v>
      </c>
      <c r="AL11" s="24" t="s">
        <v>231</v>
      </c>
      <c r="AM11" s="28"/>
      <c r="AO11" s="36">
        <v>0.7</v>
      </c>
      <c r="AQ11" s="36">
        <v>1.2</v>
      </c>
      <c r="AR11" s="36">
        <v>1.2</v>
      </c>
      <c r="AS11" s="36">
        <v>7.5</v>
      </c>
      <c r="AT11" s="24">
        <v>6.25</v>
      </c>
      <c r="AU11" s="28">
        <f t="shared" ref="AU11:AU14" si="26">SUM(AS11:AT11)</f>
        <v>13.75</v>
      </c>
      <c r="AV11" s="21">
        <f t="shared" ref="AV11:AW11" si="24">SUM(AS11)</f>
        <v>7.5</v>
      </c>
      <c r="AW11">
        <f t="shared" si="24"/>
        <v>6.25</v>
      </c>
      <c r="AX11">
        <f t="shared" si="5"/>
        <v>7</v>
      </c>
      <c r="AY11">
        <f t="shared" si="6"/>
        <v>8.5</v>
      </c>
      <c r="AZ11">
        <f t="shared" si="7"/>
        <v>8</v>
      </c>
      <c r="BA11">
        <f t="shared" si="18"/>
        <v>7.5</v>
      </c>
      <c r="BB11">
        <f t="shared" ref="BB11:BG11" si="25">SUM(AM11)</f>
        <v>0</v>
      </c>
      <c r="BC11">
        <f t="shared" si="25"/>
        <v>0</v>
      </c>
      <c r="BD11">
        <f t="shared" si="25"/>
        <v>0.7</v>
      </c>
      <c r="BE11">
        <f t="shared" si="25"/>
        <v>0</v>
      </c>
      <c r="BF11">
        <f t="shared" si="25"/>
        <v>1.2</v>
      </c>
      <c r="BG11">
        <f t="shared" si="25"/>
        <v>1.2</v>
      </c>
      <c r="BH11">
        <f t="shared" si="10"/>
        <v>13.75</v>
      </c>
      <c r="BI11" s="4"/>
      <c r="BJ11" s="50">
        <f t="shared" si="11"/>
        <v>61.6</v>
      </c>
      <c r="BK11" s="32">
        <v>2.0</v>
      </c>
    </row>
    <row r="12">
      <c r="A12" s="36">
        <v>466560.0</v>
      </c>
      <c r="B12" s="36" t="s">
        <v>232</v>
      </c>
      <c r="C12" s="24">
        <v>13040.0</v>
      </c>
      <c r="D12" s="34"/>
      <c r="E12" s="27" t="s">
        <v>85</v>
      </c>
      <c r="F12" s="27" t="s">
        <v>85</v>
      </c>
      <c r="G12" s="27" t="s">
        <v>85</v>
      </c>
      <c r="H12" s="27"/>
      <c r="I12" s="27"/>
      <c r="J12" s="27"/>
      <c r="K12" s="27" t="s">
        <v>85</v>
      </c>
      <c r="L12" s="27"/>
      <c r="M12" s="27"/>
      <c r="N12" s="27" t="s">
        <v>85</v>
      </c>
      <c r="O12" s="27"/>
      <c r="P12" s="27"/>
      <c r="Q12" s="27"/>
      <c r="R12" s="27"/>
      <c r="S12" s="27" t="s">
        <v>85</v>
      </c>
      <c r="T12" s="143" t="s">
        <v>211</v>
      </c>
      <c r="U12" s="144" t="s">
        <v>212</v>
      </c>
      <c r="V12" s="144" t="s">
        <v>212</v>
      </c>
      <c r="W12" s="28">
        <v>466560.0</v>
      </c>
      <c r="X12" s="36">
        <v>9.0</v>
      </c>
      <c r="Z12" s="24" t="s">
        <v>227</v>
      </c>
      <c r="AA12" s="28">
        <v>1714.0</v>
      </c>
      <c r="AB12" s="36">
        <v>8.0</v>
      </c>
      <c r="AD12" s="24" t="s">
        <v>225</v>
      </c>
      <c r="AE12" s="28">
        <v>1732.0</v>
      </c>
      <c r="AF12" s="36">
        <v>7.0</v>
      </c>
      <c r="AH12" s="24" t="s">
        <v>209</v>
      </c>
      <c r="AI12" s="28">
        <v>1751.0</v>
      </c>
      <c r="AJ12" s="36">
        <v>7.0</v>
      </c>
      <c r="AL12" s="24" t="s">
        <v>219</v>
      </c>
      <c r="AM12" s="28">
        <v>0.6</v>
      </c>
      <c r="AN12" s="36">
        <v>1.0</v>
      </c>
      <c r="AP12" s="36">
        <v>1.1</v>
      </c>
      <c r="AQ12" s="36">
        <v>0.01</v>
      </c>
      <c r="AR12" s="36">
        <v>0.01</v>
      </c>
      <c r="AS12" s="36">
        <v>6.0</v>
      </c>
      <c r="AT12" s="24">
        <v>6.0</v>
      </c>
      <c r="AU12" s="28">
        <f t="shared" si="26"/>
        <v>12</v>
      </c>
      <c r="AV12" s="21">
        <f t="shared" ref="AV12:AW12" si="27">SUM(AS12)</f>
        <v>6</v>
      </c>
      <c r="AW12">
        <f t="shared" si="27"/>
        <v>6</v>
      </c>
      <c r="AX12">
        <f t="shared" si="5"/>
        <v>9</v>
      </c>
      <c r="AY12">
        <f t="shared" si="6"/>
        <v>8</v>
      </c>
      <c r="AZ12">
        <f t="shared" si="7"/>
        <v>7</v>
      </c>
      <c r="BA12">
        <f t="shared" si="18"/>
        <v>7</v>
      </c>
      <c r="BB12">
        <f t="shared" ref="BB12:BG12" si="28">SUM(AM12)</f>
        <v>0.6</v>
      </c>
      <c r="BC12">
        <f t="shared" si="28"/>
        <v>1</v>
      </c>
      <c r="BD12">
        <f t="shared" si="28"/>
        <v>0</v>
      </c>
      <c r="BE12">
        <f t="shared" si="28"/>
        <v>1.1</v>
      </c>
      <c r="BF12">
        <f t="shared" si="28"/>
        <v>0.01</v>
      </c>
      <c r="BG12">
        <f t="shared" si="28"/>
        <v>0.01</v>
      </c>
      <c r="BH12">
        <f t="shared" si="10"/>
        <v>12</v>
      </c>
      <c r="BI12" s="24">
        <v>3.0</v>
      </c>
      <c r="BJ12" s="50">
        <f t="shared" si="11"/>
        <v>60.72</v>
      </c>
      <c r="BK12" s="32">
        <v>1.0</v>
      </c>
    </row>
    <row r="13">
      <c r="A13" s="36">
        <v>467039.0</v>
      </c>
      <c r="B13" s="36" t="s">
        <v>233</v>
      </c>
      <c r="C13" s="24">
        <v>13050.0</v>
      </c>
      <c r="D13" s="34"/>
      <c r="E13" s="27"/>
      <c r="F13" s="27"/>
      <c r="G13" s="27"/>
      <c r="H13" s="27"/>
      <c r="I13" s="27" t="s">
        <v>85</v>
      </c>
      <c r="J13" s="27"/>
      <c r="K13" s="27"/>
      <c r="L13" s="27"/>
      <c r="M13" s="27" t="s">
        <v>85</v>
      </c>
      <c r="N13" s="27" t="s">
        <v>85</v>
      </c>
      <c r="O13" s="27"/>
      <c r="P13" s="27"/>
      <c r="Q13" s="27"/>
      <c r="R13" s="27"/>
      <c r="S13" s="27" t="s">
        <v>85</v>
      </c>
      <c r="T13" s="143" t="s">
        <v>211</v>
      </c>
      <c r="U13" s="144" t="s">
        <v>212</v>
      </c>
      <c r="V13" s="144" t="s">
        <v>212</v>
      </c>
      <c r="W13" s="28">
        <v>467039.0</v>
      </c>
      <c r="X13" s="36">
        <v>7.5</v>
      </c>
      <c r="Y13" s="36">
        <v>1.0</v>
      </c>
      <c r="Z13" s="24" t="s">
        <v>224</v>
      </c>
      <c r="AA13" s="29">
        <v>1711.0</v>
      </c>
      <c r="AB13" s="36">
        <v>7.0</v>
      </c>
      <c r="AC13" s="36">
        <v>1.0</v>
      </c>
      <c r="AD13" s="24" t="s">
        <v>218</v>
      </c>
      <c r="AE13" s="28">
        <v>1733.0</v>
      </c>
      <c r="AF13" s="36">
        <v>7.0</v>
      </c>
      <c r="AH13" s="24" t="s">
        <v>209</v>
      </c>
      <c r="AI13" s="28">
        <v>1752.0</v>
      </c>
      <c r="AJ13" s="36">
        <v>7.07</v>
      </c>
      <c r="AL13" s="24" t="s">
        <v>219</v>
      </c>
      <c r="AM13" s="28">
        <v>1.0</v>
      </c>
      <c r="AN13" s="36">
        <v>1.0</v>
      </c>
      <c r="AQ13" s="36">
        <v>1.6</v>
      </c>
      <c r="AS13" s="36">
        <v>6.0</v>
      </c>
      <c r="AT13" s="24">
        <v>6.92</v>
      </c>
      <c r="AU13" s="28">
        <f t="shared" si="26"/>
        <v>12.92</v>
      </c>
      <c r="AV13" s="21">
        <f t="shared" ref="AV13:AW13" si="29">SUM(AS13)</f>
        <v>6</v>
      </c>
      <c r="AW13">
        <f t="shared" si="29"/>
        <v>6.92</v>
      </c>
      <c r="AX13">
        <f t="shared" si="5"/>
        <v>8.5</v>
      </c>
      <c r="AY13">
        <f t="shared" si="6"/>
        <v>8</v>
      </c>
      <c r="AZ13">
        <f t="shared" si="7"/>
        <v>7</v>
      </c>
      <c r="BA13">
        <f t="shared" si="18"/>
        <v>7.07</v>
      </c>
      <c r="BB13">
        <f t="shared" ref="BB13:BG13" si="30">SUM(AM13)</f>
        <v>1</v>
      </c>
      <c r="BC13">
        <f t="shared" si="30"/>
        <v>1</v>
      </c>
      <c r="BD13">
        <f t="shared" si="30"/>
        <v>0</v>
      </c>
      <c r="BE13">
        <f t="shared" si="30"/>
        <v>0</v>
      </c>
      <c r="BF13">
        <f t="shared" si="30"/>
        <v>1.6</v>
      </c>
      <c r="BG13">
        <f t="shared" si="30"/>
        <v>0</v>
      </c>
      <c r="BH13">
        <f t="shared" si="10"/>
        <v>12.92</v>
      </c>
      <c r="BI13" s="4"/>
      <c r="BJ13" s="50">
        <f t="shared" si="11"/>
        <v>60.01</v>
      </c>
      <c r="BK13" s="32">
        <v>1.0</v>
      </c>
    </row>
    <row r="14">
      <c r="A14" s="36">
        <v>467109.0</v>
      </c>
      <c r="B14" s="36" t="s">
        <v>234</v>
      </c>
      <c r="C14" s="4"/>
      <c r="D14" s="25" t="s">
        <v>85</v>
      </c>
      <c r="E14" s="27"/>
      <c r="F14" s="27"/>
      <c r="G14" s="27" t="s">
        <v>85</v>
      </c>
      <c r="H14" s="27"/>
      <c r="I14" s="27"/>
      <c r="J14" s="27"/>
      <c r="K14" s="27" t="s">
        <v>85</v>
      </c>
      <c r="L14" s="27" t="s">
        <v>85</v>
      </c>
      <c r="M14" s="27" t="s">
        <v>85</v>
      </c>
      <c r="N14" s="27"/>
      <c r="O14" s="27" t="s">
        <v>85</v>
      </c>
      <c r="P14" s="27"/>
      <c r="Q14" s="27"/>
      <c r="R14" s="27"/>
      <c r="S14" s="143" t="s">
        <v>211</v>
      </c>
      <c r="T14" s="144" t="s">
        <v>212</v>
      </c>
      <c r="U14" s="144" t="s">
        <v>212</v>
      </c>
      <c r="V14" s="144" t="s">
        <v>212</v>
      </c>
      <c r="W14" s="28">
        <v>467109.0</v>
      </c>
      <c r="X14" s="36">
        <v>8.0</v>
      </c>
      <c r="Y14" s="36">
        <v>2.0</v>
      </c>
      <c r="Z14" s="24">
        <v>19.09</v>
      </c>
      <c r="AA14" s="28">
        <v>1706.0</v>
      </c>
      <c r="AB14" s="36">
        <v>9.0</v>
      </c>
      <c r="AC14" s="36">
        <v>2.0</v>
      </c>
      <c r="AD14" s="24" t="s">
        <v>227</v>
      </c>
      <c r="AE14" s="28">
        <v>1715.0</v>
      </c>
      <c r="AF14" s="36">
        <v>8.5</v>
      </c>
      <c r="AH14" s="24" t="s">
        <v>209</v>
      </c>
      <c r="AI14" s="28">
        <v>1748.0</v>
      </c>
      <c r="AJ14" s="36">
        <v>7.5</v>
      </c>
      <c r="AK14" s="36">
        <v>1.0</v>
      </c>
      <c r="AL14" s="24" t="s">
        <v>230</v>
      </c>
      <c r="AM14" s="28"/>
      <c r="AP14" s="36">
        <v>0.3</v>
      </c>
      <c r="AQ14" s="36">
        <v>0.01</v>
      </c>
      <c r="AR14" s="36">
        <v>0.01</v>
      </c>
      <c r="AS14" s="36">
        <v>6.0</v>
      </c>
      <c r="AT14" s="36">
        <v>7.75</v>
      </c>
      <c r="AU14" s="28">
        <f t="shared" si="26"/>
        <v>13.75</v>
      </c>
      <c r="AV14" s="21">
        <f t="shared" ref="AV14:AW14" si="31">SUM(AS14)</f>
        <v>6</v>
      </c>
      <c r="AW14">
        <f t="shared" si="31"/>
        <v>7.75</v>
      </c>
      <c r="AX14">
        <f t="shared" si="5"/>
        <v>10</v>
      </c>
      <c r="AY14">
        <f t="shared" si="6"/>
        <v>11</v>
      </c>
      <c r="AZ14">
        <f t="shared" si="7"/>
        <v>8.5</v>
      </c>
      <c r="BA14">
        <f t="shared" si="18"/>
        <v>8.5</v>
      </c>
      <c r="BB14">
        <f t="shared" ref="BB14:BG14" si="32">SUM(AM14)</f>
        <v>0</v>
      </c>
      <c r="BC14">
        <f t="shared" si="32"/>
        <v>0</v>
      </c>
      <c r="BD14">
        <f t="shared" si="32"/>
        <v>0</v>
      </c>
      <c r="BE14">
        <f t="shared" si="32"/>
        <v>0.3</v>
      </c>
      <c r="BF14">
        <f t="shared" si="32"/>
        <v>0.01</v>
      </c>
      <c r="BG14">
        <f t="shared" si="32"/>
        <v>0.01</v>
      </c>
      <c r="BH14">
        <f t="shared" si="10"/>
        <v>13.75</v>
      </c>
      <c r="BI14" s="4"/>
      <c r="BJ14" s="50">
        <f t="shared" si="11"/>
        <v>65.82</v>
      </c>
      <c r="BK14" s="32">
        <v>1.0</v>
      </c>
    </row>
    <row r="15">
      <c r="A15" s="36">
        <v>475186.0</v>
      </c>
      <c r="B15" s="36" t="s">
        <v>235</v>
      </c>
      <c r="C15" s="24">
        <v>13060.0</v>
      </c>
      <c r="D15" s="25"/>
      <c r="E15" s="27" t="s">
        <v>85</v>
      </c>
      <c r="F15" s="27" t="s">
        <v>85</v>
      </c>
      <c r="G15" s="27"/>
      <c r="H15" s="27" t="s">
        <v>85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 t="s">
        <v>85</v>
      </c>
      <c r="T15" s="27"/>
      <c r="U15" s="27"/>
      <c r="V15" s="27"/>
      <c r="W15" s="28">
        <v>475186.0</v>
      </c>
      <c r="X15" s="36">
        <v>8.0</v>
      </c>
      <c r="Z15" s="24" t="s">
        <v>225</v>
      </c>
      <c r="AA15" s="28">
        <v>1744.0</v>
      </c>
      <c r="AB15" s="36">
        <v>0.01</v>
      </c>
      <c r="AD15" s="4"/>
      <c r="AE15" s="28"/>
      <c r="AH15" s="4"/>
      <c r="AI15" s="28"/>
      <c r="AL15" s="63"/>
      <c r="AM15" s="28">
        <v>1.0</v>
      </c>
      <c r="AQ15" s="36">
        <v>0.8</v>
      </c>
      <c r="AS15" s="36">
        <v>6.0</v>
      </c>
      <c r="AT15" s="36">
        <v>6.0</v>
      </c>
      <c r="AU15" s="28"/>
      <c r="AV15" s="21">
        <f t="shared" ref="AV15:AW15" si="33">SUM(AS15)</f>
        <v>6</v>
      </c>
      <c r="AW15">
        <f t="shared" si="33"/>
        <v>6</v>
      </c>
      <c r="AX15">
        <f t="shared" si="5"/>
        <v>8</v>
      </c>
      <c r="AY15">
        <f t="shared" si="6"/>
        <v>0.01</v>
      </c>
      <c r="AZ15">
        <f t="shared" si="7"/>
        <v>0</v>
      </c>
      <c r="BA15">
        <f t="shared" si="18"/>
        <v>0</v>
      </c>
      <c r="BB15">
        <f t="shared" ref="BB15:BG15" si="34">SUM(AM15)</f>
        <v>1</v>
      </c>
      <c r="BC15">
        <f t="shared" si="34"/>
        <v>0</v>
      </c>
      <c r="BD15">
        <f t="shared" si="34"/>
        <v>0</v>
      </c>
      <c r="BE15">
        <f t="shared" si="34"/>
        <v>0</v>
      </c>
      <c r="BF15">
        <f t="shared" si="34"/>
        <v>0.8</v>
      </c>
      <c r="BG15">
        <f t="shared" si="34"/>
        <v>0</v>
      </c>
      <c r="BH15">
        <f t="shared" si="10"/>
        <v>0</v>
      </c>
      <c r="BI15" s="4"/>
      <c r="BJ15" s="50">
        <f t="shared" si="11"/>
        <v>21.81</v>
      </c>
      <c r="BK15" s="32"/>
    </row>
    <row r="16">
      <c r="A16" s="36">
        <v>467242.0</v>
      </c>
      <c r="B16" s="36" t="s">
        <v>236</v>
      </c>
      <c r="C16" s="24">
        <v>13070.0</v>
      </c>
      <c r="D16" s="25"/>
      <c r="E16" s="27"/>
      <c r="F16" s="27"/>
      <c r="G16" s="27"/>
      <c r="H16" s="27"/>
      <c r="I16" s="27"/>
      <c r="J16" s="27"/>
      <c r="K16" s="27"/>
      <c r="L16" s="27"/>
      <c r="M16" s="27" t="s">
        <v>85</v>
      </c>
      <c r="N16" s="27" t="s">
        <v>85</v>
      </c>
      <c r="O16" s="27"/>
      <c r="P16" s="27"/>
      <c r="Q16" s="27"/>
      <c r="R16" s="27"/>
      <c r="S16" s="27"/>
      <c r="T16" s="143" t="s">
        <v>211</v>
      </c>
      <c r="U16" s="144" t="s">
        <v>212</v>
      </c>
      <c r="V16" s="144" t="s">
        <v>212</v>
      </c>
      <c r="W16" s="28">
        <v>467242.0</v>
      </c>
      <c r="X16" s="36">
        <v>9.0</v>
      </c>
      <c r="Y16" s="36">
        <v>1.0</v>
      </c>
      <c r="Z16" s="24" t="s">
        <v>224</v>
      </c>
      <c r="AA16" s="28">
        <v>1710.0</v>
      </c>
      <c r="AB16" s="36">
        <v>8.0</v>
      </c>
      <c r="AC16" s="36">
        <v>1.0</v>
      </c>
      <c r="AD16" s="24" t="s">
        <v>229</v>
      </c>
      <c r="AE16" s="28">
        <v>1726.0</v>
      </c>
      <c r="AF16" s="36">
        <v>7.5</v>
      </c>
      <c r="AH16" s="24" t="s">
        <v>209</v>
      </c>
      <c r="AI16" s="28">
        <v>1749.0</v>
      </c>
      <c r="AJ16" s="36">
        <v>7.0</v>
      </c>
      <c r="AL16" s="24" t="s">
        <v>219</v>
      </c>
      <c r="AM16" s="28">
        <v>0.3</v>
      </c>
      <c r="AP16" s="36">
        <v>1.0</v>
      </c>
      <c r="AQ16" s="36">
        <v>2.0</v>
      </c>
      <c r="AS16" s="36">
        <v>6.0</v>
      </c>
      <c r="AT16" s="36">
        <v>6.75</v>
      </c>
      <c r="AU16" s="28">
        <f t="shared" ref="AU16:AU17" si="37">SUM(AS16:AT16)</f>
        <v>12.75</v>
      </c>
      <c r="AV16" s="21">
        <f t="shared" ref="AV16:AW16" si="35">SUM(AS16)</f>
        <v>6</v>
      </c>
      <c r="AW16">
        <f t="shared" si="35"/>
        <v>6.75</v>
      </c>
      <c r="AX16">
        <f t="shared" si="5"/>
        <v>10</v>
      </c>
      <c r="AY16">
        <f t="shared" si="6"/>
        <v>9</v>
      </c>
      <c r="AZ16">
        <f t="shared" si="7"/>
        <v>7.5</v>
      </c>
      <c r="BA16">
        <f t="shared" si="18"/>
        <v>7</v>
      </c>
      <c r="BB16">
        <f t="shared" ref="BB16:BG16" si="36">SUM(AM16)</f>
        <v>0.3</v>
      </c>
      <c r="BC16">
        <f t="shared" si="36"/>
        <v>0</v>
      </c>
      <c r="BD16">
        <f t="shared" si="36"/>
        <v>0</v>
      </c>
      <c r="BE16">
        <f t="shared" si="36"/>
        <v>1</v>
      </c>
      <c r="BF16">
        <f t="shared" si="36"/>
        <v>2</v>
      </c>
      <c r="BG16">
        <f t="shared" si="36"/>
        <v>0</v>
      </c>
      <c r="BH16">
        <f t="shared" si="10"/>
        <v>12.75</v>
      </c>
      <c r="BI16" s="4"/>
      <c r="BJ16" s="50">
        <f t="shared" si="11"/>
        <v>62.3</v>
      </c>
      <c r="BK16" s="32">
        <v>1.0</v>
      </c>
    </row>
    <row r="17">
      <c r="A17" s="36">
        <v>467363.0</v>
      </c>
      <c r="B17" s="145" t="s">
        <v>237</v>
      </c>
      <c r="C17" s="24">
        <v>13080.0</v>
      </c>
      <c r="D17" s="25"/>
      <c r="E17" s="27" t="s">
        <v>85</v>
      </c>
      <c r="F17" s="27"/>
      <c r="G17" s="27"/>
      <c r="H17" s="27"/>
      <c r="I17" s="27"/>
      <c r="J17" s="27" t="s">
        <v>85</v>
      </c>
      <c r="K17" s="27" t="s">
        <v>85</v>
      </c>
      <c r="L17" s="27"/>
      <c r="M17" s="27" t="s">
        <v>85</v>
      </c>
      <c r="N17" s="27"/>
      <c r="O17" s="27"/>
      <c r="P17" s="27"/>
      <c r="Q17" s="27"/>
      <c r="R17" s="143" t="s">
        <v>211</v>
      </c>
      <c r="S17" s="144" t="s">
        <v>212</v>
      </c>
      <c r="T17" s="144" t="s">
        <v>212</v>
      </c>
      <c r="U17" s="144" t="s">
        <v>212</v>
      </c>
      <c r="V17" s="144" t="s">
        <v>212</v>
      </c>
      <c r="W17" s="146">
        <v>466287.0</v>
      </c>
      <c r="X17" s="36">
        <v>8.5</v>
      </c>
      <c r="Y17" s="36">
        <v>1.0</v>
      </c>
      <c r="Z17" s="24" t="s">
        <v>224</v>
      </c>
      <c r="AA17" s="146">
        <v>1707.0</v>
      </c>
      <c r="AB17" s="36">
        <v>7.5</v>
      </c>
      <c r="AC17" s="36">
        <v>2.0</v>
      </c>
      <c r="AD17" s="24" t="s">
        <v>214</v>
      </c>
      <c r="AE17" s="146">
        <v>1713.0</v>
      </c>
      <c r="AF17" s="36">
        <v>8.0</v>
      </c>
      <c r="AG17" s="36">
        <v>1.0</v>
      </c>
      <c r="AH17" s="24" t="s">
        <v>225</v>
      </c>
      <c r="AI17" s="146">
        <v>1742.0</v>
      </c>
      <c r="AJ17" s="36">
        <v>8.0</v>
      </c>
      <c r="AK17" s="36">
        <v>1.0</v>
      </c>
      <c r="AL17" s="24" t="s">
        <v>209</v>
      </c>
      <c r="AM17" s="28">
        <v>0.4</v>
      </c>
      <c r="AN17" s="36">
        <v>1.3</v>
      </c>
      <c r="AP17" s="36">
        <v>1.4</v>
      </c>
      <c r="AQ17" s="36">
        <v>1.6</v>
      </c>
      <c r="AR17" s="36">
        <v>1.0</v>
      </c>
      <c r="AS17" s="36">
        <v>7.5</v>
      </c>
      <c r="AT17" s="24">
        <v>8.75</v>
      </c>
      <c r="AU17" s="28">
        <f t="shared" si="37"/>
        <v>16.25</v>
      </c>
      <c r="AV17" s="21">
        <f t="shared" ref="AV17:AW17" si="38">SUM(AS17)</f>
        <v>7.5</v>
      </c>
      <c r="AW17">
        <f t="shared" si="38"/>
        <v>8.75</v>
      </c>
      <c r="AX17">
        <f t="shared" si="5"/>
        <v>9.5</v>
      </c>
      <c r="AY17">
        <f t="shared" si="6"/>
        <v>9.5</v>
      </c>
      <c r="AZ17">
        <f t="shared" si="7"/>
        <v>9</v>
      </c>
      <c r="BA17">
        <f t="shared" si="18"/>
        <v>9</v>
      </c>
      <c r="BB17">
        <f t="shared" ref="BB17:BG17" si="39">SUM(AM17)</f>
        <v>0.4</v>
      </c>
      <c r="BC17">
        <f t="shared" si="39"/>
        <v>1.3</v>
      </c>
      <c r="BD17">
        <f t="shared" si="39"/>
        <v>0</v>
      </c>
      <c r="BE17">
        <f t="shared" si="39"/>
        <v>1.4</v>
      </c>
      <c r="BF17">
        <f t="shared" si="39"/>
        <v>1.6</v>
      </c>
      <c r="BG17">
        <f t="shared" si="39"/>
        <v>1</v>
      </c>
      <c r="BH17">
        <f t="shared" si="10"/>
        <v>16.25</v>
      </c>
      <c r="BI17" s="4"/>
      <c r="BJ17" s="50">
        <f t="shared" si="11"/>
        <v>75.2</v>
      </c>
      <c r="BK17" s="32">
        <v>1.0</v>
      </c>
    </row>
    <row r="18">
      <c r="A18" s="36">
        <v>467507.0</v>
      </c>
      <c r="B18" s="36" t="s">
        <v>238</v>
      </c>
      <c r="C18" s="24">
        <v>3213.0</v>
      </c>
      <c r="D18" s="25"/>
      <c r="E18" s="27"/>
      <c r="F18" s="27"/>
      <c r="G18" s="27"/>
      <c r="H18" s="27"/>
      <c r="I18" s="27"/>
      <c r="J18" s="27"/>
      <c r="K18" s="27"/>
      <c r="L18" s="27"/>
      <c r="M18" s="27"/>
      <c r="N18" s="27" t="s">
        <v>85</v>
      </c>
      <c r="O18" s="27"/>
      <c r="P18" s="143" t="s">
        <v>211</v>
      </c>
      <c r="Q18" s="144" t="s">
        <v>212</v>
      </c>
      <c r="R18" s="144" t="s">
        <v>212</v>
      </c>
      <c r="S18" s="144" t="s">
        <v>212</v>
      </c>
      <c r="T18" s="144" t="s">
        <v>212</v>
      </c>
      <c r="U18" s="144" t="s">
        <v>212</v>
      </c>
      <c r="V18" s="144" t="s">
        <v>212</v>
      </c>
      <c r="W18" s="28">
        <v>467507.0</v>
      </c>
      <c r="X18" s="36">
        <v>9.0</v>
      </c>
      <c r="Y18" s="36">
        <v>2.0</v>
      </c>
      <c r="Z18" s="24" t="s">
        <v>213</v>
      </c>
      <c r="AA18" s="36">
        <v>1721.0</v>
      </c>
      <c r="AB18" s="36">
        <v>9.0</v>
      </c>
      <c r="AC18" s="36">
        <v>2.0</v>
      </c>
      <c r="AD18" s="24" t="s">
        <v>224</v>
      </c>
      <c r="AE18" s="28">
        <v>2705.0</v>
      </c>
      <c r="AF18" s="36">
        <v>10.0</v>
      </c>
      <c r="AG18" s="36">
        <v>2.0</v>
      </c>
      <c r="AH18" s="24" t="s">
        <v>218</v>
      </c>
      <c r="AI18" s="28">
        <v>1730.0</v>
      </c>
      <c r="AJ18" s="36">
        <v>10.0</v>
      </c>
      <c r="AK18" s="36">
        <v>2.0</v>
      </c>
      <c r="AL18" s="24" t="s">
        <v>225</v>
      </c>
      <c r="AM18" s="28">
        <v>0.6</v>
      </c>
      <c r="AN18" s="36">
        <v>1.9</v>
      </c>
      <c r="AO18" s="36">
        <v>1.1</v>
      </c>
      <c r="AP18" s="36">
        <v>1.3</v>
      </c>
      <c r="AQ18" s="36">
        <v>1.2</v>
      </c>
      <c r="AR18" s="36">
        <v>1.6</v>
      </c>
      <c r="AS18" s="36">
        <v>6.5</v>
      </c>
      <c r="AT18" s="24">
        <v>9.21</v>
      </c>
      <c r="AU18" s="28">
        <f>SUM(AS18:AT18)+2</f>
        <v>17.71</v>
      </c>
      <c r="AV18" s="21">
        <f t="shared" ref="AV18:AW18" si="40">SUM(AS18)</f>
        <v>6.5</v>
      </c>
      <c r="AW18">
        <f t="shared" si="40"/>
        <v>9.21</v>
      </c>
      <c r="AX18">
        <f t="shared" si="5"/>
        <v>11</v>
      </c>
      <c r="AY18">
        <f t="shared" si="6"/>
        <v>11</v>
      </c>
      <c r="AZ18">
        <f t="shared" si="7"/>
        <v>12</v>
      </c>
      <c r="BA18">
        <f t="shared" si="18"/>
        <v>12</v>
      </c>
      <c r="BB18">
        <f t="shared" ref="BB18:BG18" si="41">SUM(AM18)</f>
        <v>0.6</v>
      </c>
      <c r="BC18">
        <f t="shared" si="41"/>
        <v>1.9</v>
      </c>
      <c r="BD18">
        <f t="shared" si="41"/>
        <v>1.1</v>
      </c>
      <c r="BE18">
        <f t="shared" si="41"/>
        <v>1.3</v>
      </c>
      <c r="BF18">
        <f t="shared" si="41"/>
        <v>1.2</v>
      </c>
      <c r="BG18">
        <f t="shared" si="41"/>
        <v>1.6</v>
      </c>
      <c r="BH18">
        <f t="shared" si="10"/>
        <v>17.71</v>
      </c>
      <c r="BI18" s="24">
        <v>3.0</v>
      </c>
      <c r="BJ18" s="50">
        <f t="shared" si="11"/>
        <v>90.12</v>
      </c>
      <c r="BK18" s="32">
        <v>1.0</v>
      </c>
    </row>
    <row r="19">
      <c r="A19" s="36">
        <v>467579.0</v>
      </c>
      <c r="B19" s="36" t="s">
        <v>239</v>
      </c>
      <c r="C19" s="24">
        <v>2720.0</v>
      </c>
      <c r="D19" s="25"/>
      <c r="E19" s="27"/>
      <c r="F19" s="27"/>
      <c r="G19" s="27" t="s">
        <v>85</v>
      </c>
      <c r="H19" s="27"/>
      <c r="I19" s="27"/>
      <c r="J19" s="27"/>
      <c r="K19" s="27" t="s">
        <v>85</v>
      </c>
      <c r="L19" s="27"/>
      <c r="M19" s="27"/>
      <c r="N19" s="27" t="s">
        <v>85</v>
      </c>
      <c r="O19" s="27"/>
      <c r="P19" s="27"/>
      <c r="Q19" s="143" t="s">
        <v>211</v>
      </c>
      <c r="R19" s="144" t="s">
        <v>212</v>
      </c>
      <c r="S19" s="144" t="s">
        <v>212</v>
      </c>
      <c r="T19" s="144" t="s">
        <v>212</v>
      </c>
      <c r="U19" s="144" t="s">
        <v>212</v>
      </c>
      <c r="V19" s="144" t="s">
        <v>212</v>
      </c>
      <c r="W19" s="28">
        <v>467579.0</v>
      </c>
      <c r="X19" s="36">
        <v>8.5</v>
      </c>
      <c r="Y19" s="36">
        <v>2.0</v>
      </c>
      <c r="Z19" s="24" t="s">
        <v>213</v>
      </c>
      <c r="AA19" s="28">
        <v>1704.0</v>
      </c>
      <c r="AB19" s="36">
        <v>9.0</v>
      </c>
      <c r="AC19" s="36">
        <v>2.0</v>
      </c>
      <c r="AD19" s="24" t="s">
        <v>227</v>
      </c>
      <c r="AE19" s="28">
        <v>1716.0</v>
      </c>
      <c r="AF19" s="36">
        <v>9.0</v>
      </c>
      <c r="AG19" s="36">
        <v>2.0</v>
      </c>
      <c r="AH19" s="24" t="s">
        <v>240</v>
      </c>
      <c r="AI19" s="28">
        <v>1735.0</v>
      </c>
      <c r="AJ19" s="36">
        <v>9.0</v>
      </c>
      <c r="AK19" s="36">
        <v>2.0</v>
      </c>
      <c r="AL19" s="24" t="s">
        <v>216</v>
      </c>
      <c r="AM19" s="28">
        <v>1.3</v>
      </c>
      <c r="AN19" s="36">
        <v>1.0</v>
      </c>
      <c r="AP19" s="36">
        <v>1.1</v>
      </c>
      <c r="AQ19" s="36">
        <v>0.8</v>
      </c>
      <c r="AR19" s="36">
        <v>1.2</v>
      </c>
      <c r="AS19" s="36">
        <v>8.0</v>
      </c>
      <c r="AT19" s="24">
        <v>6.5</v>
      </c>
      <c r="AU19" s="28">
        <f>SUM(AS19:AT19)</f>
        <v>14.5</v>
      </c>
      <c r="AV19" s="21">
        <f t="shared" ref="AV19:AW19" si="42">SUM(AS19)</f>
        <v>8</v>
      </c>
      <c r="AW19">
        <f t="shared" si="42"/>
        <v>6.5</v>
      </c>
      <c r="AX19">
        <f t="shared" si="5"/>
        <v>10.5</v>
      </c>
      <c r="AY19">
        <f t="shared" si="6"/>
        <v>11</v>
      </c>
      <c r="AZ19">
        <f t="shared" si="7"/>
        <v>11</v>
      </c>
      <c r="BA19">
        <f t="shared" si="18"/>
        <v>11</v>
      </c>
      <c r="BB19">
        <f t="shared" ref="BB19:BG19" si="43">SUM(AM19)</f>
        <v>1.3</v>
      </c>
      <c r="BC19">
        <f t="shared" si="43"/>
        <v>1</v>
      </c>
      <c r="BD19">
        <f t="shared" si="43"/>
        <v>0</v>
      </c>
      <c r="BE19">
        <f t="shared" si="43"/>
        <v>1.1</v>
      </c>
      <c r="BF19">
        <f t="shared" si="43"/>
        <v>0.8</v>
      </c>
      <c r="BG19">
        <f t="shared" si="43"/>
        <v>1.2</v>
      </c>
      <c r="BH19">
        <f t="shared" si="10"/>
        <v>14.5</v>
      </c>
      <c r="BI19" s="4"/>
      <c r="BJ19" s="50">
        <f t="shared" si="11"/>
        <v>77.9</v>
      </c>
      <c r="BK19" s="32">
        <v>1.0</v>
      </c>
    </row>
    <row r="20">
      <c r="A20" s="36">
        <v>409799.0</v>
      </c>
      <c r="B20" s="36" t="s">
        <v>241</v>
      </c>
      <c r="C20" s="24">
        <v>13090.0</v>
      </c>
      <c r="D20" s="25"/>
      <c r="E20" s="27" t="s">
        <v>85</v>
      </c>
      <c r="F20" s="27" t="s">
        <v>85</v>
      </c>
      <c r="G20" s="27"/>
      <c r="H20" s="27"/>
      <c r="I20" s="27"/>
      <c r="J20" s="27"/>
      <c r="K20" s="27"/>
      <c r="L20" s="27" t="s">
        <v>85</v>
      </c>
      <c r="M20" s="27"/>
      <c r="N20" s="27"/>
      <c r="O20" s="27"/>
      <c r="P20" s="27"/>
      <c r="Q20" s="27"/>
      <c r="R20" s="27"/>
      <c r="S20" s="27"/>
      <c r="T20" s="27"/>
      <c r="U20" s="27"/>
      <c r="V20" s="143" t="s">
        <v>211</v>
      </c>
      <c r="W20" s="28">
        <v>409799.0</v>
      </c>
      <c r="X20" s="36">
        <v>6.5</v>
      </c>
      <c r="Z20" s="24" t="s">
        <v>240</v>
      </c>
      <c r="AA20" s="28">
        <v>1734.0</v>
      </c>
      <c r="AB20" s="36">
        <v>7.5</v>
      </c>
      <c r="AD20" s="24" t="s">
        <v>225</v>
      </c>
      <c r="AE20" s="28">
        <v>1744.0</v>
      </c>
      <c r="AF20" s="36">
        <v>7.5</v>
      </c>
      <c r="AH20" s="24" t="s">
        <v>219</v>
      </c>
      <c r="AI20" s="28">
        <v>1758.0</v>
      </c>
      <c r="AJ20" s="36">
        <v>7.5</v>
      </c>
      <c r="AL20" s="24" t="s">
        <v>231</v>
      </c>
      <c r="AM20" s="28">
        <v>1.2</v>
      </c>
      <c r="AS20" s="36">
        <v>6.0</v>
      </c>
      <c r="AT20" s="24">
        <v>6.0</v>
      </c>
      <c r="AU20" s="28">
        <f>SUM(AS20:AT20)+3</f>
        <v>15</v>
      </c>
      <c r="AV20" s="21">
        <f t="shared" ref="AV20:AW20" si="44">SUM(AS20)</f>
        <v>6</v>
      </c>
      <c r="AW20">
        <f t="shared" si="44"/>
        <v>6</v>
      </c>
      <c r="AX20">
        <f t="shared" si="5"/>
        <v>6.5</v>
      </c>
      <c r="AY20">
        <f t="shared" si="6"/>
        <v>7.5</v>
      </c>
      <c r="AZ20">
        <f t="shared" si="7"/>
        <v>7.5</v>
      </c>
      <c r="BA20">
        <f t="shared" si="18"/>
        <v>7.5</v>
      </c>
      <c r="BB20">
        <f t="shared" ref="BB20:BG20" si="45">SUM(AM20)</f>
        <v>1.2</v>
      </c>
      <c r="BC20">
        <f t="shared" si="45"/>
        <v>0</v>
      </c>
      <c r="BD20">
        <f t="shared" si="45"/>
        <v>0</v>
      </c>
      <c r="BE20">
        <f t="shared" si="45"/>
        <v>0</v>
      </c>
      <c r="BF20">
        <f t="shared" si="45"/>
        <v>0</v>
      </c>
      <c r="BG20">
        <f t="shared" si="45"/>
        <v>0</v>
      </c>
      <c r="BH20">
        <f t="shared" si="10"/>
        <v>15</v>
      </c>
      <c r="BI20" s="24">
        <v>3.0</v>
      </c>
      <c r="BJ20" s="50">
        <f t="shared" si="11"/>
        <v>60.2</v>
      </c>
      <c r="BK20" s="32">
        <v>2.0</v>
      </c>
    </row>
    <row r="21">
      <c r="A21" s="36">
        <v>409946.0</v>
      </c>
      <c r="B21" s="36" t="s">
        <v>242</v>
      </c>
      <c r="C21" s="24">
        <v>13120.0</v>
      </c>
      <c r="D21" s="25" t="s">
        <v>85</v>
      </c>
      <c r="E21" s="27" t="s">
        <v>85</v>
      </c>
      <c r="F21" s="27" t="s">
        <v>85</v>
      </c>
      <c r="G21" s="27" t="s">
        <v>85</v>
      </c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143" t="s">
        <v>211</v>
      </c>
      <c r="T21" s="144" t="s">
        <v>212</v>
      </c>
      <c r="U21" s="144" t="s">
        <v>212</v>
      </c>
      <c r="V21" s="144" t="s">
        <v>212</v>
      </c>
      <c r="W21" s="28">
        <v>409946.0</v>
      </c>
      <c r="X21" s="36">
        <v>7.0</v>
      </c>
      <c r="Z21" s="24" t="s">
        <v>229</v>
      </c>
      <c r="AA21" s="28">
        <v>1724.0</v>
      </c>
      <c r="AB21" s="36">
        <v>8.0</v>
      </c>
      <c r="AD21" s="24">
        <v>14.11</v>
      </c>
      <c r="AE21" s="28">
        <v>1741.0</v>
      </c>
      <c r="AF21" s="36">
        <v>7.0</v>
      </c>
      <c r="AH21" s="24" t="s">
        <v>216</v>
      </c>
      <c r="AI21" s="28">
        <v>1746.0</v>
      </c>
      <c r="AJ21" s="36">
        <v>8.0</v>
      </c>
      <c r="AK21" s="36">
        <v>1.0</v>
      </c>
      <c r="AL21" s="24" t="s">
        <v>230</v>
      </c>
      <c r="AM21" s="21"/>
      <c r="AQ21" s="36">
        <v>2.0</v>
      </c>
      <c r="AR21" s="36">
        <v>0.01</v>
      </c>
      <c r="AS21" s="36">
        <v>8.0</v>
      </c>
      <c r="AT21" s="24">
        <v>6.0</v>
      </c>
      <c r="AU21" s="28">
        <f t="shared" ref="AU21:AU22" si="48">SUM(AS21:AT21)</f>
        <v>14</v>
      </c>
      <c r="AV21" s="21">
        <f t="shared" ref="AV21:AW21" si="46">SUM(AS21)</f>
        <v>8</v>
      </c>
      <c r="AW21">
        <f t="shared" si="46"/>
        <v>6</v>
      </c>
      <c r="AX21">
        <f t="shared" si="5"/>
        <v>7</v>
      </c>
      <c r="AY21">
        <f t="shared" si="6"/>
        <v>8</v>
      </c>
      <c r="AZ21">
        <f t="shared" si="7"/>
        <v>7</v>
      </c>
      <c r="BA21">
        <f t="shared" si="18"/>
        <v>9</v>
      </c>
      <c r="BB21">
        <f t="shared" ref="BB21:BG21" si="47">SUM(AM21)</f>
        <v>0</v>
      </c>
      <c r="BC21">
        <f t="shared" si="47"/>
        <v>0</v>
      </c>
      <c r="BD21">
        <f t="shared" si="47"/>
        <v>0</v>
      </c>
      <c r="BE21">
        <f t="shared" si="47"/>
        <v>0</v>
      </c>
      <c r="BF21">
        <f t="shared" si="47"/>
        <v>2</v>
      </c>
      <c r="BG21">
        <f t="shared" si="47"/>
        <v>0.01</v>
      </c>
      <c r="BH21">
        <f t="shared" si="10"/>
        <v>14</v>
      </c>
      <c r="BI21" s="4"/>
      <c r="BJ21" s="50">
        <f t="shared" si="11"/>
        <v>61.01</v>
      </c>
      <c r="BK21" s="32">
        <v>1.0</v>
      </c>
    </row>
    <row r="22">
      <c r="A22" s="36">
        <v>468198.0</v>
      </c>
      <c r="B22" s="36" t="s">
        <v>243</v>
      </c>
      <c r="C22" s="24">
        <v>13100.0</v>
      </c>
      <c r="D22" s="25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143" t="s">
        <v>211</v>
      </c>
      <c r="U22" s="144" t="s">
        <v>212</v>
      </c>
      <c r="V22" s="144" t="s">
        <v>212</v>
      </c>
      <c r="W22" s="28">
        <v>468198.0</v>
      </c>
      <c r="X22" s="36">
        <v>7.5</v>
      </c>
      <c r="Z22" s="24" t="s">
        <v>244</v>
      </c>
      <c r="AA22" s="28">
        <v>1722.0</v>
      </c>
      <c r="AB22" s="36">
        <v>8.5</v>
      </c>
      <c r="AD22" s="24">
        <v>14.11</v>
      </c>
      <c r="AE22" s="28">
        <v>1738.0</v>
      </c>
      <c r="AF22" s="36">
        <v>8.5</v>
      </c>
      <c r="AH22" s="24" t="s">
        <v>216</v>
      </c>
      <c r="AI22" s="28">
        <v>1747.0</v>
      </c>
      <c r="AJ22" s="36">
        <v>8.0</v>
      </c>
      <c r="AK22" s="36">
        <v>1.5</v>
      </c>
      <c r="AL22" s="24" t="s">
        <v>219</v>
      </c>
      <c r="AM22" s="28">
        <v>0.8</v>
      </c>
      <c r="AN22" s="36">
        <v>0.2</v>
      </c>
      <c r="AO22" s="36">
        <v>0.7</v>
      </c>
      <c r="AP22" s="36">
        <v>1.8</v>
      </c>
      <c r="AQ22" s="36">
        <v>2.0</v>
      </c>
      <c r="AR22" s="36">
        <v>0.01</v>
      </c>
      <c r="AS22" s="36">
        <v>8.0</v>
      </c>
      <c r="AT22" s="24">
        <v>9.25</v>
      </c>
      <c r="AU22" s="28">
        <f t="shared" si="48"/>
        <v>17.25</v>
      </c>
      <c r="AV22" s="21">
        <f t="shared" ref="AV22:AW22" si="49">SUM(AS22)</f>
        <v>8</v>
      </c>
      <c r="AW22">
        <f t="shared" si="49"/>
        <v>9.25</v>
      </c>
      <c r="AX22">
        <f t="shared" si="5"/>
        <v>7.5</v>
      </c>
      <c r="AY22">
        <f t="shared" si="6"/>
        <v>8.5</v>
      </c>
      <c r="AZ22">
        <f t="shared" si="7"/>
        <v>8.5</v>
      </c>
      <c r="BA22">
        <f t="shared" si="18"/>
        <v>9.5</v>
      </c>
      <c r="BB22">
        <f t="shared" ref="BB22:BG22" si="50">SUM(AM22)</f>
        <v>0.8</v>
      </c>
      <c r="BC22">
        <f t="shared" si="50"/>
        <v>0.2</v>
      </c>
      <c r="BD22">
        <f t="shared" si="50"/>
        <v>0.7</v>
      </c>
      <c r="BE22">
        <f t="shared" si="50"/>
        <v>1.8</v>
      </c>
      <c r="BF22">
        <f t="shared" si="50"/>
        <v>2</v>
      </c>
      <c r="BG22">
        <f t="shared" si="50"/>
        <v>0.01</v>
      </c>
      <c r="BH22">
        <f t="shared" si="10"/>
        <v>17.25</v>
      </c>
      <c r="BI22" s="4"/>
      <c r="BJ22" s="50">
        <f t="shared" si="11"/>
        <v>74.01</v>
      </c>
      <c r="BK22" s="32">
        <v>1.0</v>
      </c>
    </row>
    <row r="23">
      <c r="A23" s="36"/>
      <c r="C23" s="4"/>
      <c r="W23" s="28"/>
      <c r="X23" s="36"/>
      <c r="Y23" s="36"/>
      <c r="Z23" s="38"/>
      <c r="AB23" s="36"/>
      <c r="AC23" s="36"/>
      <c r="AD23" s="38"/>
      <c r="AF23" s="36"/>
      <c r="AG23" s="36"/>
      <c r="AH23" s="38"/>
      <c r="AJ23" s="36"/>
      <c r="AK23" s="36"/>
      <c r="AL23" s="24"/>
      <c r="AM23" s="36"/>
      <c r="AU23" s="22"/>
      <c r="BJ23" s="31"/>
      <c r="BK23" s="32"/>
    </row>
    <row r="24">
      <c r="A24" s="36"/>
      <c r="W24" s="28"/>
      <c r="X24" s="36"/>
      <c r="Y24" s="36"/>
      <c r="Z24" s="37"/>
      <c r="AB24" s="36"/>
      <c r="AC24" s="36"/>
      <c r="AD24" s="37"/>
      <c r="AF24" s="36"/>
      <c r="AG24" s="36"/>
      <c r="AH24" s="37"/>
      <c r="AJ24" s="36"/>
      <c r="AK24" s="36"/>
      <c r="AL24" s="36"/>
      <c r="AM24" s="36"/>
      <c r="AS24" s="36">
        <f t="shared" ref="AS24:AT24" si="51">COUNTA($B$4:$B$22)-COUNTIF(AS4:AS22,"&gt;=6")</f>
        <v>1</v>
      </c>
      <c r="AT24" s="36">
        <f t="shared" si="51"/>
        <v>1</v>
      </c>
      <c r="BJ24" s="39"/>
      <c r="BK24" s="32"/>
    </row>
  </sheetData>
  <mergeCells count="48">
    <mergeCell ref="AH2:AH3"/>
    <mergeCell ref="AI2:AI3"/>
    <mergeCell ref="A1:B1"/>
    <mergeCell ref="C1:C3"/>
    <mergeCell ref="D1:V1"/>
    <mergeCell ref="W1:Z1"/>
    <mergeCell ref="AA1:AD1"/>
    <mergeCell ref="AE1:AH1"/>
    <mergeCell ref="AI1:AL1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Z2:Z3"/>
    <mergeCell ref="AA2:AA3"/>
    <mergeCell ref="AD2:AD3"/>
    <mergeCell ref="AE2:AE3"/>
    <mergeCell ref="AR2:AR3"/>
    <mergeCell ref="AS2:AS3"/>
    <mergeCell ref="AT2:AT3"/>
    <mergeCell ref="AU2:AU3"/>
    <mergeCell ref="AV1:BH2"/>
    <mergeCell ref="BJ1:BJ3"/>
    <mergeCell ref="BK1:BK3"/>
    <mergeCell ref="AL2:AL3"/>
    <mergeCell ref="AM2:AM3"/>
    <mergeCell ref="AN2:AN3"/>
    <mergeCell ref="AO2:AO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P2:AP3"/>
    <mergeCell ref="AQ2:AQ3"/>
  </mergeCells>
  <conditionalFormatting sqref="AD4">
    <cfRule type="timePeriod" dxfId="0" priority="1" timePeriod="last7Days"/>
  </conditionalFormatting>
  <conditionalFormatting sqref="AH4">
    <cfRule type="timePeriod" dxfId="0" priority="2" timePeriod="last7Days"/>
  </conditionalFormatting>
  <conditionalFormatting sqref="AH4">
    <cfRule type="timePeriod" dxfId="0" priority="3" timePeriod="last7Days"/>
  </conditionalFormatting>
  <conditionalFormatting sqref="AD4 AH4">
    <cfRule type="timePeriod" dxfId="0" priority="4" timePeriod="last7Days"/>
  </conditionalFormatting>
  <conditionalFormatting sqref="AH4">
    <cfRule type="timePeriod" dxfId="0" priority="5" timePeriod="last7Days"/>
  </conditionalFormatting>
  <conditionalFormatting sqref="AV4:BI24">
    <cfRule type="cellIs" dxfId="1" priority="6" operator="lessThan">
      <formula>0.1</formula>
    </cfRule>
  </conditionalFormatting>
  <conditionalFormatting sqref="AV4:BI24">
    <cfRule type="cellIs" dxfId="2" priority="7" operator="greaterThan">
      <formula>0.1</formula>
    </cfRule>
  </conditionalFormatting>
  <conditionalFormatting sqref="BJ4:BK24">
    <cfRule type="cellIs" dxfId="3" priority="8" operator="between">
      <formula>60</formula>
      <formula>68</formula>
    </cfRule>
  </conditionalFormatting>
  <conditionalFormatting sqref="BJ4:BK24">
    <cfRule type="cellIs" dxfId="4" priority="9" operator="between">
      <formula>68</formula>
      <formula>74</formula>
    </cfRule>
  </conditionalFormatting>
  <conditionalFormatting sqref="BJ4:BK24">
    <cfRule type="cellIs" dxfId="2" priority="10" operator="between">
      <formula>74</formula>
      <formula>81</formula>
    </cfRule>
  </conditionalFormatting>
  <conditionalFormatting sqref="BJ4:BK24">
    <cfRule type="cellIs" dxfId="5" priority="11" operator="between">
      <formula>81</formula>
      <formula>90</formula>
    </cfRule>
  </conditionalFormatting>
  <conditionalFormatting sqref="BJ4:BK24">
    <cfRule type="cellIs" dxfId="6" priority="12" operator="greaterThan">
      <formula>90</formula>
    </cfRule>
  </conditionalFormatting>
  <conditionalFormatting sqref="AD4">
    <cfRule type="timePeriod" dxfId="0" priority="13" timePeriod="last7Days"/>
  </conditionalFormatting>
  <conditionalFormatting sqref="G4:G15 G17:G22">
    <cfRule type="containsText" dxfId="7" priority="14" operator="containsText" text="н">
      <formula>NOT(ISERROR(SEARCH(("н"),(G4))))</formula>
    </cfRule>
  </conditionalFormatting>
  <conditionalFormatting sqref="G4:G15 G17:G22">
    <cfRule type="containsText" dxfId="7" priority="15" operator="containsText" text="n">
      <formula>NOT(ISERROR(SEARCH(("n"),(G4))))</formula>
    </cfRule>
  </conditionalFormatting>
  <conditionalFormatting sqref="F4:F15 F17:F22">
    <cfRule type="containsText" dxfId="7" priority="16" operator="containsText" text="н">
      <formula>NOT(ISERROR(SEARCH(("н"),(F4))))</formula>
    </cfRule>
  </conditionalFormatting>
  <conditionalFormatting sqref="F4:F15 F17:F22">
    <cfRule type="containsText" dxfId="7" priority="17" operator="containsText" text="n">
      <formula>NOT(ISERROR(SEARCH(("n"),(F4))))</formula>
    </cfRule>
  </conditionalFormatting>
  <conditionalFormatting sqref="X4:Y4">
    <cfRule type="cellIs" dxfId="8" priority="18" operator="equal">
      <formula>0</formula>
    </cfRule>
  </conditionalFormatting>
  <conditionalFormatting sqref="AB4:AC4">
    <cfRule type="cellIs" dxfId="8" priority="19" operator="equal">
      <formula>0</formula>
    </cfRule>
  </conditionalFormatting>
  <conditionalFormatting sqref="AF4:AG4">
    <cfRule type="cellIs" dxfId="8" priority="20" operator="equal">
      <formula>0</formula>
    </cfRule>
  </conditionalFormatting>
  <conditionalFormatting sqref="AJ4:AK4">
    <cfRule type="cellIs" dxfId="8" priority="21" operator="equal">
      <formula>0</formula>
    </cfRule>
  </conditionalFormatting>
  <conditionalFormatting sqref="AM4:AT4">
    <cfRule type="cellIs" dxfId="8" priority="22" operator="equal">
      <formula>0</formula>
    </cfRule>
  </conditionalFormatting>
  <conditionalFormatting sqref="D1:V24">
    <cfRule type="containsText" dxfId="7" priority="23" operator="containsText" text="н">
      <formula>NOT(ISERROR(SEARCH(("н"),(D1))))</formula>
    </cfRule>
  </conditionalFormatting>
  <conditionalFormatting sqref="D1:V24">
    <cfRule type="containsText" dxfId="7" priority="24" operator="containsText" text="n">
      <formula>NOT(ISERROR(SEARCH(("n"),(D1))))</formula>
    </cfRule>
  </conditionalFormatting>
  <conditionalFormatting sqref="AD4">
    <cfRule type="timePeriod" dxfId="0" priority="25" timePeriod="last7Days"/>
  </conditionalFormatting>
  <conditionalFormatting sqref="AH4">
    <cfRule type="timePeriod" dxfId="0" priority="26" timePeriod="last7Days"/>
  </conditionalFormatting>
  <conditionalFormatting sqref="AL4">
    <cfRule type="timePeriod" dxfId="0" priority="27" timePeriod="last7Days"/>
  </conditionalFormatting>
  <conditionalFormatting sqref="BJ1:BK24">
    <cfRule type="cellIs" dxfId="3" priority="28" operator="between">
      <formula>60</formula>
      <formula>68</formula>
    </cfRule>
  </conditionalFormatting>
  <conditionalFormatting sqref="AU4:AU24">
    <cfRule type="cellIs" dxfId="6" priority="29" operator="between">
      <formula>12</formula>
      <formula>1000</formula>
    </cfRule>
  </conditionalFormatting>
  <conditionalFormatting sqref="BJ1:BK24">
    <cfRule type="cellIs" dxfId="4" priority="30" operator="between">
      <formula>68</formula>
      <formula>74</formula>
    </cfRule>
  </conditionalFormatting>
  <conditionalFormatting sqref="BJ1:BK24">
    <cfRule type="cellIs" dxfId="2" priority="31" operator="between">
      <formula>74</formula>
      <formula>81</formula>
    </cfRule>
  </conditionalFormatting>
  <conditionalFormatting sqref="BJ1:BK24">
    <cfRule type="cellIs" dxfId="5" priority="32" operator="between">
      <formula>81</formula>
      <formula>90</formula>
    </cfRule>
  </conditionalFormatting>
  <conditionalFormatting sqref="BJ1:BK24">
    <cfRule type="cellIs" dxfId="6" priority="33" operator="greaterThan">
      <formula>90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28.88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19" width="2.88"/>
    <col customWidth="1" min="20" max="20" width="6.88"/>
    <col customWidth="1" min="21" max="21" width="5.0"/>
    <col customWidth="1" min="22" max="22" width="3.88"/>
    <col customWidth="1" min="23" max="23" width="9.38"/>
    <col customWidth="1" min="24" max="24" width="6.5"/>
    <col customWidth="1" min="25" max="25" width="5.13"/>
    <col customWidth="1" min="26" max="26" width="4.0"/>
    <col customWidth="1" min="27" max="27" width="9.38"/>
    <col customWidth="1" min="28" max="28" width="6.38"/>
    <col customWidth="1" min="29" max="29" width="5.13"/>
    <col customWidth="1" min="30" max="30" width="5.0"/>
    <col customWidth="1" min="31" max="31" width="12.13"/>
    <col customWidth="1" min="32" max="32" width="7.63"/>
    <col customWidth="1" min="33" max="33" width="5.0"/>
    <col customWidth="1" min="34" max="34" width="4.5"/>
    <col customWidth="1" min="35" max="35" width="5.0"/>
    <col customWidth="1" min="36" max="36" width="5.63"/>
    <col customWidth="1" min="37" max="37" width="5.13"/>
    <col customWidth="1" min="38" max="38" width="5.38"/>
    <col customWidth="1" min="39" max="39" width="5.0"/>
    <col customWidth="1" min="40" max="41" width="5.38"/>
    <col customWidth="1" min="42" max="43" width="5.88"/>
    <col customWidth="1" min="44" max="44" width="5.63"/>
    <col customWidth="1" min="45" max="45" width="4.5"/>
    <col customWidth="1" min="46" max="46" width="4.38"/>
    <col customWidth="1" min="47" max="51" width="4.25"/>
    <col customWidth="1" min="52" max="52" width="4.63"/>
    <col customWidth="1" min="53" max="53" width="4.5"/>
    <col customWidth="1" min="54" max="55" width="4.63"/>
    <col customWidth="1" min="56" max="56" width="4.5"/>
    <col customWidth="1" min="57" max="58" width="4.38"/>
    <col customWidth="1" min="59" max="59" width="6.63"/>
    <col customWidth="1" min="60" max="60" width="3.25"/>
  </cols>
  <sheetData>
    <row r="1">
      <c r="A1" s="1" t="s">
        <v>245</v>
      </c>
      <c r="C1" s="2" t="s">
        <v>1</v>
      </c>
      <c r="D1" s="3" t="s">
        <v>2</v>
      </c>
      <c r="S1" s="4"/>
      <c r="T1" s="5" t="s">
        <v>3</v>
      </c>
      <c r="W1" s="4"/>
      <c r="X1" s="5" t="s">
        <v>4</v>
      </c>
      <c r="AA1" s="4"/>
      <c r="AB1" s="5" t="s">
        <v>5</v>
      </c>
      <c r="AE1" s="4"/>
      <c r="AF1" s="5" t="s">
        <v>6</v>
      </c>
      <c r="AI1" s="4"/>
      <c r="AJ1" s="3" t="s">
        <v>7</v>
      </c>
      <c r="AK1" s="6" t="s">
        <v>8</v>
      </c>
      <c r="AL1" s="6" t="s">
        <v>9</v>
      </c>
      <c r="AM1" s="6" t="s">
        <v>10</v>
      </c>
      <c r="AN1" s="6" t="s">
        <v>11</v>
      </c>
      <c r="AO1" s="6" t="s">
        <v>12</v>
      </c>
      <c r="AP1" s="6" t="s">
        <v>13</v>
      </c>
      <c r="AQ1" s="7" t="s">
        <v>14</v>
      </c>
      <c r="AR1" s="3" t="s">
        <v>15</v>
      </c>
      <c r="AS1" s="6" t="s">
        <v>16</v>
      </c>
      <c r="BF1" s="7"/>
      <c r="BG1" s="41" t="s">
        <v>17</v>
      </c>
      <c r="BH1" s="10" t="s">
        <v>18</v>
      </c>
    </row>
    <row r="2">
      <c r="A2" s="11" t="s">
        <v>19</v>
      </c>
      <c r="B2" s="11" t="s">
        <v>20</v>
      </c>
      <c r="C2" s="4"/>
      <c r="D2" s="12">
        <v>45905.0</v>
      </c>
      <c r="E2" s="12">
        <f t="shared" ref="E2:S2" si="1">D2+7</f>
        <v>45912</v>
      </c>
      <c r="F2" s="12">
        <f t="shared" si="1"/>
        <v>45919</v>
      </c>
      <c r="G2" s="12">
        <f t="shared" si="1"/>
        <v>45926</v>
      </c>
      <c r="H2" s="12">
        <f t="shared" si="1"/>
        <v>45933</v>
      </c>
      <c r="I2" s="12">
        <f t="shared" si="1"/>
        <v>45940</v>
      </c>
      <c r="J2" s="12">
        <f t="shared" si="1"/>
        <v>45947</v>
      </c>
      <c r="K2" s="12">
        <f t="shared" si="1"/>
        <v>45954</v>
      </c>
      <c r="L2" s="12">
        <f t="shared" si="1"/>
        <v>45961</v>
      </c>
      <c r="M2" s="12">
        <f t="shared" si="1"/>
        <v>45968</v>
      </c>
      <c r="N2" s="12">
        <f t="shared" si="1"/>
        <v>45975</v>
      </c>
      <c r="O2" s="12">
        <f t="shared" si="1"/>
        <v>45982</v>
      </c>
      <c r="P2" s="12">
        <f t="shared" si="1"/>
        <v>45989</v>
      </c>
      <c r="Q2" s="12">
        <f t="shared" si="1"/>
        <v>45996</v>
      </c>
      <c r="R2" s="12">
        <f t="shared" si="1"/>
        <v>46003</v>
      </c>
      <c r="S2" s="12">
        <f t="shared" si="1"/>
        <v>46010</v>
      </c>
      <c r="T2" s="14" t="s">
        <v>21</v>
      </c>
      <c r="U2" s="15" t="s">
        <v>22</v>
      </c>
      <c r="V2" s="15" t="s">
        <v>23</v>
      </c>
      <c r="W2" s="16" t="s">
        <v>24</v>
      </c>
      <c r="X2" s="14" t="s">
        <v>21</v>
      </c>
      <c r="Y2" s="15" t="s">
        <v>22</v>
      </c>
      <c r="Z2" s="15" t="s">
        <v>23</v>
      </c>
      <c r="AA2" s="16" t="s">
        <v>24</v>
      </c>
      <c r="AB2" s="14" t="s">
        <v>21</v>
      </c>
      <c r="AC2" s="15" t="s">
        <v>22</v>
      </c>
      <c r="AD2" s="15" t="s">
        <v>23</v>
      </c>
      <c r="AE2" s="16" t="s">
        <v>24</v>
      </c>
      <c r="AF2" s="14" t="s">
        <v>21</v>
      </c>
      <c r="AG2" s="15" t="s">
        <v>22</v>
      </c>
      <c r="AH2" s="15" t="s">
        <v>23</v>
      </c>
      <c r="AI2" s="16" t="s">
        <v>24</v>
      </c>
      <c r="AJ2" s="17" t="s">
        <v>25</v>
      </c>
      <c r="AK2" s="18" t="s">
        <v>25</v>
      </c>
      <c r="AL2" s="18" t="s">
        <v>25</v>
      </c>
      <c r="AM2" s="18" t="s">
        <v>25</v>
      </c>
      <c r="AN2" s="18" t="s">
        <v>25</v>
      </c>
      <c r="AO2" s="18" t="s">
        <v>25</v>
      </c>
      <c r="AP2" s="15" t="s">
        <v>26</v>
      </c>
      <c r="AQ2" s="19" t="s">
        <v>26</v>
      </c>
      <c r="AR2" s="14" t="s">
        <v>27</v>
      </c>
      <c r="BF2" s="7"/>
      <c r="BG2" s="4"/>
    </row>
    <row r="3">
      <c r="C3" s="4"/>
      <c r="T3" s="21"/>
      <c r="U3" s="15" t="s">
        <v>26</v>
      </c>
      <c r="V3" s="15" t="s">
        <v>28</v>
      </c>
      <c r="W3" s="4"/>
      <c r="X3" s="21"/>
      <c r="Y3" s="15" t="s">
        <v>26</v>
      </c>
      <c r="Z3" s="15" t="s">
        <v>28</v>
      </c>
      <c r="AA3" s="4"/>
      <c r="AB3" s="21"/>
      <c r="AC3" s="15" t="s">
        <v>26</v>
      </c>
      <c r="AD3" s="15" t="s">
        <v>28</v>
      </c>
      <c r="AE3" s="4"/>
      <c r="AF3" s="21"/>
      <c r="AG3" s="15" t="s">
        <v>26</v>
      </c>
      <c r="AH3" s="15" t="s">
        <v>28</v>
      </c>
      <c r="AI3" s="4"/>
      <c r="AJ3" s="21"/>
      <c r="AQ3" s="4"/>
      <c r="AR3" s="21"/>
      <c r="AS3" s="17" t="s">
        <v>29</v>
      </c>
      <c r="AT3" s="18" t="s">
        <v>30</v>
      </c>
      <c r="AU3" s="18" t="s">
        <v>3</v>
      </c>
      <c r="AV3" s="18" t="s">
        <v>4</v>
      </c>
      <c r="AW3" s="18" t="s">
        <v>5</v>
      </c>
      <c r="AX3" s="18" t="s">
        <v>6</v>
      </c>
      <c r="AY3" s="18" t="s">
        <v>7</v>
      </c>
      <c r="AZ3" s="18" t="s">
        <v>8</v>
      </c>
      <c r="BA3" s="18" t="s">
        <v>9</v>
      </c>
      <c r="BB3" s="18" t="s">
        <v>10</v>
      </c>
      <c r="BC3" s="18" t="s">
        <v>11</v>
      </c>
      <c r="BD3" s="18" t="s">
        <v>12</v>
      </c>
      <c r="BE3" s="18" t="s">
        <v>31</v>
      </c>
      <c r="BF3" s="23" t="s">
        <v>23</v>
      </c>
      <c r="BG3" s="4"/>
    </row>
    <row r="4">
      <c r="A4" s="49">
        <v>464917.0</v>
      </c>
      <c r="B4" s="55" t="s">
        <v>246</v>
      </c>
      <c r="C4" s="24">
        <v>14110.0</v>
      </c>
      <c r="D4" s="25" t="s">
        <v>84</v>
      </c>
      <c r="E4" s="27" t="s">
        <v>84</v>
      </c>
      <c r="F4" s="27" t="s">
        <v>91</v>
      </c>
      <c r="G4" s="27">
        <v>1.0</v>
      </c>
      <c r="H4" s="27">
        <v>1.0</v>
      </c>
      <c r="I4" s="27">
        <v>4.0</v>
      </c>
      <c r="J4" s="27" t="s">
        <v>91</v>
      </c>
      <c r="K4" s="27">
        <v>1.0</v>
      </c>
      <c r="L4" s="27">
        <v>1.0</v>
      </c>
      <c r="M4" s="27" t="s">
        <v>91</v>
      </c>
      <c r="N4" s="27">
        <v>1.0</v>
      </c>
      <c r="O4" s="27" t="s">
        <v>84</v>
      </c>
      <c r="P4" s="27" t="s">
        <v>91</v>
      </c>
      <c r="Q4" s="27" t="s">
        <v>91</v>
      </c>
      <c r="R4" s="27">
        <v>3.0</v>
      </c>
      <c r="S4" s="27">
        <v>3.0</v>
      </c>
      <c r="T4" s="43">
        <v>464917.0</v>
      </c>
      <c r="U4" s="36">
        <v>9.0</v>
      </c>
      <c r="V4" s="36">
        <v>2.0</v>
      </c>
      <c r="W4" s="109" t="s">
        <v>247</v>
      </c>
      <c r="X4" s="28">
        <v>3441.0</v>
      </c>
      <c r="Y4" s="36">
        <v>9.0</v>
      </c>
      <c r="Z4" s="36">
        <v>2.0</v>
      </c>
      <c r="AA4" s="24" t="s">
        <v>248</v>
      </c>
      <c r="AB4" s="28">
        <v>456456.0</v>
      </c>
      <c r="AC4" s="36">
        <v>7.0</v>
      </c>
      <c r="AD4" s="36">
        <v>0.0</v>
      </c>
      <c r="AE4" s="24" t="s">
        <v>249</v>
      </c>
      <c r="AF4" s="28">
        <v>3947.0</v>
      </c>
      <c r="AG4" s="29">
        <v>6.0</v>
      </c>
      <c r="AH4" s="36">
        <v>0.0</v>
      </c>
      <c r="AI4" s="147">
        <v>7.02</v>
      </c>
      <c r="AJ4" s="28">
        <v>0.5</v>
      </c>
      <c r="AM4" s="36">
        <v>0.4</v>
      </c>
      <c r="AP4" s="36">
        <v>7.0</v>
      </c>
      <c r="AQ4" s="24">
        <v>6.0</v>
      </c>
      <c r="AR4" s="28">
        <f t="shared" ref="AR4:AR6" si="4">SUM(AP4:AQ4)</f>
        <v>13</v>
      </c>
      <c r="AS4" s="21">
        <f t="shared" ref="AS4:AT4" si="2">SUM(AP4)</f>
        <v>7</v>
      </c>
      <c r="AT4">
        <f t="shared" si="2"/>
        <v>6</v>
      </c>
      <c r="AU4">
        <f t="shared" ref="AU4:AU17" si="6">SUM(U4,V4)</f>
        <v>11</v>
      </c>
      <c r="AV4">
        <f t="shared" ref="AV4:AV17" si="7">SUM(Y4,Z4)</f>
        <v>11</v>
      </c>
      <c r="AW4">
        <f t="shared" ref="AW4:AW17" si="8">SUM(AC4,AD4)</f>
        <v>7</v>
      </c>
      <c r="AX4">
        <f t="shared" ref="AX4:AX17" si="9">SUM(AG4,AH4)</f>
        <v>6</v>
      </c>
      <c r="AY4">
        <f t="shared" ref="AY4:BD4" si="3">SUM(AJ4)</f>
        <v>0.5</v>
      </c>
      <c r="AZ4">
        <f t="shared" si="3"/>
        <v>0</v>
      </c>
      <c r="BA4">
        <f t="shared" si="3"/>
        <v>0</v>
      </c>
      <c r="BB4">
        <f t="shared" si="3"/>
        <v>0.4</v>
      </c>
      <c r="BC4">
        <f t="shared" si="3"/>
        <v>0</v>
      </c>
      <c r="BD4">
        <f t="shared" si="3"/>
        <v>0</v>
      </c>
      <c r="BE4">
        <f t="shared" ref="BE4:BE17" si="11">SUM(AR4)</f>
        <v>13</v>
      </c>
      <c r="BF4" s="4"/>
      <c r="BG4" s="50">
        <f t="shared" ref="BG4:BG17" si="12">SUM(AS4:BF4)</f>
        <v>61.9</v>
      </c>
      <c r="BH4" s="32">
        <v>2.0</v>
      </c>
    </row>
    <row r="5">
      <c r="A5" s="43">
        <v>399913.0</v>
      </c>
      <c r="B5" s="55" t="s">
        <v>250</v>
      </c>
      <c r="C5" s="24">
        <v>14120.0</v>
      </c>
      <c r="D5" s="25" t="s">
        <v>84</v>
      </c>
      <c r="E5" s="27" t="s">
        <v>91</v>
      </c>
      <c r="F5" s="27" t="s">
        <v>84</v>
      </c>
      <c r="G5" s="27" t="s">
        <v>84</v>
      </c>
      <c r="H5" s="27" t="s">
        <v>84</v>
      </c>
      <c r="I5" s="27" t="s">
        <v>91</v>
      </c>
      <c r="J5" s="27">
        <v>5.0</v>
      </c>
      <c r="K5" s="27">
        <v>1.0</v>
      </c>
      <c r="L5" s="27" t="s">
        <v>84</v>
      </c>
      <c r="M5" s="27" t="s">
        <v>91</v>
      </c>
      <c r="N5" s="27" t="s">
        <v>84</v>
      </c>
      <c r="O5" s="27">
        <v>3.0</v>
      </c>
      <c r="P5" s="27" t="s">
        <v>84</v>
      </c>
      <c r="Q5" s="27">
        <v>1.0</v>
      </c>
      <c r="R5" s="27">
        <v>2.0</v>
      </c>
      <c r="S5" s="27" t="s">
        <v>84</v>
      </c>
      <c r="T5" s="49">
        <v>399913.0</v>
      </c>
      <c r="U5" s="36">
        <v>9.0</v>
      </c>
      <c r="V5" s="36">
        <v>1.0</v>
      </c>
      <c r="W5" s="24" t="s">
        <v>251</v>
      </c>
      <c r="X5" s="28">
        <v>99312.0</v>
      </c>
      <c r="Y5" s="36">
        <v>8.5</v>
      </c>
      <c r="Z5" s="61">
        <v>1.5</v>
      </c>
      <c r="AA5" s="24" t="s">
        <v>252</v>
      </c>
      <c r="AB5" s="28">
        <v>3133.0</v>
      </c>
      <c r="AC5" s="36">
        <v>9.0</v>
      </c>
      <c r="AD5" s="36">
        <v>1.5</v>
      </c>
      <c r="AE5" s="24">
        <v>12.12</v>
      </c>
      <c r="AF5" s="28">
        <v>4725.0</v>
      </c>
      <c r="AG5" s="36">
        <v>9.0</v>
      </c>
      <c r="AH5" s="36">
        <v>0.0</v>
      </c>
      <c r="AI5" s="148">
        <v>21.02</v>
      </c>
      <c r="AJ5" s="28">
        <v>1.0</v>
      </c>
      <c r="AK5" s="36">
        <v>1.2</v>
      </c>
      <c r="AL5" s="36">
        <v>0.7</v>
      </c>
      <c r="AN5" s="36">
        <v>2.0</v>
      </c>
      <c r="AP5" s="36">
        <v>9.0</v>
      </c>
      <c r="AQ5" s="24">
        <v>6.0</v>
      </c>
      <c r="AR5" s="28">
        <f t="shared" si="4"/>
        <v>15</v>
      </c>
      <c r="AS5" s="21">
        <f t="shared" ref="AS5:AT5" si="5">SUM(AP5)</f>
        <v>9</v>
      </c>
      <c r="AT5">
        <f t="shared" si="5"/>
        <v>6</v>
      </c>
      <c r="AU5">
        <f t="shared" si="6"/>
        <v>10</v>
      </c>
      <c r="AV5">
        <f t="shared" si="7"/>
        <v>10</v>
      </c>
      <c r="AW5">
        <f t="shared" si="8"/>
        <v>10.5</v>
      </c>
      <c r="AX5">
        <f t="shared" si="9"/>
        <v>9</v>
      </c>
      <c r="AY5">
        <f t="shared" ref="AY5:BD5" si="10">SUM(AJ5)</f>
        <v>1</v>
      </c>
      <c r="AZ5">
        <f t="shared" si="10"/>
        <v>1.2</v>
      </c>
      <c r="BA5">
        <f t="shared" si="10"/>
        <v>0.7</v>
      </c>
      <c r="BB5">
        <f t="shared" si="10"/>
        <v>0</v>
      </c>
      <c r="BC5">
        <f t="shared" si="10"/>
        <v>2</v>
      </c>
      <c r="BD5">
        <f t="shared" si="10"/>
        <v>0</v>
      </c>
      <c r="BE5">
        <f t="shared" si="11"/>
        <v>15</v>
      </c>
      <c r="BF5" s="4"/>
      <c r="BG5" s="50">
        <f t="shared" si="12"/>
        <v>74.4</v>
      </c>
      <c r="BH5" s="32">
        <v>2.0</v>
      </c>
    </row>
    <row r="6">
      <c r="A6" s="43">
        <v>465355.0</v>
      </c>
      <c r="B6" s="55" t="s">
        <v>253</v>
      </c>
      <c r="C6" s="24">
        <v>14130.0</v>
      </c>
      <c r="D6" s="25" t="s">
        <v>84</v>
      </c>
      <c r="E6" s="27" t="s">
        <v>91</v>
      </c>
      <c r="F6" s="27" t="s">
        <v>91</v>
      </c>
      <c r="G6" s="27" t="s">
        <v>91</v>
      </c>
      <c r="H6" s="27" t="s">
        <v>91</v>
      </c>
      <c r="I6" s="27" t="s">
        <v>91</v>
      </c>
      <c r="J6" s="27" t="s">
        <v>91</v>
      </c>
      <c r="K6" s="27" t="s">
        <v>91</v>
      </c>
      <c r="L6" s="36" t="s">
        <v>84</v>
      </c>
      <c r="M6" s="27" t="s">
        <v>91</v>
      </c>
      <c r="N6" s="27" t="s">
        <v>91</v>
      </c>
      <c r="O6" s="27">
        <v>1.0</v>
      </c>
      <c r="P6" s="27">
        <v>3.0</v>
      </c>
      <c r="Q6" s="27" t="s">
        <v>84</v>
      </c>
      <c r="R6" s="27">
        <v>2.0</v>
      </c>
      <c r="S6" s="27">
        <v>1.0</v>
      </c>
      <c r="T6" s="43">
        <v>465355.0</v>
      </c>
      <c r="U6" s="36">
        <v>6.0</v>
      </c>
      <c r="V6" s="36">
        <v>0.0</v>
      </c>
      <c r="W6" s="24" t="s">
        <v>254</v>
      </c>
      <c r="X6" s="28">
        <v>54555.0</v>
      </c>
      <c r="Y6" s="36">
        <v>6.0</v>
      </c>
      <c r="Z6" s="36">
        <v>0.0</v>
      </c>
      <c r="AA6" s="24" t="s">
        <v>249</v>
      </c>
      <c r="AB6" s="28">
        <v>39556.0</v>
      </c>
      <c r="AC6" s="36">
        <v>6.0</v>
      </c>
      <c r="AD6" s="36">
        <v>0.0</v>
      </c>
      <c r="AE6" s="148" t="s">
        <v>255</v>
      </c>
      <c r="AF6" s="28">
        <v>74329.0</v>
      </c>
      <c r="AG6" s="36">
        <v>6.0</v>
      </c>
      <c r="AH6" s="36">
        <v>0.0</v>
      </c>
      <c r="AI6" s="148">
        <v>24.02</v>
      </c>
      <c r="AJ6" s="28">
        <v>0.4</v>
      </c>
      <c r="AP6" s="36">
        <v>6.0</v>
      </c>
      <c r="AQ6" s="24">
        <v>6.0</v>
      </c>
      <c r="AR6" s="28">
        <f t="shared" si="4"/>
        <v>12</v>
      </c>
      <c r="AS6" s="21">
        <f t="shared" ref="AS6:AT6" si="13">SUM(AP6)</f>
        <v>6</v>
      </c>
      <c r="AT6">
        <f t="shared" si="13"/>
        <v>6</v>
      </c>
      <c r="AU6">
        <f t="shared" si="6"/>
        <v>6</v>
      </c>
      <c r="AV6">
        <f t="shared" si="7"/>
        <v>6</v>
      </c>
      <c r="AW6">
        <f t="shared" si="8"/>
        <v>6</v>
      </c>
      <c r="AX6">
        <f t="shared" si="9"/>
        <v>6</v>
      </c>
      <c r="AY6">
        <f t="shared" ref="AY6:BD6" si="14">SUM(AJ6)</f>
        <v>0.4</v>
      </c>
      <c r="AZ6">
        <f t="shared" si="14"/>
        <v>0</v>
      </c>
      <c r="BA6">
        <f t="shared" si="14"/>
        <v>0</v>
      </c>
      <c r="BB6">
        <f t="shared" si="14"/>
        <v>0</v>
      </c>
      <c r="BC6">
        <f t="shared" si="14"/>
        <v>0</v>
      </c>
      <c r="BD6">
        <f t="shared" si="14"/>
        <v>0</v>
      </c>
      <c r="BE6">
        <f t="shared" si="11"/>
        <v>12</v>
      </c>
      <c r="BF6" s="4"/>
      <c r="BG6" s="50">
        <f t="shared" si="12"/>
        <v>48.4</v>
      </c>
      <c r="BH6" s="32">
        <v>2.0</v>
      </c>
    </row>
    <row r="7">
      <c r="A7" s="43">
        <v>465951.0</v>
      </c>
      <c r="B7" s="55" t="s">
        <v>256</v>
      </c>
      <c r="C7" s="24">
        <v>14140.0</v>
      </c>
      <c r="D7" s="25" t="s">
        <v>84</v>
      </c>
      <c r="E7" s="27" t="s">
        <v>84</v>
      </c>
      <c r="F7" s="27" t="s">
        <v>84</v>
      </c>
      <c r="G7" s="27" t="s">
        <v>84</v>
      </c>
      <c r="H7" s="27" t="s">
        <v>84</v>
      </c>
      <c r="I7" s="27">
        <v>1.0</v>
      </c>
      <c r="J7" s="27">
        <v>2.0</v>
      </c>
      <c r="K7" s="27">
        <v>5.0</v>
      </c>
      <c r="L7" s="27" t="s">
        <v>84</v>
      </c>
      <c r="M7" s="27" t="s">
        <v>91</v>
      </c>
      <c r="N7" s="27">
        <v>1.0</v>
      </c>
      <c r="O7" s="27" t="s">
        <v>91</v>
      </c>
      <c r="P7" s="27">
        <v>1.0</v>
      </c>
      <c r="Q7" s="27">
        <v>3.0</v>
      </c>
      <c r="R7" s="27" t="s">
        <v>91</v>
      </c>
      <c r="S7" s="27" t="s">
        <v>91</v>
      </c>
      <c r="T7" s="49">
        <v>465951.0</v>
      </c>
      <c r="U7" s="36">
        <v>8.0</v>
      </c>
      <c r="V7" s="36">
        <v>1.0</v>
      </c>
      <c r="W7" s="24" t="s">
        <v>248</v>
      </c>
      <c r="X7" s="28">
        <v>44545.0</v>
      </c>
      <c r="Y7" s="36">
        <v>6.0</v>
      </c>
      <c r="Z7" s="36">
        <v>0.0</v>
      </c>
      <c r="AA7" s="24" t="s">
        <v>257</v>
      </c>
      <c r="AB7" s="28">
        <v>54355.0</v>
      </c>
      <c r="AC7" s="36">
        <v>6.0</v>
      </c>
      <c r="AD7" s="36">
        <v>0.0</v>
      </c>
      <c r="AE7" s="148" t="s">
        <v>258</v>
      </c>
      <c r="AF7" s="28">
        <v>47834.0</v>
      </c>
      <c r="AG7" s="36">
        <v>6.0</v>
      </c>
      <c r="AH7" s="36">
        <v>0.0</v>
      </c>
      <c r="AI7" s="148">
        <v>24.02</v>
      </c>
      <c r="AJ7" s="28">
        <v>1.6</v>
      </c>
      <c r="AL7" s="36">
        <v>0.5</v>
      </c>
      <c r="AN7" s="36">
        <v>0.01</v>
      </c>
      <c r="AP7" s="36">
        <v>6.0</v>
      </c>
      <c r="AQ7" s="24">
        <v>0.01</v>
      </c>
      <c r="AR7" s="28"/>
      <c r="AS7" s="21">
        <f t="shared" ref="AS7:AT7" si="15">SUM(AP7)</f>
        <v>6</v>
      </c>
      <c r="AT7">
        <f t="shared" si="15"/>
        <v>0.01</v>
      </c>
      <c r="AU7">
        <f t="shared" si="6"/>
        <v>9</v>
      </c>
      <c r="AV7">
        <f t="shared" si="7"/>
        <v>6</v>
      </c>
      <c r="AW7">
        <f t="shared" si="8"/>
        <v>6</v>
      </c>
      <c r="AX7">
        <f t="shared" si="9"/>
        <v>6</v>
      </c>
      <c r="AY7">
        <f t="shared" ref="AY7:BD7" si="16">SUM(AJ7)</f>
        <v>1.6</v>
      </c>
      <c r="AZ7">
        <f t="shared" si="16"/>
        <v>0</v>
      </c>
      <c r="BA7">
        <f t="shared" si="16"/>
        <v>0.5</v>
      </c>
      <c r="BB7">
        <f t="shared" si="16"/>
        <v>0</v>
      </c>
      <c r="BC7">
        <f t="shared" si="16"/>
        <v>0.01</v>
      </c>
      <c r="BD7">
        <f t="shared" si="16"/>
        <v>0</v>
      </c>
      <c r="BE7">
        <f t="shared" si="11"/>
        <v>0</v>
      </c>
      <c r="BF7" s="4"/>
      <c r="BG7" s="50">
        <f t="shared" si="12"/>
        <v>35.12</v>
      </c>
      <c r="BH7" s="32"/>
    </row>
    <row r="8">
      <c r="A8" s="49">
        <v>466501.0</v>
      </c>
      <c r="B8" s="55" t="s">
        <v>259</v>
      </c>
      <c r="C8" s="24">
        <v>14160.0</v>
      </c>
      <c r="D8" s="25" t="s">
        <v>84</v>
      </c>
      <c r="E8" s="27">
        <v>4.0</v>
      </c>
      <c r="F8" s="27">
        <v>1.0</v>
      </c>
      <c r="G8" s="27">
        <v>2.0</v>
      </c>
      <c r="H8" s="27">
        <v>2.0</v>
      </c>
      <c r="I8" s="27">
        <v>1.0</v>
      </c>
      <c r="J8" s="27" t="s">
        <v>84</v>
      </c>
      <c r="K8" s="27" t="s">
        <v>84</v>
      </c>
      <c r="L8" s="27" t="s">
        <v>84</v>
      </c>
      <c r="M8" s="27" t="s">
        <v>84</v>
      </c>
      <c r="N8" s="27">
        <v>1.0</v>
      </c>
      <c r="O8" s="27">
        <v>3.0</v>
      </c>
      <c r="P8" s="27" t="s">
        <v>84</v>
      </c>
      <c r="Q8" s="27">
        <v>1.0</v>
      </c>
      <c r="R8" s="27">
        <v>3.0</v>
      </c>
      <c r="S8" s="27">
        <v>1.0</v>
      </c>
      <c r="T8" s="43">
        <v>466501.0</v>
      </c>
      <c r="U8" s="61">
        <v>9.0</v>
      </c>
      <c r="V8" s="61">
        <v>1.0</v>
      </c>
      <c r="W8" s="109">
        <v>19.09</v>
      </c>
      <c r="X8" s="62">
        <v>34665.0</v>
      </c>
      <c r="Y8" s="61">
        <v>8.0</v>
      </c>
      <c r="Z8" s="61">
        <v>1.5</v>
      </c>
      <c r="AA8" s="109" t="s">
        <v>247</v>
      </c>
      <c r="AB8" s="62">
        <v>3477.0</v>
      </c>
      <c r="AC8" s="36">
        <v>9.0</v>
      </c>
      <c r="AD8" s="36">
        <v>2.0</v>
      </c>
      <c r="AE8" s="24" t="s">
        <v>252</v>
      </c>
      <c r="AF8" s="28">
        <v>6548.0</v>
      </c>
      <c r="AG8" s="36">
        <v>9.0</v>
      </c>
      <c r="AH8" s="36">
        <v>1.5</v>
      </c>
      <c r="AI8" s="24">
        <v>19.12</v>
      </c>
      <c r="AJ8" s="28">
        <v>1.4</v>
      </c>
      <c r="AM8" s="36">
        <v>0.9</v>
      </c>
      <c r="AO8" s="36">
        <v>0.8</v>
      </c>
      <c r="AP8" s="36">
        <v>7.5</v>
      </c>
      <c r="AQ8" s="24">
        <v>7.75</v>
      </c>
      <c r="AR8" s="28">
        <f>SUM(AP8:AQ8)</f>
        <v>15.25</v>
      </c>
      <c r="AS8" s="21">
        <f t="shared" ref="AS8:AT8" si="17">SUM(AP8)</f>
        <v>7.5</v>
      </c>
      <c r="AT8">
        <f t="shared" si="17"/>
        <v>7.75</v>
      </c>
      <c r="AU8">
        <f t="shared" si="6"/>
        <v>10</v>
      </c>
      <c r="AV8">
        <f t="shared" si="7"/>
        <v>9.5</v>
      </c>
      <c r="AW8">
        <f t="shared" si="8"/>
        <v>11</v>
      </c>
      <c r="AX8">
        <f t="shared" si="9"/>
        <v>10.5</v>
      </c>
      <c r="AY8">
        <f t="shared" ref="AY8:BD8" si="18">SUM(AJ8)</f>
        <v>1.4</v>
      </c>
      <c r="AZ8">
        <f t="shared" si="18"/>
        <v>0</v>
      </c>
      <c r="BA8">
        <f t="shared" si="18"/>
        <v>0</v>
      </c>
      <c r="BB8">
        <f t="shared" si="18"/>
        <v>0.9</v>
      </c>
      <c r="BC8">
        <f t="shared" si="18"/>
        <v>0</v>
      </c>
      <c r="BD8">
        <f t="shared" si="18"/>
        <v>0.8</v>
      </c>
      <c r="BE8">
        <f t="shared" si="11"/>
        <v>15.25</v>
      </c>
      <c r="BF8" s="4"/>
      <c r="BG8" s="50">
        <f t="shared" si="12"/>
        <v>74.6</v>
      </c>
      <c r="BH8" s="32">
        <v>1.0</v>
      </c>
    </row>
    <row r="9">
      <c r="A9" s="43">
        <v>472196.0</v>
      </c>
      <c r="B9" s="55" t="s">
        <v>260</v>
      </c>
      <c r="C9" s="24">
        <v>14170.0</v>
      </c>
      <c r="D9" s="25" t="s">
        <v>84</v>
      </c>
      <c r="E9" s="27" t="s">
        <v>84</v>
      </c>
      <c r="F9" s="27" t="s">
        <v>91</v>
      </c>
      <c r="G9" s="27" t="s">
        <v>84</v>
      </c>
      <c r="H9" s="27" t="s">
        <v>91</v>
      </c>
      <c r="I9" s="27" t="s">
        <v>84</v>
      </c>
      <c r="J9" s="27" t="s">
        <v>91</v>
      </c>
      <c r="K9" s="27" t="s">
        <v>84</v>
      </c>
      <c r="L9" s="27" t="s">
        <v>84</v>
      </c>
      <c r="M9" s="27" t="s">
        <v>84</v>
      </c>
      <c r="N9" s="27" t="s">
        <v>84</v>
      </c>
      <c r="O9" s="27">
        <v>3.0</v>
      </c>
      <c r="P9" s="27">
        <v>3.0</v>
      </c>
      <c r="Q9" s="27">
        <v>1.0</v>
      </c>
      <c r="R9" s="27" t="s">
        <v>84</v>
      </c>
      <c r="S9" s="27">
        <v>1.0</v>
      </c>
      <c r="T9" s="49">
        <v>472196.0</v>
      </c>
      <c r="U9" s="36">
        <v>6.0</v>
      </c>
      <c r="V9" s="36">
        <v>0.0</v>
      </c>
      <c r="W9" s="24" t="s">
        <v>257</v>
      </c>
      <c r="X9" s="28">
        <v>66474.0</v>
      </c>
      <c r="Y9" s="36">
        <v>1.0</v>
      </c>
      <c r="AA9" s="24"/>
      <c r="AB9" s="28"/>
      <c r="AE9" s="68"/>
      <c r="AF9" s="28"/>
      <c r="AI9" s="63"/>
      <c r="AJ9" s="28">
        <v>0.7</v>
      </c>
      <c r="AK9" s="36">
        <v>0.6</v>
      </c>
      <c r="AP9" s="36">
        <v>0.01</v>
      </c>
      <c r="AQ9" s="24">
        <v>0.01</v>
      </c>
      <c r="AR9" s="28"/>
      <c r="AS9" s="21">
        <f t="shared" ref="AS9:AT9" si="19">SUM(AP9)</f>
        <v>0.01</v>
      </c>
      <c r="AT9">
        <f t="shared" si="19"/>
        <v>0.01</v>
      </c>
      <c r="AU9">
        <f t="shared" si="6"/>
        <v>6</v>
      </c>
      <c r="AV9">
        <f t="shared" si="7"/>
        <v>1</v>
      </c>
      <c r="AW9">
        <f t="shared" si="8"/>
        <v>0</v>
      </c>
      <c r="AX9">
        <f t="shared" si="9"/>
        <v>0</v>
      </c>
      <c r="AY9">
        <f t="shared" ref="AY9:BD9" si="20">SUM(AJ9)</f>
        <v>0.7</v>
      </c>
      <c r="AZ9">
        <f t="shared" si="20"/>
        <v>0.6</v>
      </c>
      <c r="BA9">
        <f t="shared" si="20"/>
        <v>0</v>
      </c>
      <c r="BB9">
        <f t="shared" si="20"/>
        <v>0</v>
      </c>
      <c r="BC9">
        <f t="shared" si="20"/>
        <v>0</v>
      </c>
      <c r="BD9">
        <f t="shared" si="20"/>
        <v>0</v>
      </c>
      <c r="BE9">
        <f t="shared" si="11"/>
        <v>0</v>
      </c>
      <c r="BF9" s="4"/>
      <c r="BG9" s="50">
        <f t="shared" si="12"/>
        <v>8.32</v>
      </c>
      <c r="BH9" s="32"/>
    </row>
    <row r="10">
      <c r="A10" s="36">
        <v>409233.0</v>
      </c>
      <c r="B10" s="36" t="s">
        <v>261</v>
      </c>
      <c r="C10" s="24">
        <v>14260.0</v>
      </c>
      <c r="D10" s="25" t="s">
        <v>91</v>
      </c>
      <c r="E10" s="27" t="s">
        <v>91</v>
      </c>
      <c r="F10" s="27" t="s">
        <v>91</v>
      </c>
      <c r="G10" s="27" t="s">
        <v>91</v>
      </c>
      <c r="H10" s="27" t="s">
        <v>91</v>
      </c>
      <c r="I10" s="27" t="s">
        <v>84</v>
      </c>
      <c r="J10" s="27" t="s">
        <v>91</v>
      </c>
      <c r="K10" s="27" t="s">
        <v>91</v>
      </c>
      <c r="L10" s="27" t="s">
        <v>84</v>
      </c>
      <c r="M10" s="27" t="s">
        <v>91</v>
      </c>
      <c r="N10" s="27" t="s">
        <v>91</v>
      </c>
      <c r="O10" s="27" t="s">
        <v>91</v>
      </c>
      <c r="P10" s="27" t="s">
        <v>91</v>
      </c>
      <c r="Q10" s="27" t="s">
        <v>91</v>
      </c>
      <c r="R10" s="27">
        <v>1.0</v>
      </c>
      <c r="S10" s="27">
        <v>1.0</v>
      </c>
      <c r="T10" s="36">
        <v>409233.0</v>
      </c>
      <c r="U10" s="36">
        <v>6.0</v>
      </c>
      <c r="V10" s="36">
        <v>0.0</v>
      </c>
      <c r="W10" s="148" t="s">
        <v>258</v>
      </c>
      <c r="X10" s="28">
        <v>43292.0</v>
      </c>
      <c r="AA10" s="24"/>
      <c r="AB10" s="28"/>
      <c r="AE10" s="24"/>
      <c r="AF10" s="28"/>
      <c r="AI10" s="33"/>
      <c r="AJ10" s="28"/>
      <c r="AN10" s="36">
        <v>1.6</v>
      </c>
      <c r="AO10" s="36">
        <v>0.01</v>
      </c>
      <c r="AP10" s="36">
        <v>6.0</v>
      </c>
      <c r="AQ10" s="24">
        <v>6.0</v>
      </c>
      <c r="AR10" s="28"/>
      <c r="AS10" s="21">
        <f t="shared" ref="AS10:AT10" si="21">SUM(AP10)</f>
        <v>6</v>
      </c>
      <c r="AT10">
        <f t="shared" si="21"/>
        <v>6</v>
      </c>
      <c r="AU10">
        <f t="shared" si="6"/>
        <v>6</v>
      </c>
      <c r="AV10">
        <f t="shared" si="7"/>
        <v>0</v>
      </c>
      <c r="AW10">
        <f t="shared" si="8"/>
        <v>0</v>
      </c>
      <c r="AX10">
        <f t="shared" si="9"/>
        <v>0</v>
      </c>
      <c r="AY10">
        <f t="shared" ref="AY10:BD10" si="22">SUM(AJ10)</f>
        <v>0</v>
      </c>
      <c r="AZ10">
        <f t="shared" si="22"/>
        <v>0</v>
      </c>
      <c r="BA10">
        <f t="shared" si="22"/>
        <v>0</v>
      </c>
      <c r="BB10">
        <f t="shared" si="22"/>
        <v>0</v>
      </c>
      <c r="BC10">
        <f t="shared" si="22"/>
        <v>1.6</v>
      </c>
      <c r="BD10">
        <f t="shared" si="22"/>
        <v>0.01</v>
      </c>
      <c r="BE10">
        <f t="shared" si="11"/>
        <v>0</v>
      </c>
      <c r="BF10" s="4"/>
      <c r="BG10" s="50">
        <f t="shared" si="12"/>
        <v>19.61</v>
      </c>
      <c r="BH10" s="32"/>
    </row>
    <row r="11">
      <c r="A11" s="43">
        <v>466873.0</v>
      </c>
      <c r="B11" s="44" t="s">
        <v>262</v>
      </c>
      <c r="C11" s="24">
        <v>14180.0</v>
      </c>
      <c r="D11" s="25" t="s">
        <v>84</v>
      </c>
      <c r="E11" s="27" t="s">
        <v>91</v>
      </c>
      <c r="F11" s="27" t="s">
        <v>84</v>
      </c>
      <c r="G11" s="27">
        <v>3.0</v>
      </c>
      <c r="H11" s="27">
        <v>9.0</v>
      </c>
      <c r="I11" s="27">
        <v>4.0</v>
      </c>
      <c r="J11" s="27" t="s">
        <v>91</v>
      </c>
      <c r="K11" s="27" t="s">
        <v>91</v>
      </c>
      <c r="L11" s="27">
        <v>1.0</v>
      </c>
      <c r="M11" s="27">
        <v>1.0</v>
      </c>
      <c r="N11" s="27" t="s">
        <v>91</v>
      </c>
      <c r="O11" s="27" t="s">
        <v>91</v>
      </c>
      <c r="P11" s="27">
        <v>1.0</v>
      </c>
      <c r="Q11" s="27">
        <v>3.0</v>
      </c>
      <c r="R11" s="27" t="s">
        <v>91</v>
      </c>
      <c r="S11" s="27">
        <v>1.0</v>
      </c>
      <c r="T11" s="49">
        <v>466873.0</v>
      </c>
      <c r="U11" s="36">
        <v>8.0</v>
      </c>
      <c r="V11" s="36">
        <v>1.0</v>
      </c>
      <c r="W11" s="109" t="s">
        <v>247</v>
      </c>
      <c r="X11" s="28">
        <v>14447.0</v>
      </c>
      <c r="Y11" s="36">
        <v>7.5</v>
      </c>
      <c r="Z11" s="36">
        <v>0.0</v>
      </c>
      <c r="AA11" s="24" t="s">
        <v>263</v>
      </c>
      <c r="AB11" s="28">
        <v>6666.0</v>
      </c>
      <c r="AC11" s="36">
        <v>9.0</v>
      </c>
      <c r="AD11" s="36">
        <v>1.5</v>
      </c>
      <c r="AE11" s="24" t="s">
        <v>257</v>
      </c>
      <c r="AF11" s="28">
        <v>1559.0</v>
      </c>
      <c r="AG11" s="36">
        <v>9.0</v>
      </c>
      <c r="AH11" s="36">
        <v>1.5</v>
      </c>
      <c r="AI11" s="24">
        <v>30.12</v>
      </c>
      <c r="AJ11" s="28">
        <v>1.2</v>
      </c>
      <c r="AK11" s="36">
        <v>1.3</v>
      </c>
      <c r="AL11" s="36">
        <v>0.7</v>
      </c>
      <c r="AM11" s="36">
        <v>0.7</v>
      </c>
      <c r="AN11" s="36">
        <v>1.6</v>
      </c>
      <c r="AO11" s="36">
        <v>1.2</v>
      </c>
      <c r="AP11" s="36">
        <v>6.0</v>
      </c>
      <c r="AQ11" s="24">
        <v>6.75</v>
      </c>
      <c r="AR11" s="28">
        <f>SUM(AP11:AQ11)</f>
        <v>12.75</v>
      </c>
      <c r="AS11" s="21">
        <f t="shared" ref="AS11:AT11" si="23">SUM(AP11)</f>
        <v>6</v>
      </c>
      <c r="AT11">
        <f t="shared" si="23"/>
        <v>6.75</v>
      </c>
      <c r="AU11">
        <f t="shared" si="6"/>
        <v>9</v>
      </c>
      <c r="AV11">
        <f t="shared" si="7"/>
        <v>7.5</v>
      </c>
      <c r="AW11">
        <f t="shared" si="8"/>
        <v>10.5</v>
      </c>
      <c r="AX11">
        <f t="shared" si="9"/>
        <v>10.5</v>
      </c>
      <c r="AY11">
        <f t="shared" ref="AY11:BD11" si="24">SUM(AJ11)</f>
        <v>1.2</v>
      </c>
      <c r="AZ11">
        <f t="shared" si="24"/>
        <v>1.3</v>
      </c>
      <c r="BA11">
        <f t="shared" si="24"/>
        <v>0.7</v>
      </c>
      <c r="BB11">
        <f t="shared" si="24"/>
        <v>0.7</v>
      </c>
      <c r="BC11">
        <f t="shared" si="24"/>
        <v>1.6</v>
      </c>
      <c r="BD11">
        <f t="shared" si="24"/>
        <v>1.2</v>
      </c>
      <c r="BE11">
        <f t="shared" si="11"/>
        <v>12.75</v>
      </c>
      <c r="BF11" s="4"/>
      <c r="BG11" s="50">
        <f t="shared" si="12"/>
        <v>69.7</v>
      </c>
      <c r="BH11" s="32">
        <v>1.0</v>
      </c>
    </row>
    <row r="12">
      <c r="A12" s="94">
        <v>409297.0</v>
      </c>
      <c r="B12" s="36" t="s">
        <v>264</v>
      </c>
      <c r="C12" s="24">
        <v>14250.0</v>
      </c>
      <c r="D12" s="25" t="s">
        <v>91</v>
      </c>
      <c r="E12" s="27" t="s">
        <v>91</v>
      </c>
      <c r="F12" s="27" t="s">
        <v>91</v>
      </c>
      <c r="G12" s="27" t="s">
        <v>84</v>
      </c>
      <c r="H12" s="27" t="s">
        <v>91</v>
      </c>
      <c r="I12" s="27">
        <v>1.0</v>
      </c>
      <c r="J12" s="27">
        <v>4.0</v>
      </c>
      <c r="K12" s="27">
        <v>1.0</v>
      </c>
      <c r="L12" s="27" t="s">
        <v>91</v>
      </c>
      <c r="M12" s="27">
        <v>3.0</v>
      </c>
      <c r="N12" s="27">
        <v>2.0</v>
      </c>
      <c r="O12" s="27">
        <v>4.0</v>
      </c>
      <c r="P12" s="27" t="s">
        <v>84</v>
      </c>
      <c r="Q12" s="27">
        <v>1.0</v>
      </c>
      <c r="R12" s="27">
        <v>2.0</v>
      </c>
      <c r="S12" s="27">
        <v>2.0</v>
      </c>
      <c r="T12" s="28">
        <v>409297.0</v>
      </c>
      <c r="U12" s="130">
        <v>8.0</v>
      </c>
      <c r="V12" s="36">
        <v>0.0</v>
      </c>
      <c r="W12" s="24" t="s">
        <v>252</v>
      </c>
      <c r="X12" s="28">
        <v>45669.0</v>
      </c>
      <c r="Y12" s="36">
        <v>6.0</v>
      </c>
      <c r="Z12" s="36">
        <v>0.0</v>
      </c>
      <c r="AA12" s="148" t="s">
        <v>258</v>
      </c>
      <c r="AB12" s="28">
        <v>12223.0</v>
      </c>
      <c r="AC12" s="36">
        <v>6.0</v>
      </c>
      <c r="AD12" s="36">
        <v>0.0</v>
      </c>
      <c r="AE12" s="148" t="s">
        <v>255</v>
      </c>
      <c r="AF12" s="28">
        <v>88744.0</v>
      </c>
      <c r="AG12" s="36">
        <v>6.0</v>
      </c>
      <c r="AH12" s="36">
        <v>0.0</v>
      </c>
      <c r="AI12" s="148">
        <v>24.02</v>
      </c>
      <c r="AJ12" s="28">
        <v>0.8</v>
      </c>
      <c r="AP12" s="36">
        <v>6.0</v>
      </c>
      <c r="AQ12" s="24">
        <v>7.75</v>
      </c>
      <c r="AR12" s="28">
        <f>SUM(AP12:AQ12)+3</f>
        <v>16.75</v>
      </c>
      <c r="AS12" s="21">
        <f t="shared" ref="AS12:AT12" si="25">SUM(AP12)</f>
        <v>6</v>
      </c>
      <c r="AT12">
        <f t="shared" si="25"/>
        <v>7.75</v>
      </c>
      <c r="AU12" s="131">
        <f t="shared" si="6"/>
        <v>8</v>
      </c>
      <c r="AV12">
        <f t="shared" si="7"/>
        <v>6</v>
      </c>
      <c r="AW12">
        <f t="shared" si="8"/>
        <v>6</v>
      </c>
      <c r="AX12">
        <f t="shared" si="9"/>
        <v>6</v>
      </c>
      <c r="AY12">
        <f t="shared" ref="AY12:BD12" si="26">SUM(AJ12)</f>
        <v>0.8</v>
      </c>
      <c r="AZ12">
        <f t="shared" si="26"/>
        <v>0</v>
      </c>
      <c r="BA12">
        <f t="shared" si="26"/>
        <v>0</v>
      </c>
      <c r="BB12">
        <f t="shared" si="26"/>
        <v>0</v>
      </c>
      <c r="BC12">
        <f t="shared" si="26"/>
        <v>0</v>
      </c>
      <c r="BD12">
        <f t="shared" si="26"/>
        <v>0</v>
      </c>
      <c r="BE12">
        <f t="shared" si="11"/>
        <v>16.75</v>
      </c>
      <c r="BF12" s="24">
        <v>3.0</v>
      </c>
      <c r="BG12" s="50">
        <f t="shared" si="12"/>
        <v>60.3</v>
      </c>
      <c r="BH12" s="32">
        <v>2.0</v>
      </c>
    </row>
    <row r="13">
      <c r="A13" s="43">
        <v>467027.0</v>
      </c>
      <c r="B13" s="55" t="s">
        <v>265</v>
      </c>
      <c r="C13" s="24">
        <v>14190.0</v>
      </c>
      <c r="D13" s="25">
        <v>2.0</v>
      </c>
      <c r="E13" s="27">
        <v>3.0</v>
      </c>
      <c r="F13" s="27">
        <v>1.0</v>
      </c>
      <c r="G13" s="27">
        <v>2.0</v>
      </c>
      <c r="H13" s="27">
        <v>1.0</v>
      </c>
      <c r="I13" s="27">
        <v>3.0</v>
      </c>
      <c r="J13" s="27" t="s">
        <v>84</v>
      </c>
      <c r="K13" s="27">
        <v>2.0</v>
      </c>
      <c r="L13" s="27" t="s">
        <v>84</v>
      </c>
      <c r="M13" s="27" t="s">
        <v>91</v>
      </c>
      <c r="N13" s="27">
        <v>3.0</v>
      </c>
      <c r="O13" s="27" t="s">
        <v>91</v>
      </c>
      <c r="P13" s="27">
        <v>2.0</v>
      </c>
      <c r="Q13" s="27">
        <v>3.0</v>
      </c>
      <c r="R13" s="27">
        <v>3.0</v>
      </c>
      <c r="S13" s="27">
        <v>2.0</v>
      </c>
      <c r="T13" s="49">
        <v>467027.0</v>
      </c>
      <c r="U13" s="36">
        <v>9.5</v>
      </c>
      <c r="V13" s="36">
        <v>1.5</v>
      </c>
      <c r="W13" s="24">
        <v>12.09</v>
      </c>
      <c r="X13" s="28">
        <v>45557.0</v>
      </c>
      <c r="Y13" s="36">
        <v>10.0</v>
      </c>
      <c r="Z13" s="61">
        <v>1.5</v>
      </c>
      <c r="AA13" s="109" t="s">
        <v>247</v>
      </c>
      <c r="AB13" s="28">
        <v>3244.0</v>
      </c>
      <c r="AC13" s="36">
        <v>6.0</v>
      </c>
      <c r="AD13" s="36">
        <v>0.0</v>
      </c>
      <c r="AE13" s="24" t="s">
        <v>248</v>
      </c>
      <c r="AF13" s="28">
        <v>2327.0</v>
      </c>
      <c r="AG13" s="36">
        <v>9.0</v>
      </c>
      <c r="AH13" s="36">
        <v>2.0</v>
      </c>
      <c r="AI13" s="24">
        <v>19.12</v>
      </c>
      <c r="AJ13" s="28">
        <v>0.01</v>
      </c>
      <c r="AK13" s="36">
        <v>1.5</v>
      </c>
      <c r="AL13" s="36">
        <v>0.4</v>
      </c>
      <c r="AN13" s="36">
        <v>1.2</v>
      </c>
      <c r="AP13" s="36">
        <v>8.5</v>
      </c>
      <c r="AQ13" s="24">
        <v>7.75</v>
      </c>
      <c r="AR13" s="28">
        <f t="shared" ref="AR13:AR14" si="29">SUM(AP13:AQ13)</f>
        <v>16.25</v>
      </c>
      <c r="AS13" s="21">
        <f t="shared" ref="AS13:AT13" si="27">SUM(AP13)</f>
        <v>8.5</v>
      </c>
      <c r="AT13">
        <f t="shared" si="27"/>
        <v>7.75</v>
      </c>
      <c r="AU13">
        <f t="shared" si="6"/>
        <v>11</v>
      </c>
      <c r="AV13">
        <f t="shared" si="7"/>
        <v>11.5</v>
      </c>
      <c r="AW13">
        <f t="shared" si="8"/>
        <v>6</v>
      </c>
      <c r="AX13">
        <f t="shared" si="9"/>
        <v>11</v>
      </c>
      <c r="AY13">
        <f t="shared" ref="AY13:BD13" si="28">SUM(AJ13)</f>
        <v>0.01</v>
      </c>
      <c r="AZ13">
        <f t="shared" si="28"/>
        <v>1.5</v>
      </c>
      <c r="BA13">
        <f t="shared" si="28"/>
        <v>0.4</v>
      </c>
      <c r="BB13">
        <f t="shared" si="28"/>
        <v>0</v>
      </c>
      <c r="BC13">
        <f t="shared" si="28"/>
        <v>1.2</v>
      </c>
      <c r="BD13">
        <f t="shared" si="28"/>
        <v>0</v>
      </c>
      <c r="BE13">
        <f t="shared" si="11"/>
        <v>16.25</v>
      </c>
      <c r="BF13" s="4"/>
      <c r="BG13" s="50">
        <f t="shared" si="12"/>
        <v>75.11</v>
      </c>
      <c r="BH13" s="32">
        <v>1.0</v>
      </c>
    </row>
    <row r="14">
      <c r="A14" s="49">
        <v>413039.0</v>
      </c>
      <c r="B14" s="55" t="s">
        <v>266</v>
      </c>
      <c r="C14" s="36">
        <v>14210.0</v>
      </c>
      <c r="D14" s="25" t="s">
        <v>84</v>
      </c>
      <c r="E14" s="27">
        <v>3.0</v>
      </c>
      <c r="F14" s="27">
        <v>10.0</v>
      </c>
      <c r="G14" s="27" t="s">
        <v>84</v>
      </c>
      <c r="H14" s="27">
        <v>1.0</v>
      </c>
      <c r="I14" s="27">
        <v>1.0</v>
      </c>
      <c r="J14" s="27">
        <v>2.0</v>
      </c>
      <c r="K14" s="27">
        <v>1.0</v>
      </c>
      <c r="L14" s="27">
        <v>2.0</v>
      </c>
      <c r="M14" s="27" t="s">
        <v>84</v>
      </c>
      <c r="N14" s="27">
        <v>2.0</v>
      </c>
      <c r="O14" s="27">
        <v>3.0</v>
      </c>
      <c r="P14" s="27" t="s">
        <v>84</v>
      </c>
      <c r="Q14" s="27">
        <v>1.0</v>
      </c>
      <c r="R14" s="27">
        <v>3.0</v>
      </c>
      <c r="S14" s="27" t="s">
        <v>84</v>
      </c>
      <c r="T14" s="49">
        <v>413039.0</v>
      </c>
      <c r="U14" s="36">
        <v>8.0</v>
      </c>
      <c r="V14" s="36">
        <v>1.0</v>
      </c>
      <c r="W14" s="109">
        <v>19.09</v>
      </c>
      <c r="X14" s="28">
        <v>42321.0</v>
      </c>
      <c r="Y14" s="36">
        <v>7.0</v>
      </c>
      <c r="Z14" s="36">
        <v>1.0</v>
      </c>
      <c r="AA14" s="36" t="s">
        <v>267</v>
      </c>
      <c r="AB14" s="28">
        <v>9943.0</v>
      </c>
      <c r="AC14" s="36">
        <v>9.5</v>
      </c>
      <c r="AD14" s="36">
        <v>2.0</v>
      </c>
      <c r="AE14" s="24" t="s">
        <v>252</v>
      </c>
      <c r="AF14" s="28">
        <v>8492.0</v>
      </c>
      <c r="AG14" s="36">
        <v>10.0</v>
      </c>
      <c r="AH14" s="36">
        <v>2.0</v>
      </c>
      <c r="AI14" s="24">
        <v>12.12</v>
      </c>
      <c r="AJ14" s="28">
        <v>1.8</v>
      </c>
      <c r="AK14" s="36">
        <v>1.3</v>
      </c>
      <c r="AL14" s="36">
        <v>1.5</v>
      </c>
      <c r="AM14" s="36">
        <v>0.7</v>
      </c>
      <c r="AP14" s="36">
        <v>6.5</v>
      </c>
      <c r="AQ14" s="24">
        <v>7.5</v>
      </c>
      <c r="AR14" s="28">
        <f t="shared" si="29"/>
        <v>14</v>
      </c>
      <c r="AS14" s="21">
        <f t="shared" ref="AS14:AT14" si="30">SUM(AP14)</f>
        <v>6.5</v>
      </c>
      <c r="AT14">
        <f t="shared" si="30"/>
        <v>7.5</v>
      </c>
      <c r="AU14">
        <f t="shared" si="6"/>
        <v>9</v>
      </c>
      <c r="AV14">
        <f t="shared" si="7"/>
        <v>8</v>
      </c>
      <c r="AW14">
        <f t="shared" si="8"/>
        <v>11.5</v>
      </c>
      <c r="AX14">
        <f t="shared" si="9"/>
        <v>12</v>
      </c>
      <c r="AY14">
        <f t="shared" ref="AY14:BD14" si="31">SUM(AJ14)</f>
        <v>1.8</v>
      </c>
      <c r="AZ14">
        <f t="shared" si="31"/>
        <v>1.3</v>
      </c>
      <c r="BA14">
        <f t="shared" si="31"/>
        <v>1.5</v>
      </c>
      <c r="BB14">
        <f t="shared" si="31"/>
        <v>0.7</v>
      </c>
      <c r="BC14">
        <f t="shared" si="31"/>
        <v>0</v>
      </c>
      <c r="BD14">
        <f t="shared" si="31"/>
        <v>0</v>
      </c>
      <c r="BE14">
        <f t="shared" si="11"/>
        <v>14</v>
      </c>
      <c r="BF14" s="24">
        <v>1.0</v>
      </c>
      <c r="BG14" s="50">
        <f t="shared" si="12"/>
        <v>74.8</v>
      </c>
      <c r="BH14" s="32">
        <v>1.0</v>
      </c>
    </row>
    <row r="15">
      <c r="A15" s="49">
        <v>409617.0</v>
      </c>
      <c r="B15" s="44" t="s">
        <v>268</v>
      </c>
      <c r="C15" s="36">
        <v>14240.0</v>
      </c>
      <c r="D15" s="25" t="s">
        <v>91</v>
      </c>
      <c r="E15" s="27" t="s">
        <v>84</v>
      </c>
      <c r="F15" s="27" t="s">
        <v>91</v>
      </c>
      <c r="G15" s="27" t="s">
        <v>91</v>
      </c>
      <c r="H15" s="27" t="s">
        <v>91</v>
      </c>
      <c r="I15" s="27" t="s">
        <v>91</v>
      </c>
      <c r="J15" s="27" t="s">
        <v>91</v>
      </c>
      <c r="K15" s="27" t="s">
        <v>91</v>
      </c>
      <c r="L15" s="27" t="s">
        <v>91</v>
      </c>
      <c r="M15" s="27" t="s">
        <v>91</v>
      </c>
      <c r="N15" s="27" t="s">
        <v>91</v>
      </c>
      <c r="O15" s="27" t="s">
        <v>91</v>
      </c>
      <c r="P15" s="27" t="s">
        <v>91</v>
      </c>
      <c r="Q15" s="27" t="s">
        <v>91</v>
      </c>
      <c r="R15" s="27" t="s">
        <v>91</v>
      </c>
      <c r="S15" s="27" t="s">
        <v>91</v>
      </c>
      <c r="T15" s="49">
        <v>409617.0</v>
      </c>
      <c r="U15" s="36">
        <v>6.0</v>
      </c>
      <c r="V15" s="36">
        <v>0.0</v>
      </c>
      <c r="W15" s="134" t="s">
        <v>269</v>
      </c>
      <c r="X15" s="28">
        <v>123123.0</v>
      </c>
      <c r="AB15" s="28"/>
      <c r="AE15" s="63"/>
      <c r="AF15" s="28"/>
      <c r="AI15" s="24"/>
      <c r="AJ15" s="28"/>
      <c r="AQ15" s="24"/>
      <c r="AR15" s="28"/>
      <c r="AS15" s="21">
        <f t="shared" ref="AS15:AT15" si="32">SUM(AP15)</f>
        <v>0</v>
      </c>
      <c r="AT15">
        <f t="shared" si="32"/>
        <v>0</v>
      </c>
      <c r="AU15">
        <f t="shared" si="6"/>
        <v>6</v>
      </c>
      <c r="AV15">
        <f t="shared" si="7"/>
        <v>0</v>
      </c>
      <c r="AW15">
        <f t="shared" si="8"/>
        <v>0</v>
      </c>
      <c r="AX15">
        <f t="shared" si="9"/>
        <v>0</v>
      </c>
      <c r="AY15">
        <f t="shared" ref="AY15:BD15" si="33">SUM(AJ15)</f>
        <v>0</v>
      </c>
      <c r="AZ15">
        <f t="shared" si="33"/>
        <v>0</v>
      </c>
      <c r="BA15">
        <f t="shared" si="33"/>
        <v>0</v>
      </c>
      <c r="BB15">
        <f t="shared" si="33"/>
        <v>0</v>
      </c>
      <c r="BC15">
        <f t="shared" si="33"/>
        <v>0</v>
      </c>
      <c r="BD15">
        <f t="shared" si="33"/>
        <v>0</v>
      </c>
      <c r="BE15">
        <f t="shared" si="11"/>
        <v>0</v>
      </c>
      <c r="BF15" s="4"/>
      <c r="BG15" s="50">
        <f t="shared" si="12"/>
        <v>6</v>
      </c>
      <c r="BH15" s="32"/>
    </row>
    <row r="16">
      <c r="A16" s="94">
        <v>341769.0</v>
      </c>
      <c r="B16" s="36" t="s">
        <v>270</v>
      </c>
      <c r="C16" s="24">
        <v>14270.0</v>
      </c>
      <c r="D16" s="25" t="s">
        <v>91</v>
      </c>
      <c r="E16" s="27" t="s">
        <v>91</v>
      </c>
      <c r="F16" s="27" t="s">
        <v>91</v>
      </c>
      <c r="G16" s="27" t="s">
        <v>91</v>
      </c>
      <c r="H16" s="27" t="s">
        <v>91</v>
      </c>
      <c r="I16" s="27" t="s">
        <v>91</v>
      </c>
      <c r="J16" s="27" t="s">
        <v>91</v>
      </c>
      <c r="K16" s="27" t="s">
        <v>91</v>
      </c>
      <c r="L16" s="27" t="s">
        <v>91</v>
      </c>
      <c r="M16" s="27" t="s">
        <v>91</v>
      </c>
      <c r="N16" s="27" t="s">
        <v>91</v>
      </c>
      <c r="O16" s="27" t="s">
        <v>91</v>
      </c>
      <c r="P16" s="27" t="s">
        <v>91</v>
      </c>
      <c r="Q16" s="27" t="s">
        <v>91</v>
      </c>
      <c r="R16" s="27" t="s">
        <v>91</v>
      </c>
      <c r="S16" s="27" t="s">
        <v>91</v>
      </c>
      <c r="T16" s="94">
        <v>341769.0</v>
      </c>
      <c r="W16" s="38"/>
      <c r="X16" s="21"/>
      <c r="AA16" s="38"/>
      <c r="AB16" s="21"/>
      <c r="AE16" s="38"/>
      <c r="AF16" s="21"/>
      <c r="AI16" s="38"/>
      <c r="AJ16" s="21"/>
      <c r="AN16" s="36">
        <v>0.8</v>
      </c>
      <c r="AQ16" s="4"/>
      <c r="AR16" s="28"/>
      <c r="AS16" s="21">
        <f t="shared" ref="AS16:AT16" si="34">SUM(AP16)</f>
        <v>0</v>
      </c>
      <c r="AT16">
        <f t="shared" si="34"/>
        <v>0</v>
      </c>
      <c r="AU16">
        <f t="shared" si="6"/>
        <v>0</v>
      </c>
      <c r="AV16">
        <f t="shared" si="7"/>
        <v>0</v>
      </c>
      <c r="AW16">
        <f t="shared" si="8"/>
        <v>0</v>
      </c>
      <c r="AX16">
        <f t="shared" si="9"/>
        <v>0</v>
      </c>
      <c r="AY16">
        <f t="shared" ref="AY16:BD16" si="35">SUM(AJ16)</f>
        <v>0</v>
      </c>
      <c r="AZ16">
        <f t="shared" si="35"/>
        <v>0</v>
      </c>
      <c r="BA16">
        <f t="shared" si="35"/>
        <v>0</v>
      </c>
      <c r="BB16">
        <f t="shared" si="35"/>
        <v>0</v>
      </c>
      <c r="BC16">
        <f t="shared" si="35"/>
        <v>0.8</v>
      </c>
      <c r="BD16">
        <f t="shared" si="35"/>
        <v>0</v>
      </c>
      <c r="BE16">
        <f t="shared" si="11"/>
        <v>0</v>
      </c>
      <c r="BF16" s="4"/>
      <c r="BG16" s="50">
        <f t="shared" si="12"/>
        <v>0.8</v>
      </c>
      <c r="BH16" s="32"/>
    </row>
    <row r="17">
      <c r="A17" s="43">
        <v>468030.0</v>
      </c>
      <c r="B17" s="55" t="s">
        <v>271</v>
      </c>
      <c r="C17" s="36">
        <v>14230.0</v>
      </c>
      <c r="D17" s="25" t="s">
        <v>84</v>
      </c>
      <c r="E17" s="27" t="s">
        <v>91</v>
      </c>
      <c r="F17" s="27">
        <v>1.0</v>
      </c>
      <c r="G17" s="27" t="s">
        <v>91</v>
      </c>
      <c r="H17" s="27">
        <v>5.0</v>
      </c>
      <c r="I17" s="27">
        <v>3.0</v>
      </c>
      <c r="J17" s="27" t="s">
        <v>91</v>
      </c>
      <c r="K17" s="27">
        <v>2.0</v>
      </c>
      <c r="L17" s="27">
        <v>1.0</v>
      </c>
      <c r="M17" s="27">
        <v>3.0</v>
      </c>
      <c r="N17" s="27" t="s">
        <v>91</v>
      </c>
      <c r="O17" s="27">
        <v>1.0</v>
      </c>
      <c r="P17" s="27">
        <v>1.0</v>
      </c>
      <c r="Q17" s="27">
        <v>2.0</v>
      </c>
      <c r="R17" s="27" t="s">
        <v>91</v>
      </c>
      <c r="S17" s="27">
        <v>1.0</v>
      </c>
      <c r="T17" s="49">
        <v>468030.0</v>
      </c>
      <c r="U17" s="36">
        <v>8.5</v>
      </c>
      <c r="V17" s="36">
        <v>1.0</v>
      </c>
      <c r="W17" s="109" t="s">
        <v>247</v>
      </c>
      <c r="X17" s="28">
        <v>45647.0</v>
      </c>
      <c r="Y17" s="36">
        <v>9.0</v>
      </c>
      <c r="Z17" s="61">
        <v>1.5</v>
      </c>
      <c r="AA17" s="24" t="s">
        <v>263</v>
      </c>
      <c r="AB17" s="28">
        <v>6456.0</v>
      </c>
      <c r="AC17" s="36">
        <v>8.0</v>
      </c>
      <c r="AD17" s="36">
        <v>1.5</v>
      </c>
      <c r="AE17" s="24" t="s">
        <v>257</v>
      </c>
      <c r="AF17" s="28">
        <v>6674.0</v>
      </c>
      <c r="AG17" s="36">
        <v>6.0</v>
      </c>
      <c r="AH17" s="36">
        <v>0.0</v>
      </c>
      <c r="AI17" s="147">
        <v>7.02</v>
      </c>
      <c r="AJ17" s="28">
        <v>0.5</v>
      </c>
      <c r="AN17" s="36">
        <v>0.8</v>
      </c>
      <c r="AP17" s="36">
        <v>6.5</v>
      </c>
      <c r="AQ17" s="36">
        <v>6.0</v>
      </c>
      <c r="AR17" s="28">
        <f>SUM(AP17:AQ17)</f>
        <v>12.5</v>
      </c>
      <c r="AS17" s="21">
        <f t="shared" ref="AS17:AT17" si="36">SUM(AP17)</f>
        <v>6.5</v>
      </c>
      <c r="AT17">
        <f t="shared" si="36"/>
        <v>6</v>
      </c>
      <c r="AU17">
        <f t="shared" si="6"/>
        <v>9.5</v>
      </c>
      <c r="AV17">
        <f t="shared" si="7"/>
        <v>10.5</v>
      </c>
      <c r="AW17">
        <f t="shared" si="8"/>
        <v>9.5</v>
      </c>
      <c r="AX17">
        <f t="shared" si="9"/>
        <v>6</v>
      </c>
      <c r="AY17">
        <f t="shared" ref="AY17:BD17" si="37">SUM(AJ17)</f>
        <v>0.5</v>
      </c>
      <c r="AZ17">
        <f t="shared" si="37"/>
        <v>0</v>
      </c>
      <c r="BA17">
        <f t="shared" si="37"/>
        <v>0</v>
      </c>
      <c r="BB17">
        <f t="shared" si="37"/>
        <v>0</v>
      </c>
      <c r="BC17">
        <f t="shared" si="37"/>
        <v>0.8</v>
      </c>
      <c r="BD17">
        <f t="shared" si="37"/>
        <v>0</v>
      </c>
      <c r="BE17">
        <f t="shared" si="11"/>
        <v>12.5</v>
      </c>
      <c r="BF17" s="4"/>
      <c r="BG17" s="50">
        <f t="shared" si="12"/>
        <v>61.8</v>
      </c>
      <c r="BH17" s="32">
        <v>2.0</v>
      </c>
    </row>
    <row r="18">
      <c r="A18" s="36"/>
      <c r="T18" s="36"/>
      <c r="U18" s="36"/>
      <c r="V18" s="36"/>
      <c r="W18" s="37"/>
      <c r="Y18" s="36"/>
      <c r="Z18" s="36"/>
      <c r="AA18" s="37"/>
      <c r="AC18" s="36"/>
      <c r="AD18" s="36"/>
      <c r="AE18" s="37"/>
      <c r="AG18" s="36"/>
      <c r="AH18" s="36"/>
      <c r="AI18" s="36"/>
      <c r="AJ18" s="36"/>
      <c r="AP18" s="36">
        <f t="shared" ref="AP18:AQ18" si="38">COUNTA($B$4:$B$17)-COUNTIF(AP4:AP17,"&gt;=6")</f>
        <v>3</v>
      </c>
      <c r="AQ18" s="36">
        <f t="shared" si="38"/>
        <v>4</v>
      </c>
      <c r="AS18" s="21"/>
      <c r="BF18" s="4"/>
      <c r="BG18" s="39"/>
      <c r="BH18" s="32"/>
    </row>
    <row r="19">
      <c r="A19" s="43">
        <v>489451.0</v>
      </c>
      <c r="B19" s="69" t="s">
        <v>272</v>
      </c>
      <c r="C19" s="24"/>
      <c r="D19" s="25" t="s">
        <v>91</v>
      </c>
      <c r="E19" s="27" t="s">
        <v>91</v>
      </c>
      <c r="F19" s="27" t="s">
        <v>91</v>
      </c>
      <c r="G19" s="27" t="s">
        <v>91</v>
      </c>
      <c r="H19" s="27" t="s">
        <v>91</v>
      </c>
      <c r="I19" s="27" t="s">
        <v>91</v>
      </c>
      <c r="J19" s="27" t="s">
        <v>91</v>
      </c>
      <c r="K19" s="27" t="s">
        <v>91</v>
      </c>
      <c r="L19" s="27" t="s">
        <v>91</v>
      </c>
      <c r="M19" s="27" t="s">
        <v>91</v>
      </c>
      <c r="N19" s="27" t="s">
        <v>91</v>
      </c>
      <c r="O19" s="27" t="s">
        <v>91</v>
      </c>
      <c r="P19" s="27" t="s">
        <v>91</v>
      </c>
      <c r="Q19" s="27" t="s">
        <v>91</v>
      </c>
      <c r="R19" s="27" t="s">
        <v>91</v>
      </c>
      <c r="S19" s="27" t="s">
        <v>91</v>
      </c>
      <c r="T19" s="43">
        <v>489451.0</v>
      </c>
      <c r="W19" s="24"/>
      <c r="X19" s="28"/>
      <c r="AA19" s="68"/>
      <c r="AB19" s="28"/>
      <c r="AE19" s="33"/>
      <c r="AF19" s="28"/>
      <c r="AI19" s="24"/>
      <c r="AJ19" s="28"/>
      <c r="AQ19" s="24"/>
      <c r="AR19" s="30"/>
      <c r="AS19">
        <f t="shared" ref="AS19:AT19" si="39">SUM(AP19)</f>
        <v>0</v>
      </c>
      <c r="AT19">
        <f t="shared" si="39"/>
        <v>0</v>
      </c>
      <c r="AU19" s="21">
        <f t="shared" ref="AU19:AU22" si="42">SUM(U19,V19)</f>
        <v>0</v>
      </c>
      <c r="AV19">
        <f t="shared" ref="AV19:AV22" si="43">SUM(Y19,Z19)</f>
        <v>0</v>
      </c>
      <c r="AW19">
        <f t="shared" ref="AW19:AW22" si="44">SUM(AC19,AD19)</f>
        <v>0</v>
      </c>
      <c r="AX19">
        <f t="shared" ref="AX19:AX22" si="45">SUM(AG19,AH19)</f>
        <v>0</v>
      </c>
      <c r="AY19">
        <f t="shared" ref="AY19:BD19" si="40">SUM(AJ19)</f>
        <v>0</v>
      </c>
      <c r="AZ19">
        <f t="shared" si="40"/>
        <v>0</v>
      </c>
      <c r="BA19">
        <f t="shared" si="40"/>
        <v>0</v>
      </c>
      <c r="BB19">
        <f t="shared" si="40"/>
        <v>0</v>
      </c>
      <c r="BC19">
        <f t="shared" si="40"/>
        <v>0</v>
      </c>
      <c r="BD19">
        <f t="shared" si="40"/>
        <v>0</v>
      </c>
      <c r="BE19">
        <f t="shared" ref="BE19:BE22" si="47">SUM(AR19)</f>
        <v>0</v>
      </c>
      <c r="BG19" s="31">
        <f t="shared" ref="BG19:BG22" si="48">SUM(AU19:BF19)</f>
        <v>0</v>
      </c>
      <c r="BH19" s="32"/>
    </row>
    <row r="20">
      <c r="A20" s="43">
        <v>466423.0</v>
      </c>
      <c r="B20" s="149" t="s">
        <v>273</v>
      </c>
      <c r="C20" s="24">
        <v>14150.0</v>
      </c>
      <c r="D20" s="25" t="s">
        <v>84</v>
      </c>
      <c r="E20" s="27" t="s">
        <v>84</v>
      </c>
      <c r="F20" s="27" t="s">
        <v>91</v>
      </c>
      <c r="G20" s="27" t="s">
        <v>91</v>
      </c>
      <c r="H20" s="27" t="s">
        <v>91</v>
      </c>
      <c r="I20" s="27" t="s">
        <v>91</v>
      </c>
      <c r="J20" s="27" t="s">
        <v>91</v>
      </c>
      <c r="K20" s="27" t="s">
        <v>91</v>
      </c>
      <c r="L20" s="27" t="s">
        <v>91</v>
      </c>
      <c r="M20" s="27" t="s">
        <v>91</v>
      </c>
      <c r="N20" s="27" t="s">
        <v>91</v>
      </c>
      <c r="O20" s="27" t="s">
        <v>91</v>
      </c>
      <c r="P20" s="27" t="s">
        <v>91</v>
      </c>
      <c r="Q20" s="27" t="s">
        <v>91</v>
      </c>
      <c r="R20" s="27" t="s">
        <v>91</v>
      </c>
      <c r="S20" s="27" t="s">
        <v>91</v>
      </c>
      <c r="T20" s="43">
        <v>466423.0</v>
      </c>
      <c r="W20" s="24"/>
      <c r="X20" s="28"/>
      <c r="AA20" s="33"/>
      <c r="AB20" s="28"/>
      <c r="AE20" s="33"/>
      <c r="AF20" s="28"/>
      <c r="AI20" s="24"/>
      <c r="AJ20" s="28"/>
      <c r="AQ20" s="24"/>
      <c r="AR20" s="30"/>
      <c r="AS20">
        <f t="shared" ref="AS20:AT20" si="41">SUM(AP20)</f>
        <v>0</v>
      </c>
      <c r="AT20">
        <f t="shared" si="41"/>
        <v>0</v>
      </c>
      <c r="AU20" s="21">
        <f t="shared" si="42"/>
        <v>0</v>
      </c>
      <c r="AV20">
        <f t="shared" si="43"/>
        <v>0</v>
      </c>
      <c r="AW20">
        <f t="shared" si="44"/>
        <v>0</v>
      </c>
      <c r="AX20">
        <f t="shared" si="45"/>
        <v>0</v>
      </c>
      <c r="AY20">
        <f t="shared" ref="AY20:BD20" si="46">SUM(AJ20)</f>
        <v>0</v>
      </c>
      <c r="AZ20">
        <f t="shared" si="46"/>
        <v>0</v>
      </c>
      <c r="BA20">
        <f t="shared" si="46"/>
        <v>0</v>
      </c>
      <c r="BB20">
        <f t="shared" si="46"/>
        <v>0</v>
      </c>
      <c r="BC20">
        <f t="shared" si="46"/>
        <v>0</v>
      </c>
      <c r="BD20">
        <f t="shared" si="46"/>
        <v>0</v>
      </c>
      <c r="BE20">
        <f t="shared" si="47"/>
        <v>0</v>
      </c>
      <c r="BG20" s="31">
        <f t="shared" si="48"/>
        <v>0</v>
      </c>
      <c r="BH20" s="32"/>
    </row>
    <row r="21">
      <c r="A21" s="43">
        <v>467463.0</v>
      </c>
      <c r="B21" s="149" t="s">
        <v>274</v>
      </c>
      <c r="C21" s="36">
        <v>14220.0</v>
      </c>
      <c r="D21" s="25" t="s">
        <v>84</v>
      </c>
      <c r="E21" s="27" t="s">
        <v>84</v>
      </c>
      <c r="F21" s="27" t="s">
        <v>91</v>
      </c>
      <c r="G21" s="27" t="s">
        <v>91</v>
      </c>
      <c r="H21" s="27" t="s">
        <v>91</v>
      </c>
      <c r="I21" s="27" t="s">
        <v>91</v>
      </c>
      <c r="J21" s="27" t="s">
        <v>91</v>
      </c>
      <c r="K21" s="27" t="s">
        <v>91</v>
      </c>
      <c r="L21" s="27" t="s">
        <v>91</v>
      </c>
      <c r="M21" s="27" t="s">
        <v>91</v>
      </c>
      <c r="N21" s="27" t="s">
        <v>91</v>
      </c>
      <c r="O21" s="27" t="s">
        <v>91</v>
      </c>
      <c r="P21" s="27" t="s">
        <v>91</v>
      </c>
      <c r="Q21" s="27" t="s">
        <v>91</v>
      </c>
      <c r="R21" s="27" t="s">
        <v>91</v>
      </c>
      <c r="S21" s="27" t="s">
        <v>91</v>
      </c>
      <c r="T21" s="43">
        <v>467463.0</v>
      </c>
      <c r="X21" s="28"/>
      <c r="AB21" s="28"/>
      <c r="AE21" s="63"/>
      <c r="AF21" s="28"/>
      <c r="AI21" s="24"/>
      <c r="AJ21" s="28"/>
      <c r="AQ21" s="24"/>
      <c r="AR21" s="30"/>
      <c r="AS21">
        <f t="shared" ref="AS21:AT21" si="49">SUM(AP21)</f>
        <v>0</v>
      </c>
      <c r="AT21">
        <f t="shared" si="49"/>
        <v>0</v>
      </c>
      <c r="AU21" s="21">
        <f t="shared" si="42"/>
        <v>0</v>
      </c>
      <c r="AV21">
        <f t="shared" si="43"/>
        <v>0</v>
      </c>
      <c r="AW21">
        <f t="shared" si="44"/>
        <v>0</v>
      </c>
      <c r="AX21">
        <f t="shared" si="45"/>
        <v>0</v>
      </c>
      <c r="AY21">
        <f t="shared" ref="AY21:BD21" si="50">SUM(AJ21)</f>
        <v>0</v>
      </c>
      <c r="AZ21">
        <f t="shared" si="50"/>
        <v>0</v>
      </c>
      <c r="BA21">
        <f t="shared" si="50"/>
        <v>0</v>
      </c>
      <c r="BB21">
        <f t="shared" si="50"/>
        <v>0</v>
      </c>
      <c r="BC21">
        <f t="shared" si="50"/>
        <v>0</v>
      </c>
      <c r="BD21">
        <f t="shared" si="50"/>
        <v>0</v>
      </c>
      <c r="BE21">
        <f t="shared" si="47"/>
        <v>0</v>
      </c>
      <c r="BG21" s="31">
        <f t="shared" si="48"/>
        <v>0</v>
      </c>
      <c r="BH21" s="32"/>
    </row>
    <row r="22">
      <c r="A22" s="43">
        <v>467738.0</v>
      </c>
      <c r="B22" s="69" t="s">
        <v>275</v>
      </c>
      <c r="D22" s="25" t="s">
        <v>91</v>
      </c>
      <c r="E22" s="27" t="s">
        <v>91</v>
      </c>
      <c r="F22" s="27" t="s">
        <v>91</v>
      </c>
      <c r="G22" s="27" t="s">
        <v>91</v>
      </c>
      <c r="H22" s="27" t="s">
        <v>91</v>
      </c>
      <c r="I22" s="27" t="s">
        <v>91</v>
      </c>
      <c r="J22" s="27" t="s">
        <v>91</v>
      </c>
      <c r="K22" s="27" t="s">
        <v>91</v>
      </c>
      <c r="L22" s="27" t="s">
        <v>91</v>
      </c>
      <c r="M22" s="27" t="s">
        <v>91</v>
      </c>
      <c r="N22" s="27" t="s">
        <v>91</v>
      </c>
      <c r="O22" s="27" t="s">
        <v>91</v>
      </c>
      <c r="P22" s="27" t="s">
        <v>91</v>
      </c>
      <c r="Q22" s="27" t="s">
        <v>91</v>
      </c>
      <c r="R22" s="27" t="s">
        <v>91</v>
      </c>
      <c r="S22" s="27" t="s">
        <v>91</v>
      </c>
      <c r="T22" s="43">
        <v>467738.0</v>
      </c>
      <c r="W22" s="70"/>
      <c r="X22" s="28"/>
      <c r="AB22" s="28"/>
      <c r="AF22" s="28"/>
      <c r="AI22" s="71"/>
      <c r="AJ22" s="28"/>
      <c r="AR22" s="30"/>
      <c r="AS22">
        <f t="shared" ref="AS22:AT22" si="51">SUM(AP22)</f>
        <v>0</v>
      </c>
      <c r="AT22">
        <f t="shared" si="51"/>
        <v>0</v>
      </c>
      <c r="AU22" s="21">
        <f t="shared" si="42"/>
        <v>0</v>
      </c>
      <c r="AV22">
        <f t="shared" si="43"/>
        <v>0</v>
      </c>
      <c r="AW22">
        <f t="shared" si="44"/>
        <v>0</v>
      </c>
      <c r="AX22">
        <f t="shared" si="45"/>
        <v>0</v>
      </c>
      <c r="AY22">
        <f t="shared" ref="AY22:BD22" si="52">SUM(AJ22)</f>
        <v>0</v>
      </c>
      <c r="AZ22">
        <f t="shared" si="52"/>
        <v>0</v>
      </c>
      <c r="BA22">
        <f t="shared" si="52"/>
        <v>0</v>
      </c>
      <c r="BB22">
        <f t="shared" si="52"/>
        <v>0</v>
      </c>
      <c r="BC22">
        <f t="shared" si="52"/>
        <v>0</v>
      </c>
      <c r="BD22">
        <f t="shared" si="52"/>
        <v>0</v>
      </c>
      <c r="BE22">
        <f t="shared" si="47"/>
        <v>0</v>
      </c>
      <c r="BG22" s="31">
        <f t="shared" si="48"/>
        <v>0</v>
      </c>
      <c r="BH22" s="32"/>
    </row>
  </sheetData>
  <mergeCells count="45">
    <mergeCell ref="N2:N3"/>
    <mergeCell ref="O2:O3"/>
    <mergeCell ref="P2:P3"/>
    <mergeCell ref="Q2:Q3"/>
    <mergeCell ref="R2:R3"/>
    <mergeCell ref="S2:S3"/>
    <mergeCell ref="T2:T3"/>
    <mergeCell ref="W2:W3"/>
    <mergeCell ref="X2:X3"/>
    <mergeCell ref="AA2:AA3"/>
    <mergeCell ref="AB2:AB3"/>
    <mergeCell ref="AE2:AE3"/>
    <mergeCell ref="AF2:AF3"/>
    <mergeCell ref="AI2:AI3"/>
    <mergeCell ref="A1:B1"/>
    <mergeCell ref="C1:C3"/>
    <mergeCell ref="D1:S1"/>
    <mergeCell ref="T1:W1"/>
    <mergeCell ref="X1:AA1"/>
    <mergeCell ref="AB1:AE1"/>
    <mergeCell ref="AF1:AI1"/>
    <mergeCell ref="AP2:AP3"/>
    <mergeCell ref="AQ2:AQ3"/>
    <mergeCell ref="AS1:BE2"/>
    <mergeCell ref="BG1:BG3"/>
    <mergeCell ref="BH1:BH3"/>
    <mergeCell ref="AJ2:AJ3"/>
    <mergeCell ref="AK2:AK3"/>
    <mergeCell ref="AL2:AL3"/>
    <mergeCell ref="AM2:AM3"/>
    <mergeCell ref="AR2:AR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N2:AN3"/>
    <mergeCell ref="AO2:AO3"/>
  </mergeCells>
  <conditionalFormatting sqref="AE4 AA6">
    <cfRule type="timePeriod" dxfId="0" priority="1" timePeriod="last7Days"/>
  </conditionalFormatting>
  <conditionalFormatting sqref="AE4 AA6">
    <cfRule type="timePeriod" dxfId="0" priority="2" timePeriod="last7Days"/>
  </conditionalFormatting>
  <conditionalFormatting sqref="AE4 AA6">
    <cfRule type="timePeriod" dxfId="0" priority="3" timePeriod="last7Days"/>
  </conditionalFormatting>
  <conditionalFormatting sqref="AE4 AA6">
    <cfRule type="timePeriod" dxfId="0" priority="4" timePeriod="last7Days"/>
  </conditionalFormatting>
  <conditionalFormatting sqref="AS4:BF22">
    <cfRule type="cellIs" dxfId="1" priority="5" operator="lessThan">
      <formula>0.1</formula>
    </cfRule>
  </conditionalFormatting>
  <conditionalFormatting sqref="AS4:BF22">
    <cfRule type="cellIs" dxfId="2" priority="6" operator="greaterThan">
      <formula>0.1</formula>
    </cfRule>
  </conditionalFormatting>
  <conditionalFormatting sqref="BG4:BH22">
    <cfRule type="cellIs" dxfId="3" priority="7" operator="between">
      <formula>60</formula>
      <formula>68</formula>
    </cfRule>
  </conditionalFormatting>
  <conditionalFormatting sqref="BG4:BH22">
    <cfRule type="cellIs" dxfId="4" priority="8" operator="between">
      <formula>68</formula>
      <formula>74</formula>
    </cfRule>
  </conditionalFormatting>
  <conditionalFormatting sqref="BG4:BH22">
    <cfRule type="cellIs" dxfId="2" priority="9" operator="between">
      <formula>74</formula>
      <formula>81</formula>
    </cfRule>
  </conditionalFormatting>
  <conditionalFormatting sqref="BG4:BH22">
    <cfRule type="cellIs" dxfId="5" priority="10" operator="between">
      <formula>81</formula>
      <formula>90</formula>
    </cfRule>
  </conditionalFormatting>
  <conditionalFormatting sqref="BG4:BH22">
    <cfRule type="cellIs" dxfId="6" priority="11" operator="greaterThan">
      <formula>90</formula>
    </cfRule>
  </conditionalFormatting>
  <conditionalFormatting sqref="G4:G16 G19:G22">
    <cfRule type="containsText" dxfId="7" priority="12" operator="containsText" text="н">
      <formula>NOT(ISERROR(SEARCH(("н"),(G4))))</formula>
    </cfRule>
  </conditionalFormatting>
  <conditionalFormatting sqref="G4:G16 G19:G22">
    <cfRule type="containsText" dxfId="7" priority="13" operator="containsText" text="n">
      <formula>NOT(ISERROR(SEARCH(("n"),(G4))))</formula>
    </cfRule>
  </conditionalFormatting>
  <conditionalFormatting sqref="F4:F16 F19:F22">
    <cfRule type="containsText" dxfId="7" priority="14" operator="containsText" text="н">
      <formula>NOT(ISERROR(SEARCH(("н"),(F4))))</formula>
    </cfRule>
  </conditionalFormatting>
  <conditionalFormatting sqref="F4:F16 F19:F22">
    <cfRule type="containsText" dxfId="7" priority="15" operator="containsText" text="n">
      <formula>NOT(ISERROR(SEARCH(("n"),(F4))))</formula>
    </cfRule>
  </conditionalFormatting>
  <conditionalFormatting sqref="U4:V4">
    <cfRule type="cellIs" dxfId="8" priority="16" operator="equal">
      <formula>0</formula>
    </cfRule>
  </conditionalFormatting>
  <conditionalFormatting sqref="Y4:Z4">
    <cfRule type="cellIs" dxfId="8" priority="17" operator="equal">
      <formula>0</formula>
    </cfRule>
  </conditionalFormatting>
  <conditionalFormatting sqref="AC4">
    <cfRule type="cellIs" dxfId="8" priority="18" operator="equal">
      <formula>0</formula>
    </cfRule>
  </conditionalFormatting>
  <conditionalFormatting sqref="AG4">
    <cfRule type="cellIs" dxfId="8" priority="19" operator="equal">
      <formula>0</formula>
    </cfRule>
  </conditionalFormatting>
  <conditionalFormatting sqref="AJ4:AQ4">
    <cfRule type="cellIs" dxfId="8" priority="20" operator="equal">
      <formula>0</formula>
    </cfRule>
  </conditionalFormatting>
  <conditionalFormatting sqref="D1:S22">
    <cfRule type="containsText" dxfId="7" priority="21" operator="containsText" text="н">
      <formula>NOT(ISERROR(SEARCH(("н"),(D1))))</formula>
    </cfRule>
  </conditionalFormatting>
  <conditionalFormatting sqref="D1:S22">
    <cfRule type="containsText" dxfId="7" priority="22" operator="containsText" text="n">
      <formula>NOT(ISERROR(SEARCH(("n"),(D1))))</formula>
    </cfRule>
  </conditionalFormatting>
  <conditionalFormatting sqref="AE4 AA6">
    <cfRule type="timePeriod" dxfId="0" priority="23" timePeriod="last7Days"/>
  </conditionalFormatting>
  <conditionalFormatting sqref="BG1:BH22">
    <cfRule type="cellIs" dxfId="3" priority="24" operator="between">
      <formula>60</formula>
      <formula>68</formula>
    </cfRule>
  </conditionalFormatting>
  <conditionalFormatting sqref="AR4:AR22">
    <cfRule type="cellIs" dxfId="6" priority="25" operator="between">
      <formula>12</formula>
      <formula>1000</formula>
    </cfRule>
  </conditionalFormatting>
  <conditionalFormatting sqref="BG1:BH22">
    <cfRule type="cellIs" dxfId="4" priority="26" operator="between">
      <formula>68</formula>
      <formula>74</formula>
    </cfRule>
  </conditionalFormatting>
  <conditionalFormatting sqref="BG1:BH22">
    <cfRule type="cellIs" dxfId="2" priority="27" operator="between">
      <formula>74</formula>
      <formula>81</formula>
    </cfRule>
  </conditionalFormatting>
  <conditionalFormatting sqref="BG1:BH22">
    <cfRule type="cellIs" dxfId="5" priority="28" operator="between">
      <formula>81</formula>
      <formula>90</formula>
    </cfRule>
  </conditionalFormatting>
  <conditionalFormatting sqref="BG1:BH22">
    <cfRule type="cellIs" dxfId="6" priority="29" operator="greaterThan">
      <formula>90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24" width="2.88"/>
    <col customWidth="1" min="25" max="25" width="5.5"/>
    <col customWidth="1" min="26" max="26" width="5.0"/>
    <col customWidth="1" min="27" max="27" width="3.88"/>
    <col customWidth="1" min="28" max="28" width="4.63"/>
    <col customWidth="1" min="29" max="29" width="6.5"/>
    <col customWidth="1" min="30" max="30" width="5.13"/>
    <col customWidth="1" min="31" max="31" width="4.0"/>
    <col customWidth="1" min="32" max="32" width="5.0"/>
    <col customWidth="1" min="33" max="33" width="6.38"/>
    <col customWidth="1" min="34" max="34" width="5.13"/>
    <col customWidth="1" min="35" max="35" width="4.0"/>
    <col customWidth="1" min="36" max="36" width="5.0"/>
    <col customWidth="1" min="37" max="37" width="7.63"/>
    <col customWidth="1" min="38" max="38" width="5.0"/>
    <col customWidth="1" min="39" max="39" width="4.5"/>
    <col customWidth="1" min="40" max="40" width="5.0"/>
    <col customWidth="1" min="41" max="41" width="5.63"/>
    <col customWidth="1" min="42" max="42" width="5.13"/>
    <col customWidth="1" min="43" max="43" width="5.38"/>
    <col customWidth="1" min="44" max="44" width="5.0"/>
    <col customWidth="1" min="45" max="46" width="5.38"/>
    <col customWidth="1" min="47" max="48" width="5.88"/>
    <col customWidth="1" min="49" max="49" width="5.63"/>
    <col customWidth="1" min="50" max="50" width="4.5"/>
    <col customWidth="1" min="51" max="51" width="4.38"/>
    <col customWidth="1" min="52" max="56" width="4.25"/>
    <col customWidth="1" min="57" max="57" width="4.63"/>
    <col customWidth="1" min="58" max="58" width="4.5"/>
    <col customWidth="1" min="59" max="60" width="4.63"/>
    <col customWidth="1" min="61" max="61" width="4.5"/>
    <col customWidth="1" min="62" max="63" width="4.38"/>
    <col customWidth="1" min="64" max="64" width="6.63"/>
    <col customWidth="1" min="65" max="65" width="3.25"/>
  </cols>
  <sheetData>
    <row r="1">
      <c r="A1" s="1" t="s">
        <v>276</v>
      </c>
      <c r="C1" s="2" t="s">
        <v>1</v>
      </c>
      <c r="D1" s="3" t="s">
        <v>2</v>
      </c>
      <c r="U1" s="10" t="s">
        <v>53</v>
      </c>
      <c r="Y1" s="10" t="s">
        <v>3</v>
      </c>
      <c r="AB1" s="4"/>
      <c r="AC1" s="5" t="s">
        <v>4</v>
      </c>
      <c r="AF1" s="4"/>
      <c r="AG1" s="5" t="s">
        <v>5</v>
      </c>
      <c r="AJ1" s="4"/>
      <c r="AK1" s="5" t="s">
        <v>6</v>
      </c>
      <c r="AN1" s="4"/>
      <c r="AO1" s="3" t="s">
        <v>7</v>
      </c>
      <c r="AP1" s="6" t="s">
        <v>8</v>
      </c>
      <c r="AQ1" s="6" t="s">
        <v>9</v>
      </c>
      <c r="AR1" s="6" t="s">
        <v>10</v>
      </c>
      <c r="AS1" s="6" t="s">
        <v>11</v>
      </c>
      <c r="AT1" s="6" t="s">
        <v>12</v>
      </c>
      <c r="AU1" s="6" t="s">
        <v>13</v>
      </c>
      <c r="AV1" s="7" t="s">
        <v>14</v>
      </c>
      <c r="AW1" s="3" t="s">
        <v>15</v>
      </c>
      <c r="AX1" s="6" t="s">
        <v>16</v>
      </c>
      <c r="BK1" s="7"/>
      <c r="BL1" s="41" t="s">
        <v>17</v>
      </c>
      <c r="BM1" s="10" t="s">
        <v>18</v>
      </c>
    </row>
    <row r="2">
      <c r="A2" s="11" t="s">
        <v>19</v>
      </c>
      <c r="B2" s="11" t="s">
        <v>20</v>
      </c>
      <c r="C2" s="4"/>
      <c r="D2" s="150">
        <v>45547.0</v>
      </c>
      <c r="E2" s="12">
        <f t="shared" ref="E2:S2" si="1">D2+7</f>
        <v>45554</v>
      </c>
      <c r="F2" s="12">
        <f t="shared" si="1"/>
        <v>45561</v>
      </c>
      <c r="G2" s="12">
        <f t="shared" si="1"/>
        <v>45568</v>
      </c>
      <c r="H2" s="12">
        <f t="shared" si="1"/>
        <v>45575</v>
      </c>
      <c r="I2" s="12">
        <f t="shared" si="1"/>
        <v>45582</v>
      </c>
      <c r="J2" s="12">
        <f t="shared" si="1"/>
        <v>45589</v>
      </c>
      <c r="K2" s="12">
        <f t="shared" si="1"/>
        <v>45596</v>
      </c>
      <c r="L2" s="12">
        <f t="shared" si="1"/>
        <v>45603</v>
      </c>
      <c r="M2" s="12">
        <f t="shared" si="1"/>
        <v>45610</v>
      </c>
      <c r="N2" s="12">
        <f t="shared" si="1"/>
        <v>45617</v>
      </c>
      <c r="O2" s="12">
        <f t="shared" si="1"/>
        <v>45624</v>
      </c>
      <c r="P2" s="12">
        <f t="shared" si="1"/>
        <v>45631</v>
      </c>
      <c r="Q2" s="12">
        <f t="shared" si="1"/>
        <v>45638</v>
      </c>
      <c r="R2" s="12">
        <f t="shared" si="1"/>
        <v>45645</v>
      </c>
      <c r="S2" s="12">
        <f t="shared" si="1"/>
        <v>45652</v>
      </c>
      <c r="T2" s="13">
        <v>12.01</v>
      </c>
      <c r="U2" s="151">
        <v>6.02</v>
      </c>
      <c r="V2" s="151">
        <f t="shared" ref="V2:W2" si="2">U2+7</f>
        <v>13.02</v>
      </c>
      <c r="W2" s="151">
        <f t="shared" si="2"/>
        <v>20.02</v>
      </c>
      <c r="X2" s="151">
        <v>24.02</v>
      </c>
      <c r="Y2" s="15" t="s">
        <v>21</v>
      </c>
      <c r="Z2" s="15" t="s">
        <v>22</v>
      </c>
      <c r="AA2" s="15" t="s">
        <v>23</v>
      </c>
      <c r="AB2" s="16" t="s">
        <v>24</v>
      </c>
      <c r="AC2" s="14" t="s">
        <v>21</v>
      </c>
      <c r="AD2" s="15" t="s">
        <v>22</v>
      </c>
      <c r="AE2" s="15" t="s">
        <v>23</v>
      </c>
      <c r="AF2" s="16" t="s">
        <v>24</v>
      </c>
      <c r="AG2" s="14" t="s">
        <v>21</v>
      </c>
      <c r="AH2" s="15" t="s">
        <v>22</v>
      </c>
      <c r="AI2" s="15" t="s">
        <v>23</v>
      </c>
      <c r="AJ2" s="16" t="s">
        <v>24</v>
      </c>
      <c r="AK2" s="14" t="s">
        <v>21</v>
      </c>
      <c r="AL2" s="15" t="s">
        <v>22</v>
      </c>
      <c r="AM2" s="15" t="s">
        <v>23</v>
      </c>
      <c r="AN2" s="16" t="s">
        <v>24</v>
      </c>
      <c r="AO2" s="17" t="s">
        <v>25</v>
      </c>
      <c r="AP2" s="18" t="s">
        <v>25</v>
      </c>
      <c r="AQ2" s="18" t="s">
        <v>25</v>
      </c>
      <c r="AR2" s="18" t="s">
        <v>25</v>
      </c>
      <c r="AS2" s="18" t="s">
        <v>25</v>
      </c>
      <c r="AT2" s="18" t="s">
        <v>25</v>
      </c>
      <c r="AU2" s="15" t="s">
        <v>26</v>
      </c>
      <c r="AV2" s="19" t="s">
        <v>26</v>
      </c>
      <c r="AW2" s="14" t="s">
        <v>27</v>
      </c>
      <c r="BK2" s="7"/>
      <c r="BL2" s="4"/>
    </row>
    <row r="3">
      <c r="C3" s="4"/>
      <c r="D3" s="21"/>
      <c r="Z3" s="15" t="s">
        <v>26</v>
      </c>
      <c r="AA3" s="15" t="s">
        <v>28</v>
      </c>
      <c r="AB3" s="4"/>
      <c r="AC3" s="21"/>
      <c r="AD3" s="15" t="s">
        <v>26</v>
      </c>
      <c r="AE3" s="15" t="s">
        <v>28</v>
      </c>
      <c r="AF3" s="4"/>
      <c r="AG3" s="21"/>
      <c r="AH3" s="15" t="s">
        <v>26</v>
      </c>
      <c r="AI3" s="15" t="s">
        <v>28</v>
      </c>
      <c r="AJ3" s="4"/>
      <c r="AK3" s="21"/>
      <c r="AL3" s="15" t="s">
        <v>26</v>
      </c>
      <c r="AM3" s="15" t="s">
        <v>28</v>
      </c>
      <c r="AN3" s="4"/>
      <c r="AO3" s="21"/>
      <c r="AV3" s="4"/>
      <c r="AW3" s="21"/>
      <c r="AX3" s="17" t="s">
        <v>29</v>
      </c>
      <c r="AY3" s="18" t="s">
        <v>30</v>
      </c>
      <c r="AZ3" s="18" t="s">
        <v>3</v>
      </c>
      <c r="BA3" s="18" t="s">
        <v>4</v>
      </c>
      <c r="BB3" s="18" t="s">
        <v>5</v>
      </c>
      <c r="BC3" s="18" t="s">
        <v>6</v>
      </c>
      <c r="BD3" s="18" t="s">
        <v>7</v>
      </c>
      <c r="BE3" s="18" t="s">
        <v>8</v>
      </c>
      <c r="BF3" s="18" t="s">
        <v>9</v>
      </c>
      <c r="BG3" s="18" t="s">
        <v>10</v>
      </c>
      <c r="BH3" s="18" t="s">
        <v>11</v>
      </c>
      <c r="BI3" s="18" t="s">
        <v>12</v>
      </c>
      <c r="BJ3" s="18" t="s">
        <v>31</v>
      </c>
      <c r="BK3" s="23" t="s">
        <v>23</v>
      </c>
      <c r="BL3" s="4"/>
    </row>
    <row r="4">
      <c r="A4" s="43">
        <v>465259.0</v>
      </c>
      <c r="B4" s="55" t="s">
        <v>277</v>
      </c>
      <c r="C4" s="36"/>
      <c r="D4" s="57"/>
      <c r="E4" s="47">
        <v>1.0</v>
      </c>
      <c r="F4" s="152">
        <v>1.0</v>
      </c>
      <c r="G4" s="152">
        <v>3.0</v>
      </c>
      <c r="H4" s="153" t="s">
        <v>278</v>
      </c>
      <c r="I4" s="153" t="s">
        <v>278</v>
      </c>
      <c r="J4" s="152">
        <v>1.0</v>
      </c>
      <c r="K4" s="154">
        <v>1.0</v>
      </c>
      <c r="L4" s="152"/>
      <c r="M4" s="152">
        <v>1.0</v>
      </c>
      <c r="N4" s="153" t="s">
        <v>278</v>
      </c>
      <c r="O4" s="153" t="s">
        <v>278</v>
      </c>
      <c r="P4" s="152">
        <v>1.0</v>
      </c>
      <c r="Q4" s="154">
        <v>3.0</v>
      </c>
      <c r="R4" s="152"/>
      <c r="S4" s="152"/>
      <c r="T4" s="154">
        <v>3.0</v>
      </c>
      <c r="U4" s="155"/>
      <c r="V4" s="156"/>
      <c r="W4" s="156"/>
      <c r="X4" s="157"/>
      <c r="Y4" s="43">
        <v>465259.0</v>
      </c>
      <c r="Z4" s="36">
        <v>9.0</v>
      </c>
      <c r="AA4" s="36">
        <v>2.0</v>
      </c>
      <c r="AB4" s="158">
        <v>45568.0</v>
      </c>
      <c r="AC4" s="28">
        <v>73301.0</v>
      </c>
      <c r="AD4" s="36">
        <v>9.0</v>
      </c>
      <c r="AE4" s="36">
        <v>2.0</v>
      </c>
      <c r="AF4" s="106">
        <v>45596.0</v>
      </c>
      <c r="AG4" s="28">
        <v>26705.0</v>
      </c>
      <c r="AH4" s="36">
        <v>9.0</v>
      </c>
      <c r="AI4" s="36">
        <v>1.0</v>
      </c>
      <c r="AJ4" s="24">
        <v>12.12</v>
      </c>
      <c r="AK4" s="28">
        <v>300025.0</v>
      </c>
      <c r="AL4" s="29">
        <v>7.0</v>
      </c>
      <c r="AM4" s="36">
        <v>1.0</v>
      </c>
      <c r="AN4" s="36">
        <v>12.01</v>
      </c>
      <c r="AO4" s="28">
        <v>1.0</v>
      </c>
      <c r="AQ4" s="36">
        <v>0.1</v>
      </c>
      <c r="AR4" s="36">
        <v>0.2</v>
      </c>
      <c r="AU4" s="36">
        <v>8.5</v>
      </c>
      <c r="AV4" s="24">
        <v>7.25</v>
      </c>
      <c r="AW4" s="28">
        <f t="shared" ref="AW4:AW10" si="5">SUM(AU4:AV4)</f>
        <v>15.75</v>
      </c>
      <c r="AX4" s="21">
        <f t="shared" ref="AX4:AY4" si="3">SUM(AU4)</f>
        <v>8.5</v>
      </c>
      <c r="AY4">
        <f t="shared" si="3"/>
        <v>7.25</v>
      </c>
      <c r="AZ4">
        <f t="shared" ref="AZ4:AZ20" si="7">SUM(Z4,AA4)</f>
        <v>11</v>
      </c>
      <c r="BA4">
        <f t="shared" ref="BA4:BA20" si="8">SUM(AD4,AE4)</f>
        <v>11</v>
      </c>
      <c r="BB4">
        <f t="shared" ref="BB4:BB20" si="9">SUM(AH4,AI4)</f>
        <v>10</v>
      </c>
      <c r="BC4">
        <f t="shared" ref="BC4:BC20" si="10">SUM(AL4,AM4)</f>
        <v>8</v>
      </c>
      <c r="BD4">
        <f t="shared" ref="BD4:BI4" si="4">SUM(AO4)</f>
        <v>1</v>
      </c>
      <c r="BE4">
        <f t="shared" si="4"/>
        <v>0</v>
      </c>
      <c r="BF4">
        <f t="shared" si="4"/>
        <v>0.1</v>
      </c>
      <c r="BG4">
        <f t="shared" si="4"/>
        <v>0.2</v>
      </c>
      <c r="BH4">
        <f t="shared" si="4"/>
        <v>0</v>
      </c>
      <c r="BI4">
        <f t="shared" si="4"/>
        <v>0</v>
      </c>
      <c r="BJ4">
        <f t="shared" ref="BJ4:BJ20" si="12">SUM(AW4)</f>
        <v>15.75</v>
      </c>
      <c r="BK4" s="4"/>
      <c r="BL4" s="50">
        <f t="shared" ref="BL4:BL20" si="13">SUM(AX4:BK4)</f>
        <v>72.8</v>
      </c>
      <c r="BM4" s="32">
        <v>1.0</v>
      </c>
    </row>
    <row r="5">
      <c r="A5" s="43">
        <v>408417.0</v>
      </c>
      <c r="B5" s="55" t="s">
        <v>279</v>
      </c>
      <c r="C5" s="36"/>
      <c r="D5" s="57"/>
      <c r="E5" s="47">
        <v>1.0</v>
      </c>
      <c r="F5" s="152">
        <v>1.0</v>
      </c>
      <c r="G5" s="154">
        <v>4.0</v>
      </c>
      <c r="H5" s="153" t="s">
        <v>278</v>
      </c>
      <c r="I5" s="153" t="s">
        <v>278</v>
      </c>
      <c r="J5" s="152">
        <v>1.0</v>
      </c>
      <c r="K5" s="154">
        <v>3.0</v>
      </c>
      <c r="L5" s="153" t="s">
        <v>278</v>
      </c>
      <c r="M5" s="153" t="s">
        <v>278</v>
      </c>
      <c r="N5" s="152">
        <v>1.0</v>
      </c>
      <c r="O5" s="153" t="s">
        <v>278</v>
      </c>
      <c r="P5" s="152">
        <v>1.0</v>
      </c>
      <c r="Q5" s="154">
        <v>1.0</v>
      </c>
      <c r="R5" s="152"/>
      <c r="S5" s="154">
        <v>5.0</v>
      </c>
      <c r="T5" s="156"/>
      <c r="U5" s="155"/>
      <c r="V5" s="156"/>
      <c r="W5" s="156"/>
      <c r="X5" s="157"/>
      <c r="Y5" s="43">
        <v>408417.0</v>
      </c>
      <c r="Z5" s="36">
        <v>9.0</v>
      </c>
      <c r="AA5" s="36">
        <v>2.0</v>
      </c>
      <c r="AB5" s="158">
        <v>45568.0</v>
      </c>
      <c r="AC5" s="28">
        <v>73120.0</v>
      </c>
      <c r="AD5" s="36">
        <v>9.0</v>
      </c>
      <c r="AE5" s="36">
        <v>2.0</v>
      </c>
      <c r="AF5" s="106">
        <v>45596.0</v>
      </c>
      <c r="AG5" s="28">
        <v>26788.0</v>
      </c>
      <c r="AH5" s="36">
        <v>9.0</v>
      </c>
      <c r="AI5" s="36">
        <v>1.0</v>
      </c>
      <c r="AJ5" s="24">
        <v>12.12</v>
      </c>
      <c r="AK5" s="28">
        <v>300038.0</v>
      </c>
      <c r="AL5" s="36">
        <v>9.0</v>
      </c>
      <c r="AM5" s="36">
        <v>2.0</v>
      </c>
      <c r="AN5" s="24">
        <v>26.12</v>
      </c>
      <c r="AO5" s="28">
        <v>1.5</v>
      </c>
      <c r="AP5" s="36">
        <v>0.9</v>
      </c>
      <c r="AR5" s="36">
        <v>1.9</v>
      </c>
      <c r="AS5" s="36">
        <v>1.6</v>
      </c>
      <c r="AT5" s="36">
        <v>1.0</v>
      </c>
      <c r="AU5" s="36">
        <v>7.0</v>
      </c>
      <c r="AV5" s="24">
        <v>6.0</v>
      </c>
      <c r="AW5" s="28">
        <f t="shared" si="5"/>
        <v>13</v>
      </c>
      <c r="AX5" s="21">
        <f t="shared" ref="AX5:AY5" si="6">SUM(AU5)</f>
        <v>7</v>
      </c>
      <c r="AY5">
        <f t="shared" si="6"/>
        <v>6</v>
      </c>
      <c r="AZ5">
        <f t="shared" si="7"/>
        <v>11</v>
      </c>
      <c r="BA5">
        <f t="shared" si="8"/>
        <v>11</v>
      </c>
      <c r="BB5">
        <f t="shared" si="9"/>
        <v>10</v>
      </c>
      <c r="BC5">
        <f t="shared" si="10"/>
        <v>11</v>
      </c>
      <c r="BD5">
        <f t="shared" ref="BD5:BI5" si="11">SUM(AO5)</f>
        <v>1.5</v>
      </c>
      <c r="BE5">
        <f t="shared" si="11"/>
        <v>0.9</v>
      </c>
      <c r="BF5">
        <f t="shared" si="11"/>
        <v>0</v>
      </c>
      <c r="BG5">
        <f t="shared" si="11"/>
        <v>1.9</v>
      </c>
      <c r="BH5">
        <f t="shared" si="11"/>
        <v>1.6</v>
      </c>
      <c r="BI5">
        <f t="shared" si="11"/>
        <v>1</v>
      </c>
      <c r="BJ5">
        <f t="shared" si="12"/>
        <v>13</v>
      </c>
      <c r="BK5" s="4"/>
      <c r="BL5" s="50">
        <f t="shared" si="13"/>
        <v>75.9</v>
      </c>
      <c r="BM5" s="32">
        <v>1.0</v>
      </c>
    </row>
    <row r="6">
      <c r="A6" s="43">
        <v>465967.0</v>
      </c>
      <c r="B6" s="55" t="s">
        <v>280</v>
      </c>
      <c r="C6" s="36"/>
      <c r="D6" s="159" t="s">
        <v>278</v>
      </c>
      <c r="E6" s="47">
        <v>1.0</v>
      </c>
      <c r="F6" s="154">
        <v>1.0</v>
      </c>
      <c r="G6" s="152">
        <v>2.0</v>
      </c>
      <c r="H6" s="154">
        <v>1.0</v>
      </c>
      <c r="I6" s="153" t="s">
        <v>278</v>
      </c>
      <c r="J6" s="152">
        <v>1.0</v>
      </c>
      <c r="K6" s="152">
        <v>1.0</v>
      </c>
      <c r="L6" s="154">
        <v>2.0</v>
      </c>
      <c r="M6" s="152"/>
      <c r="N6" s="152">
        <v>1.0</v>
      </c>
      <c r="O6" s="153" t="s">
        <v>278</v>
      </c>
      <c r="P6" s="154">
        <v>1.0</v>
      </c>
      <c r="Q6" s="152">
        <v>1.0</v>
      </c>
      <c r="R6" s="152"/>
      <c r="S6" s="156"/>
      <c r="T6" s="156"/>
      <c r="U6" s="155"/>
      <c r="V6" s="156"/>
      <c r="W6" s="156"/>
      <c r="X6" s="157"/>
      <c r="Y6" s="43">
        <v>321588.0</v>
      </c>
      <c r="Z6" s="36">
        <v>10.0</v>
      </c>
      <c r="AA6" s="36">
        <v>2.0</v>
      </c>
      <c r="AB6" s="45">
        <v>26.09</v>
      </c>
      <c r="AC6" s="21">
        <v>73025.0</v>
      </c>
      <c r="AD6" s="36">
        <v>10.0</v>
      </c>
      <c r="AE6" s="36">
        <v>2.0</v>
      </c>
      <c r="AF6" s="106">
        <v>45575.0</v>
      </c>
      <c r="AG6" s="28">
        <v>26405.0</v>
      </c>
      <c r="AH6" s="36">
        <v>10.0</v>
      </c>
      <c r="AI6" s="36">
        <v>2.0</v>
      </c>
      <c r="AJ6" s="106">
        <v>45603.0</v>
      </c>
      <c r="AK6" s="28">
        <v>228322.0</v>
      </c>
      <c r="AL6" s="36">
        <v>10.0</v>
      </c>
      <c r="AM6" s="36">
        <v>2.0</v>
      </c>
      <c r="AN6" s="24">
        <v>5.12</v>
      </c>
      <c r="AO6" s="28">
        <v>1.8</v>
      </c>
      <c r="AP6" s="36">
        <v>1.6</v>
      </c>
      <c r="AR6" s="36">
        <v>1.8</v>
      </c>
      <c r="AS6" s="36">
        <v>1.2</v>
      </c>
      <c r="AT6" s="36">
        <v>2.0</v>
      </c>
      <c r="AU6" s="36">
        <v>9.0</v>
      </c>
      <c r="AV6" s="24">
        <v>8.25</v>
      </c>
      <c r="AW6" s="28">
        <f t="shared" si="5"/>
        <v>17.25</v>
      </c>
      <c r="AX6" s="21">
        <f t="shared" ref="AX6:AY6" si="14">SUM(AU6)</f>
        <v>9</v>
      </c>
      <c r="AY6">
        <f t="shared" si="14"/>
        <v>8.25</v>
      </c>
      <c r="AZ6">
        <f t="shared" si="7"/>
        <v>12</v>
      </c>
      <c r="BA6">
        <f t="shared" si="8"/>
        <v>12</v>
      </c>
      <c r="BB6">
        <f t="shared" si="9"/>
        <v>12</v>
      </c>
      <c r="BC6">
        <f t="shared" si="10"/>
        <v>12</v>
      </c>
      <c r="BD6">
        <f t="shared" ref="BD6:BI6" si="15">SUM(AO6)</f>
        <v>1.8</v>
      </c>
      <c r="BE6">
        <f t="shared" si="15"/>
        <v>1.6</v>
      </c>
      <c r="BF6">
        <f t="shared" si="15"/>
        <v>0</v>
      </c>
      <c r="BG6">
        <f t="shared" si="15"/>
        <v>1.8</v>
      </c>
      <c r="BH6">
        <f t="shared" si="15"/>
        <v>1.2</v>
      </c>
      <c r="BI6">
        <f t="shared" si="15"/>
        <v>2</v>
      </c>
      <c r="BJ6">
        <f t="shared" si="12"/>
        <v>17.25</v>
      </c>
      <c r="BK6" s="4"/>
      <c r="BL6" s="50">
        <f t="shared" si="13"/>
        <v>90.9</v>
      </c>
      <c r="BM6" s="32">
        <v>1.0</v>
      </c>
    </row>
    <row r="7">
      <c r="A7" s="43">
        <v>466177.0</v>
      </c>
      <c r="B7" s="55" t="s">
        <v>281</v>
      </c>
      <c r="C7" s="36"/>
      <c r="D7" s="57"/>
      <c r="E7" s="153" t="s">
        <v>278</v>
      </c>
      <c r="F7" s="153" t="s">
        <v>278</v>
      </c>
      <c r="G7" s="152">
        <v>1.0</v>
      </c>
      <c r="H7" s="153" t="s">
        <v>278</v>
      </c>
      <c r="I7" s="153" t="s">
        <v>278</v>
      </c>
      <c r="J7" s="152">
        <v>1.0</v>
      </c>
      <c r="K7" s="154">
        <v>1.0</v>
      </c>
      <c r="L7" s="152">
        <v>2.0</v>
      </c>
      <c r="M7" s="153" t="s">
        <v>278</v>
      </c>
      <c r="N7" s="154">
        <v>1.0</v>
      </c>
      <c r="O7" s="153" t="s">
        <v>278</v>
      </c>
      <c r="P7" s="153" t="s">
        <v>278</v>
      </c>
      <c r="Q7" s="152">
        <v>1.0</v>
      </c>
      <c r="R7" s="153" t="s">
        <v>278</v>
      </c>
      <c r="S7" s="154">
        <v>4.0</v>
      </c>
      <c r="T7" s="153" t="s">
        <v>278</v>
      </c>
      <c r="U7" s="159" t="s">
        <v>278</v>
      </c>
      <c r="V7" s="152">
        <v>1.0</v>
      </c>
      <c r="W7" s="154">
        <v>1.0</v>
      </c>
      <c r="X7" s="157"/>
      <c r="Y7" s="43">
        <v>466177.0</v>
      </c>
      <c r="Z7" s="36">
        <v>9.0</v>
      </c>
      <c r="AA7" s="36">
        <v>1.0</v>
      </c>
      <c r="AB7" s="158">
        <v>45596.0</v>
      </c>
      <c r="AC7" s="28">
        <v>73444.0</v>
      </c>
      <c r="AD7" s="36">
        <v>8.0</v>
      </c>
      <c r="AE7" s="36">
        <v>1.0</v>
      </c>
      <c r="AF7" s="106">
        <v>45617.0</v>
      </c>
      <c r="AG7" s="28">
        <v>28062.0</v>
      </c>
      <c r="AH7" s="36">
        <v>8.0</v>
      </c>
      <c r="AI7" s="36">
        <v>1.0</v>
      </c>
      <c r="AJ7" s="24">
        <v>26.12</v>
      </c>
      <c r="AK7" s="28">
        <v>300069.0</v>
      </c>
      <c r="AL7" s="36">
        <v>6.0</v>
      </c>
      <c r="AM7" s="36">
        <v>0.0</v>
      </c>
      <c r="AN7" s="24">
        <v>20.02</v>
      </c>
      <c r="AO7" s="28">
        <v>0.01</v>
      </c>
      <c r="AU7" s="36">
        <v>6.0</v>
      </c>
      <c r="AV7" s="24">
        <v>6.0</v>
      </c>
      <c r="AW7" s="28">
        <f t="shared" si="5"/>
        <v>12</v>
      </c>
      <c r="AX7" s="21">
        <f t="shared" ref="AX7:AY7" si="16">SUM(AU7)</f>
        <v>6</v>
      </c>
      <c r="AY7">
        <f t="shared" si="16"/>
        <v>6</v>
      </c>
      <c r="AZ7">
        <f t="shared" si="7"/>
        <v>10</v>
      </c>
      <c r="BA7">
        <f t="shared" si="8"/>
        <v>9</v>
      </c>
      <c r="BB7">
        <f t="shared" si="9"/>
        <v>9</v>
      </c>
      <c r="BC7">
        <f t="shared" si="10"/>
        <v>6</v>
      </c>
      <c r="BD7">
        <f t="shared" ref="BD7:BI7" si="17">SUM(AO7)</f>
        <v>0.01</v>
      </c>
      <c r="BE7">
        <f t="shared" si="17"/>
        <v>0</v>
      </c>
      <c r="BF7">
        <f t="shared" si="17"/>
        <v>0</v>
      </c>
      <c r="BG7">
        <f t="shared" si="17"/>
        <v>0</v>
      </c>
      <c r="BH7">
        <f t="shared" si="17"/>
        <v>0</v>
      </c>
      <c r="BI7">
        <f t="shared" si="17"/>
        <v>0</v>
      </c>
      <c r="BJ7">
        <f t="shared" si="12"/>
        <v>12</v>
      </c>
      <c r="BK7" s="24">
        <v>2.0</v>
      </c>
      <c r="BL7" s="50">
        <f t="shared" si="13"/>
        <v>60.01</v>
      </c>
      <c r="BM7" s="32">
        <v>2.0</v>
      </c>
    </row>
    <row r="8">
      <c r="A8" s="43">
        <v>408931.0</v>
      </c>
      <c r="B8" s="55" t="s">
        <v>282</v>
      </c>
      <c r="C8" s="36"/>
      <c r="D8" s="57"/>
      <c r="E8" s="153" t="s">
        <v>278</v>
      </c>
      <c r="F8" s="152">
        <v>1.0</v>
      </c>
      <c r="G8" s="152">
        <v>3.0</v>
      </c>
      <c r="H8" s="154">
        <v>1.0</v>
      </c>
      <c r="I8" s="153" t="s">
        <v>278</v>
      </c>
      <c r="K8" s="154">
        <v>3.0</v>
      </c>
      <c r="L8" s="153" t="s">
        <v>278</v>
      </c>
      <c r="M8" s="153" t="s">
        <v>278</v>
      </c>
      <c r="N8" s="153" t="s">
        <v>278</v>
      </c>
      <c r="O8" s="153" t="s">
        <v>278</v>
      </c>
      <c r="P8" s="153" t="s">
        <v>278</v>
      </c>
      <c r="Q8" s="152">
        <v>2.0</v>
      </c>
      <c r="R8" s="152"/>
      <c r="S8" s="154">
        <v>4.0</v>
      </c>
      <c r="T8" s="154">
        <v>5.0</v>
      </c>
      <c r="U8" s="155"/>
      <c r="V8" s="156"/>
      <c r="W8" s="156"/>
      <c r="X8" s="157"/>
      <c r="Y8" s="43">
        <v>408931.0</v>
      </c>
      <c r="Z8" s="36">
        <v>8.0</v>
      </c>
      <c r="AA8" s="36">
        <v>2.0</v>
      </c>
      <c r="AB8" s="106">
        <v>45575.0</v>
      </c>
      <c r="AC8" s="28">
        <v>73309.0</v>
      </c>
      <c r="AD8" s="36">
        <v>8.5</v>
      </c>
      <c r="AE8" s="36">
        <v>1.0</v>
      </c>
      <c r="AF8" s="158">
        <v>45596.0</v>
      </c>
      <c r="AG8" s="28">
        <v>27233.0</v>
      </c>
      <c r="AH8" s="36">
        <v>8.0</v>
      </c>
      <c r="AI8" s="36">
        <v>1.0</v>
      </c>
      <c r="AJ8" s="24">
        <v>26.12</v>
      </c>
      <c r="AK8" s="21">
        <v>300052.0</v>
      </c>
      <c r="AL8" s="36">
        <v>7.0</v>
      </c>
      <c r="AM8" s="36">
        <v>1.0</v>
      </c>
      <c r="AN8" s="36">
        <v>12.01</v>
      </c>
      <c r="AO8" s="28">
        <v>1.6</v>
      </c>
      <c r="AP8" s="36">
        <v>0.01</v>
      </c>
      <c r="AQ8" s="36">
        <v>1.4</v>
      </c>
      <c r="AR8" s="36">
        <v>1.3</v>
      </c>
      <c r="AT8" s="36">
        <v>0.01</v>
      </c>
      <c r="AU8" s="36">
        <v>6.0</v>
      </c>
      <c r="AV8" s="24">
        <v>6.0</v>
      </c>
      <c r="AW8" s="28">
        <f t="shared" si="5"/>
        <v>12</v>
      </c>
      <c r="AX8" s="21">
        <f t="shared" ref="AX8:AY8" si="18">SUM(AU8)</f>
        <v>6</v>
      </c>
      <c r="AY8">
        <f t="shared" si="18"/>
        <v>6</v>
      </c>
      <c r="AZ8">
        <f t="shared" si="7"/>
        <v>10</v>
      </c>
      <c r="BA8">
        <f t="shared" si="8"/>
        <v>9.5</v>
      </c>
      <c r="BB8">
        <f t="shared" si="9"/>
        <v>9</v>
      </c>
      <c r="BC8">
        <f t="shared" si="10"/>
        <v>8</v>
      </c>
      <c r="BD8">
        <f t="shared" ref="BD8:BI8" si="19">SUM(AO8)</f>
        <v>1.6</v>
      </c>
      <c r="BE8">
        <f t="shared" si="19"/>
        <v>0.01</v>
      </c>
      <c r="BF8">
        <f t="shared" si="19"/>
        <v>1.4</v>
      </c>
      <c r="BG8">
        <f t="shared" si="19"/>
        <v>1.3</v>
      </c>
      <c r="BH8">
        <f t="shared" si="19"/>
        <v>0</v>
      </c>
      <c r="BI8">
        <f t="shared" si="19"/>
        <v>0.01</v>
      </c>
      <c r="BJ8">
        <f t="shared" si="12"/>
        <v>12</v>
      </c>
      <c r="BK8" s="4"/>
      <c r="BL8" s="50">
        <f t="shared" si="13"/>
        <v>64.82</v>
      </c>
      <c r="BM8" s="32">
        <v>2.0</v>
      </c>
    </row>
    <row r="9">
      <c r="A9" s="43">
        <v>466513.0</v>
      </c>
      <c r="B9" s="55" t="s">
        <v>283</v>
      </c>
      <c r="C9" s="36"/>
      <c r="D9" s="57">
        <v>1.0</v>
      </c>
      <c r="E9" s="47">
        <v>2.0</v>
      </c>
      <c r="F9" s="154">
        <v>2.0</v>
      </c>
      <c r="G9" s="153" t="s">
        <v>278</v>
      </c>
      <c r="H9" s="152">
        <v>1.0</v>
      </c>
      <c r="I9" s="153" t="s">
        <v>278</v>
      </c>
      <c r="J9" s="154">
        <v>1.0</v>
      </c>
      <c r="K9" s="152"/>
      <c r="L9" s="152">
        <v>1.0</v>
      </c>
      <c r="M9" s="152">
        <v>2.0</v>
      </c>
      <c r="N9" s="154">
        <v>1.0</v>
      </c>
      <c r="O9" s="153" t="s">
        <v>278</v>
      </c>
      <c r="P9" s="152">
        <v>1.0</v>
      </c>
      <c r="Q9" s="152">
        <v>2.0</v>
      </c>
      <c r="R9" s="154">
        <v>3.0</v>
      </c>
      <c r="S9" s="156"/>
      <c r="T9" s="156"/>
      <c r="U9" s="155"/>
      <c r="V9" s="156"/>
      <c r="W9" s="156"/>
      <c r="X9" s="157"/>
      <c r="Y9" s="43">
        <v>466513.0</v>
      </c>
      <c r="Z9" s="36">
        <v>9.0</v>
      </c>
      <c r="AA9" s="36">
        <v>2.0</v>
      </c>
      <c r="AB9" s="45">
        <v>26.09</v>
      </c>
      <c r="AC9" s="28">
        <v>73024.0</v>
      </c>
      <c r="AD9" s="36">
        <v>10.0</v>
      </c>
      <c r="AE9" s="36">
        <v>2.0</v>
      </c>
      <c r="AF9" s="158">
        <v>45589.0</v>
      </c>
      <c r="AG9" s="28">
        <v>26499.0</v>
      </c>
      <c r="AH9" s="36">
        <v>10.0</v>
      </c>
      <c r="AI9" s="36">
        <v>2.0</v>
      </c>
      <c r="AJ9" s="106">
        <v>45617.0</v>
      </c>
      <c r="AK9" s="28">
        <v>300000.0</v>
      </c>
      <c r="AL9" s="36">
        <v>9.0</v>
      </c>
      <c r="AM9" s="36">
        <v>2.0</v>
      </c>
      <c r="AN9" s="24">
        <v>19.12</v>
      </c>
      <c r="AO9" s="28">
        <v>1.5</v>
      </c>
      <c r="AP9" s="36">
        <v>1.6</v>
      </c>
      <c r="AR9" s="36">
        <v>2.0</v>
      </c>
      <c r="AS9" s="36">
        <v>1.6</v>
      </c>
      <c r="AT9" s="36">
        <v>0.01</v>
      </c>
      <c r="AU9" s="36">
        <v>6.0</v>
      </c>
      <c r="AV9" s="24">
        <v>6.0</v>
      </c>
      <c r="AW9" s="28">
        <f t="shared" si="5"/>
        <v>12</v>
      </c>
      <c r="AX9" s="21">
        <f t="shared" ref="AX9:AY9" si="20">SUM(AU9)</f>
        <v>6</v>
      </c>
      <c r="AY9">
        <f t="shared" si="20"/>
        <v>6</v>
      </c>
      <c r="AZ9">
        <f t="shared" si="7"/>
        <v>11</v>
      </c>
      <c r="BA9">
        <f t="shared" si="8"/>
        <v>12</v>
      </c>
      <c r="BB9">
        <f t="shared" si="9"/>
        <v>12</v>
      </c>
      <c r="BC9">
        <f t="shared" si="10"/>
        <v>11</v>
      </c>
      <c r="BD9">
        <f t="shared" ref="BD9:BI9" si="21">SUM(AO9)</f>
        <v>1.5</v>
      </c>
      <c r="BE9">
        <f t="shared" si="21"/>
        <v>1.6</v>
      </c>
      <c r="BF9">
        <f t="shared" si="21"/>
        <v>0</v>
      </c>
      <c r="BG9">
        <f t="shared" si="21"/>
        <v>2</v>
      </c>
      <c r="BH9">
        <f t="shared" si="21"/>
        <v>1.6</v>
      </c>
      <c r="BI9">
        <f t="shared" si="21"/>
        <v>0.01</v>
      </c>
      <c r="BJ9">
        <f t="shared" si="12"/>
        <v>12</v>
      </c>
      <c r="BK9" s="4"/>
      <c r="BL9" s="50">
        <f t="shared" si="13"/>
        <v>76.71</v>
      </c>
      <c r="BM9" s="32">
        <v>1.0</v>
      </c>
    </row>
    <row r="10">
      <c r="A10" s="43">
        <v>466662.0</v>
      </c>
      <c r="B10" s="55" t="s">
        <v>284</v>
      </c>
      <c r="C10" s="36"/>
      <c r="D10" s="57"/>
      <c r="E10" s="153" t="s">
        <v>278</v>
      </c>
      <c r="F10" s="152">
        <v>1.0</v>
      </c>
      <c r="G10" s="152">
        <v>2.0</v>
      </c>
      <c r="H10" s="153" t="s">
        <v>278</v>
      </c>
      <c r="I10" s="153" t="s">
        <v>278</v>
      </c>
      <c r="J10" s="154">
        <v>1.0</v>
      </c>
      <c r="K10" s="152">
        <v>2.0</v>
      </c>
      <c r="L10" s="154">
        <v>1.0</v>
      </c>
      <c r="M10" s="152">
        <v>1.0</v>
      </c>
      <c r="N10" s="152">
        <v>1.0</v>
      </c>
      <c r="O10" s="153" t="s">
        <v>278</v>
      </c>
      <c r="P10" s="154">
        <v>1.0</v>
      </c>
      <c r="Q10" s="153" t="s">
        <v>278</v>
      </c>
      <c r="R10" s="152">
        <v>1.0</v>
      </c>
      <c r="S10" s="154">
        <v>3.0</v>
      </c>
      <c r="T10" s="156"/>
      <c r="U10" s="155"/>
      <c r="V10" s="156"/>
      <c r="W10" s="156"/>
      <c r="X10" s="157"/>
      <c r="Y10" s="43">
        <v>466662.0</v>
      </c>
      <c r="Z10" s="36">
        <v>9.0</v>
      </c>
      <c r="AA10" s="36">
        <v>2.0</v>
      </c>
      <c r="AB10" s="158">
        <v>45589.0</v>
      </c>
      <c r="AC10" s="28">
        <v>73319.0</v>
      </c>
      <c r="AD10" s="36">
        <v>9.0</v>
      </c>
      <c r="AE10" s="36">
        <v>1.0</v>
      </c>
      <c r="AF10" s="106">
        <v>45603.0</v>
      </c>
      <c r="AG10" s="28">
        <v>27239.0</v>
      </c>
      <c r="AH10" s="36">
        <v>9.0</v>
      </c>
      <c r="AI10" s="36">
        <v>1.0</v>
      </c>
      <c r="AJ10" s="24">
        <v>5.12</v>
      </c>
      <c r="AK10" s="28">
        <v>300002.0</v>
      </c>
      <c r="AL10" s="36">
        <v>8.0</v>
      </c>
      <c r="AM10" s="36">
        <v>1.0</v>
      </c>
      <c r="AN10" s="24">
        <v>26.12</v>
      </c>
      <c r="AO10" s="28">
        <v>0.2</v>
      </c>
      <c r="AP10" s="36">
        <v>0.6</v>
      </c>
      <c r="AR10" s="36">
        <v>0.8</v>
      </c>
      <c r="AS10" s="36">
        <v>0.01</v>
      </c>
      <c r="AT10" s="36">
        <v>1.2</v>
      </c>
      <c r="AU10" s="36">
        <v>7.0</v>
      </c>
      <c r="AV10" s="24">
        <v>8.25</v>
      </c>
      <c r="AW10" s="28">
        <f t="shared" si="5"/>
        <v>15.25</v>
      </c>
      <c r="AX10" s="21">
        <f t="shared" ref="AX10:AY10" si="22">SUM(AU10)</f>
        <v>7</v>
      </c>
      <c r="AY10">
        <f t="shared" si="22"/>
        <v>8.25</v>
      </c>
      <c r="AZ10">
        <f t="shared" si="7"/>
        <v>11</v>
      </c>
      <c r="BA10">
        <f t="shared" si="8"/>
        <v>10</v>
      </c>
      <c r="BB10">
        <f t="shared" si="9"/>
        <v>10</v>
      </c>
      <c r="BC10">
        <f t="shared" si="10"/>
        <v>9</v>
      </c>
      <c r="BD10">
        <f t="shared" ref="BD10:BI10" si="23">SUM(AO10)</f>
        <v>0.2</v>
      </c>
      <c r="BE10">
        <f t="shared" si="23"/>
        <v>0.6</v>
      </c>
      <c r="BF10">
        <f t="shared" si="23"/>
        <v>0</v>
      </c>
      <c r="BG10">
        <f t="shared" si="23"/>
        <v>0.8</v>
      </c>
      <c r="BH10">
        <f t="shared" si="23"/>
        <v>0.01</v>
      </c>
      <c r="BI10">
        <f t="shared" si="23"/>
        <v>1.2</v>
      </c>
      <c r="BJ10">
        <f t="shared" si="12"/>
        <v>15.25</v>
      </c>
      <c r="BK10" s="24">
        <v>1.0</v>
      </c>
      <c r="BL10" s="50">
        <f t="shared" si="13"/>
        <v>74.31</v>
      </c>
      <c r="BM10" s="32">
        <v>1.0</v>
      </c>
    </row>
    <row r="11">
      <c r="A11" s="49">
        <v>409238.0</v>
      </c>
      <c r="B11" s="44" t="s">
        <v>285</v>
      </c>
      <c r="C11" s="36"/>
      <c r="D11" s="57"/>
      <c r="E11" s="153" t="s">
        <v>278</v>
      </c>
      <c r="F11" s="153" t="s">
        <v>278</v>
      </c>
      <c r="G11" s="153" t="s">
        <v>278</v>
      </c>
      <c r="H11" s="153" t="s">
        <v>278</v>
      </c>
      <c r="I11" s="153" t="s">
        <v>278</v>
      </c>
      <c r="J11" s="153" t="s">
        <v>278</v>
      </c>
      <c r="K11" s="153" t="s">
        <v>278</v>
      </c>
      <c r="L11" s="152">
        <v>1.0</v>
      </c>
      <c r="M11" s="154">
        <v>3.0</v>
      </c>
      <c r="N11" s="153" t="s">
        <v>278</v>
      </c>
      <c r="O11" s="153" t="s">
        <v>278</v>
      </c>
      <c r="P11" s="152">
        <v>1.0</v>
      </c>
      <c r="Q11" s="154">
        <v>1.0</v>
      </c>
      <c r="R11" s="152"/>
      <c r="S11" s="153" t="s">
        <v>278</v>
      </c>
      <c r="T11" s="154">
        <v>4.0</v>
      </c>
      <c r="U11" s="159" t="s">
        <v>278</v>
      </c>
      <c r="V11" s="153" t="s">
        <v>278</v>
      </c>
      <c r="W11" s="154">
        <v>1.0</v>
      </c>
      <c r="X11" s="157"/>
      <c r="Y11" s="49">
        <v>409238.0</v>
      </c>
      <c r="Z11" s="36">
        <v>7.0</v>
      </c>
      <c r="AA11" s="36">
        <v>0.0</v>
      </c>
      <c r="AB11" s="106">
        <v>45610.0</v>
      </c>
      <c r="AC11" s="28">
        <v>73488.0</v>
      </c>
      <c r="AD11" s="36">
        <v>8.0</v>
      </c>
      <c r="AE11" s="36">
        <v>0.0</v>
      </c>
      <c r="AF11" s="24">
        <v>12.12</v>
      </c>
      <c r="AG11" s="160">
        <v>28079.0</v>
      </c>
      <c r="AH11" s="36">
        <v>7.0</v>
      </c>
      <c r="AI11" s="36">
        <v>1.0</v>
      </c>
      <c r="AJ11" s="36">
        <v>12.01</v>
      </c>
      <c r="AK11" s="28">
        <v>300102.0</v>
      </c>
      <c r="AL11" s="36">
        <v>6.0</v>
      </c>
      <c r="AM11" s="36">
        <v>0.0</v>
      </c>
      <c r="AN11" s="24">
        <v>20.02</v>
      </c>
      <c r="AO11" s="28"/>
      <c r="AU11" s="36">
        <v>6.0</v>
      </c>
      <c r="AV11" s="24">
        <v>6.0</v>
      </c>
      <c r="AW11" s="28">
        <f>SUM(AU11:AV11)+4</f>
        <v>16</v>
      </c>
      <c r="AX11" s="21">
        <f t="shared" ref="AX11:AY11" si="24">SUM(AU11)</f>
        <v>6</v>
      </c>
      <c r="AY11">
        <f t="shared" si="24"/>
        <v>6</v>
      </c>
      <c r="AZ11">
        <f t="shared" si="7"/>
        <v>7</v>
      </c>
      <c r="BA11">
        <f t="shared" si="8"/>
        <v>8</v>
      </c>
      <c r="BB11">
        <f t="shared" si="9"/>
        <v>8</v>
      </c>
      <c r="BC11">
        <f t="shared" si="10"/>
        <v>6</v>
      </c>
      <c r="BD11">
        <f t="shared" ref="BD11:BI11" si="25">SUM(AO11)</f>
        <v>0</v>
      </c>
      <c r="BE11">
        <f t="shared" si="25"/>
        <v>0</v>
      </c>
      <c r="BF11">
        <f t="shared" si="25"/>
        <v>0</v>
      </c>
      <c r="BG11">
        <f t="shared" si="25"/>
        <v>0</v>
      </c>
      <c r="BH11">
        <f t="shared" si="25"/>
        <v>0</v>
      </c>
      <c r="BI11">
        <f t="shared" si="25"/>
        <v>0</v>
      </c>
      <c r="BJ11">
        <f t="shared" si="12"/>
        <v>16</v>
      </c>
      <c r="BK11" s="24">
        <v>3.0</v>
      </c>
      <c r="BL11" s="50">
        <f t="shared" si="13"/>
        <v>60</v>
      </c>
      <c r="BM11" s="32">
        <v>2.0</v>
      </c>
    </row>
    <row r="12">
      <c r="A12" s="43">
        <v>466890.0</v>
      </c>
      <c r="B12" s="44" t="s">
        <v>286</v>
      </c>
      <c r="C12" s="36"/>
      <c r="D12" s="57"/>
      <c r="E12" s="153" t="s">
        <v>278</v>
      </c>
      <c r="F12" s="153" t="s">
        <v>278</v>
      </c>
      <c r="G12" s="153" t="s">
        <v>278</v>
      </c>
      <c r="H12" s="152">
        <v>1.0</v>
      </c>
      <c r="I12" s="153" t="s">
        <v>278</v>
      </c>
      <c r="J12" s="154">
        <v>2.0</v>
      </c>
      <c r="K12" s="152">
        <v>1.0</v>
      </c>
      <c r="L12" s="154">
        <v>2.0</v>
      </c>
      <c r="M12" s="153" t="s">
        <v>278</v>
      </c>
      <c r="N12" s="152">
        <v>1.0</v>
      </c>
      <c r="O12" s="153" t="s">
        <v>278</v>
      </c>
      <c r="P12" s="153" t="s">
        <v>278</v>
      </c>
      <c r="Q12" s="154">
        <v>3.0</v>
      </c>
      <c r="R12" s="152"/>
      <c r="S12" s="152">
        <v>1.0</v>
      </c>
      <c r="T12" s="152">
        <v>2.0</v>
      </c>
      <c r="U12" s="161">
        <v>2.0</v>
      </c>
      <c r="V12" s="156"/>
      <c r="W12" s="156"/>
      <c r="X12" s="157"/>
      <c r="Y12" s="43">
        <v>466890.0</v>
      </c>
      <c r="Z12" s="36">
        <v>8.0</v>
      </c>
      <c r="AA12" s="36">
        <v>2.0</v>
      </c>
      <c r="AB12" s="158">
        <v>45589.0</v>
      </c>
      <c r="AC12" s="28">
        <v>73399.0</v>
      </c>
      <c r="AD12" s="36">
        <v>8.0</v>
      </c>
      <c r="AE12" s="36">
        <v>1.0</v>
      </c>
      <c r="AF12" s="106">
        <v>45603.0</v>
      </c>
      <c r="AG12" s="28">
        <v>27888.0</v>
      </c>
      <c r="AH12" s="36">
        <v>9.0</v>
      </c>
      <c r="AI12" s="36">
        <v>1.0</v>
      </c>
      <c r="AJ12" s="24">
        <v>12.12</v>
      </c>
      <c r="AK12" s="28">
        <v>300040.0</v>
      </c>
      <c r="AL12" s="36">
        <v>6.0</v>
      </c>
      <c r="AM12" s="36">
        <v>0.0</v>
      </c>
      <c r="AN12" s="24">
        <v>6.02</v>
      </c>
      <c r="AO12" s="28"/>
      <c r="AU12" s="36">
        <v>6.0</v>
      </c>
      <c r="AV12" s="24">
        <v>6.0</v>
      </c>
      <c r="AW12" s="28">
        <f t="shared" ref="AW12:AW14" si="28">SUM(AU12:AV12)</f>
        <v>12</v>
      </c>
      <c r="AX12" s="21">
        <f t="shared" ref="AX12:AY12" si="26">SUM(AU12)</f>
        <v>6</v>
      </c>
      <c r="AY12">
        <f t="shared" si="26"/>
        <v>6</v>
      </c>
      <c r="AZ12">
        <f t="shared" si="7"/>
        <v>10</v>
      </c>
      <c r="BA12">
        <f t="shared" si="8"/>
        <v>9</v>
      </c>
      <c r="BB12">
        <f t="shared" si="9"/>
        <v>10</v>
      </c>
      <c r="BC12">
        <f t="shared" si="10"/>
        <v>6</v>
      </c>
      <c r="BD12">
        <f t="shared" ref="BD12:BI12" si="27">SUM(AO12)</f>
        <v>0</v>
      </c>
      <c r="BE12">
        <f t="shared" si="27"/>
        <v>0</v>
      </c>
      <c r="BF12">
        <f t="shared" si="27"/>
        <v>0</v>
      </c>
      <c r="BG12">
        <f t="shared" si="27"/>
        <v>0</v>
      </c>
      <c r="BH12">
        <f t="shared" si="27"/>
        <v>0</v>
      </c>
      <c r="BI12">
        <f t="shared" si="27"/>
        <v>0</v>
      </c>
      <c r="BJ12">
        <f t="shared" si="12"/>
        <v>12</v>
      </c>
      <c r="BK12" s="24">
        <v>1.0</v>
      </c>
      <c r="BL12" s="50">
        <f t="shared" si="13"/>
        <v>60</v>
      </c>
      <c r="BM12" s="32">
        <v>2.0</v>
      </c>
    </row>
    <row r="13">
      <c r="A13" s="43">
        <v>467018.0</v>
      </c>
      <c r="B13" s="55" t="s">
        <v>287</v>
      </c>
      <c r="C13" s="36"/>
      <c r="D13" s="57"/>
      <c r="E13" s="153" t="s">
        <v>278</v>
      </c>
      <c r="F13" s="152">
        <v>1.0</v>
      </c>
      <c r="G13" s="154">
        <v>2.0</v>
      </c>
      <c r="H13" s="153" t="s">
        <v>278</v>
      </c>
      <c r="I13" s="153" t="s">
        <v>278</v>
      </c>
      <c r="J13" s="152">
        <v>1.0</v>
      </c>
      <c r="K13" s="154">
        <v>1.0</v>
      </c>
      <c r="L13" s="152">
        <v>1.0</v>
      </c>
      <c r="M13" s="152">
        <v>1.0</v>
      </c>
      <c r="N13" s="153" t="s">
        <v>278</v>
      </c>
      <c r="O13" s="153" t="s">
        <v>278</v>
      </c>
      <c r="P13" s="152">
        <v>1.0</v>
      </c>
      <c r="Q13" s="152">
        <v>3.0</v>
      </c>
      <c r="R13" s="154">
        <v>2.0</v>
      </c>
      <c r="S13" s="152">
        <v>1.0</v>
      </c>
      <c r="T13" s="154">
        <v>4.0</v>
      </c>
      <c r="U13" s="155"/>
      <c r="V13" s="156"/>
      <c r="W13" s="156"/>
      <c r="X13" s="157"/>
      <c r="Y13" s="43">
        <v>467018.0</v>
      </c>
      <c r="Z13" s="36">
        <v>7.0</v>
      </c>
      <c r="AA13" s="36">
        <v>2.0</v>
      </c>
      <c r="AB13" s="158">
        <v>45568.0</v>
      </c>
      <c r="AC13" s="28">
        <v>73200.0</v>
      </c>
      <c r="AD13" s="36">
        <v>8.5</v>
      </c>
      <c r="AE13" s="36">
        <v>1.0</v>
      </c>
      <c r="AF13" s="158">
        <v>45596.0</v>
      </c>
      <c r="AG13" s="28">
        <v>26999.0</v>
      </c>
      <c r="AH13" s="36">
        <v>8.5</v>
      </c>
      <c r="AI13" s="36">
        <v>1.0</v>
      </c>
      <c r="AJ13" s="24">
        <v>19.12</v>
      </c>
      <c r="AK13" s="28">
        <v>300051.0</v>
      </c>
      <c r="AL13" s="36">
        <v>8.0</v>
      </c>
      <c r="AM13" s="36">
        <v>1.0</v>
      </c>
      <c r="AN13" s="36">
        <v>12.01</v>
      </c>
      <c r="AO13" s="28">
        <v>0.6</v>
      </c>
      <c r="AP13" s="36">
        <v>0.4</v>
      </c>
      <c r="AU13" s="36">
        <v>6.0</v>
      </c>
      <c r="AV13" s="24">
        <v>6.25</v>
      </c>
      <c r="AW13" s="28">
        <f t="shared" si="28"/>
        <v>12.25</v>
      </c>
      <c r="AX13" s="21">
        <f t="shared" ref="AX13:AY13" si="29">SUM(AU13)</f>
        <v>6</v>
      </c>
      <c r="AY13">
        <f t="shared" si="29"/>
        <v>6.25</v>
      </c>
      <c r="AZ13">
        <f t="shared" si="7"/>
        <v>9</v>
      </c>
      <c r="BA13">
        <f t="shared" si="8"/>
        <v>9.5</v>
      </c>
      <c r="BB13">
        <f t="shared" si="9"/>
        <v>9.5</v>
      </c>
      <c r="BC13">
        <f t="shared" si="10"/>
        <v>9</v>
      </c>
      <c r="BD13">
        <f t="shared" ref="BD13:BI13" si="30">SUM(AO13)</f>
        <v>0.6</v>
      </c>
      <c r="BE13">
        <f t="shared" si="30"/>
        <v>0.4</v>
      </c>
      <c r="BF13">
        <f t="shared" si="30"/>
        <v>0</v>
      </c>
      <c r="BG13">
        <f t="shared" si="30"/>
        <v>0</v>
      </c>
      <c r="BH13">
        <f t="shared" si="30"/>
        <v>0</v>
      </c>
      <c r="BI13">
        <f t="shared" si="30"/>
        <v>0</v>
      </c>
      <c r="BJ13">
        <f t="shared" si="12"/>
        <v>12.25</v>
      </c>
      <c r="BK13" s="4"/>
      <c r="BL13" s="50">
        <f t="shared" si="13"/>
        <v>62.5</v>
      </c>
      <c r="BM13" s="32">
        <v>1.0</v>
      </c>
    </row>
    <row r="14">
      <c r="A14" s="43">
        <v>467213.0</v>
      </c>
      <c r="B14" s="55" t="s">
        <v>288</v>
      </c>
      <c r="D14" s="57"/>
      <c r="E14" s="47">
        <v>1.0</v>
      </c>
      <c r="F14" s="154">
        <v>2.0</v>
      </c>
      <c r="G14" s="56"/>
      <c r="H14" s="152">
        <v>1.0</v>
      </c>
      <c r="I14" s="153" t="s">
        <v>278</v>
      </c>
      <c r="J14" s="154">
        <v>2.0</v>
      </c>
      <c r="K14" s="152"/>
      <c r="L14" s="152">
        <v>1.0</v>
      </c>
      <c r="M14" s="152">
        <v>1.0</v>
      </c>
      <c r="N14" s="152">
        <v>1.0</v>
      </c>
      <c r="O14" s="153" t="s">
        <v>278</v>
      </c>
      <c r="P14" s="154">
        <v>1.0</v>
      </c>
      <c r="Q14" s="153" t="s">
        <v>278</v>
      </c>
      <c r="R14" s="152"/>
      <c r="S14" s="156"/>
      <c r="T14" s="156"/>
      <c r="U14" s="155"/>
      <c r="V14" s="156"/>
      <c r="W14" s="156"/>
      <c r="X14" s="157"/>
      <c r="Y14" s="43">
        <v>467213.0</v>
      </c>
      <c r="Z14" s="36">
        <v>10.0</v>
      </c>
      <c r="AA14" s="36">
        <v>2.0</v>
      </c>
      <c r="AB14" s="45">
        <v>26.09</v>
      </c>
      <c r="AC14" s="28">
        <v>73029.0</v>
      </c>
      <c r="AD14" s="36">
        <v>10.0</v>
      </c>
      <c r="AE14" s="36">
        <v>2.0</v>
      </c>
      <c r="AF14" s="158">
        <v>45589.0</v>
      </c>
      <c r="AG14" s="28">
        <v>27099.0</v>
      </c>
      <c r="AH14" s="36">
        <v>10.0</v>
      </c>
      <c r="AI14" s="36">
        <v>2.0</v>
      </c>
      <c r="AJ14" s="106">
        <v>45610.0</v>
      </c>
      <c r="AK14" s="28">
        <v>223944.0</v>
      </c>
      <c r="AL14" s="36">
        <v>10.0</v>
      </c>
      <c r="AM14" s="36">
        <v>2.0</v>
      </c>
      <c r="AN14" s="36">
        <v>5.12</v>
      </c>
      <c r="AO14" s="28">
        <v>1.7</v>
      </c>
      <c r="AR14" s="36">
        <v>1.2</v>
      </c>
      <c r="AS14" s="36">
        <v>2.0</v>
      </c>
      <c r="AT14" s="36">
        <v>1.2</v>
      </c>
      <c r="AU14" s="36">
        <v>9.5</v>
      </c>
      <c r="AV14" s="36">
        <v>10.0</v>
      </c>
      <c r="AW14" s="28">
        <f t="shared" si="28"/>
        <v>19.5</v>
      </c>
      <c r="AX14" s="21">
        <f t="shared" ref="AX14:AY14" si="31">SUM(AU14)</f>
        <v>9.5</v>
      </c>
      <c r="AY14">
        <f t="shared" si="31"/>
        <v>10</v>
      </c>
      <c r="AZ14">
        <f t="shared" si="7"/>
        <v>12</v>
      </c>
      <c r="BA14">
        <f t="shared" si="8"/>
        <v>12</v>
      </c>
      <c r="BB14">
        <f t="shared" si="9"/>
        <v>12</v>
      </c>
      <c r="BC14">
        <f t="shared" si="10"/>
        <v>12</v>
      </c>
      <c r="BD14">
        <f t="shared" ref="BD14:BI14" si="32">SUM(AO14)</f>
        <v>1.7</v>
      </c>
      <c r="BE14">
        <f t="shared" si="32"/>
        <v>0</v>
      </c>
      <c r="BF14">
        <f t="shared" si="32"/>
        <v>0</v>
      </c>
      <c r="BG14">
        <f t="shared" si="32"/>
        <v>1.2</v>
      </c>
      <c r="BH14">
        <f t="shared" si="32"/>
        <v>2</v>
      </c>
      <c r="BI14">
        <f t="shared" si="32"/>
        <v>1.2</v>
      </c>
      <c r="BJ14">
        <f t="shared" si="12"/>
        <v>19.5</v>
      </c>
      <c r="BK14" s="4"/>
      <c r="BL14" s="50">
        <f t="shared" si="13"/>
        <v>93.1</v>
      </c>
      <c r="BM14" s="32">
        <v>1.0</v>
      </c>
    </row>
    <row r="15">
      <c r="A15" s="43">
        <v>467409.0</v>
      </c>
      <c r="B15" s="55" t="s">
        <v>289</v>
      </c>
      <c r="D15" s="57"/>
      <c r="E15" s="153" t="s">
        <v>278</v>
      </c>
      <c r="F15" s="153" t="s">
        <v>278</v>
      </c>
      <c r="G15" s="153" t="s">
        <v>278</v>
      </c>
      <c r="H15" s="153" t="s">
        <v>278</v>
      </c>
      <c r="I15" s="153" t="s">
        <v>278</v>
      </c>
      <c r="J15" s="153" t="s">
        <v>278</v>
      </c>
      <c r="K15" s="154">
        <v>2.0</v>
      </c>
      <c r="L15" s="153" t="s">
        <v>278</v>
      </c>
      <c r="M15" s="153" t="s">
        <v>278</v>
      </c>
      <c r="N15" s="152">
        <v>1.0</v>
      </c>
      <c r="O15" s="153" t="s">
        <v>278</v>
      </c>
      <c r="P15" s="154">
        <v>1.0</v>
      </c>
      <c r="Q15" s="153" t="s">
        <v>278</v>
      </c>
      <c r="R15" s="152"/>
      <c r="S15" s="153" t="s">
        <v>278</v>
      </c>
      <c r="T15" s="152">
        <v>1.0</v>
      </c>
      <c r="U15" s="161">
        <v>1.0</v>
      </c>
      <c r="V15" s="153" t="s">
        <v>278</v>
      </c>
      <c r="W15" s="152">
        <v>1.0</v>
      </c>
      <c r="X15" s="154">
        <v>1.0</v>
      </c>
      <c r="Y15" s="43">
        <v>467409.0</v>
      </c>
      <c r="Z15" s="36">
        <v>7.8</v>
      </c>
      <c r="AA15" s="36">
        <v>0.0</v>
      </c>
      <c r="AB15" s="158">
        <v>45596.0</v>
      </c>
      <c r="AC15" s="28">
        <v>73449.0</v>
      </c>
      <c r="AD15" s="36">
        <v>8.5</v>
      </c>
      <c r="AE15" s="36">
        <v>0.0</v>
      </c>
      <c r="AF15" s="36">
        <v>5.12</v>
      </c>
      <c r="AG15" s="28">
        <v>28069.0</v>
      </c>
      <c r="AH15" s="36">
        <v>6.0</v>
      </c>
      <c r="AI15" s="36">
        <v>0.0</v>
      </c>
      <c r="AJ15" s="36">
        <v>6.02</v>
      </c>
      <c r="AK15" s="21">
        <v>300103.0</v>
      </c>
      <c r="AL15" s="36">
        <v>6.0</v>
      </c>
      <c r="AM15" s="36">
        <v>0.0</v>
      </c>
      <c r="AN15" s="36">
        <v>24.02</v>
      </c>
      <c r="AO15" s="28"/>
      <c r="AS15" s="36">
        <v>0.8</v>
      </c>
      <c r="AU15" s="36">
        <v>6.0</v>
      </c>
      <c r="AV15" s="36">
        <v>6.0</v>
      </c>
      <c r="AW15" s="28">
        <f>SUM(AU15:AV15)+4</f>
        <v>16</v>
      </c>
      <c r="AX15" s="21">
        <f t="shared" ref="AX15:AY15" si="33">SUM(AU15)</f>
        <v>6</v>
      </c>
      <c r="AY15">
        <f t="shared" si="33"/>
        <v>6</v>
      </c>
      <c r="AZ15">
        <f t="shared" si="7"/>
        <v>7.8</v>
      </c>
      <c r="BA15">
        <f t="shared" si="8"/>
        <v>8.5</v>
      </c>
      <c r="BB15">
        <f t="shared" si="9"/>
        <v>6</v>
      </c>
      <c r="BC15">
        <f t="shared" si="10"/>
        <v>6</v>
      </c>
      <c r="BD15">
        <f t="shared" ref="BD15:BI15" si="34">SUM(AO15)</f>
        <v>0</v>
      </c>
      <c r="BE15">
        <f t="shared" si="34"/>
        <v>0</v>
      </c>
      <c r="BF15">
        <f t="shared" si="34"/>
        <v>0</v>
      </c>
      <c r="BG15">
        <f t="shared" si="34"/>
        <v>0</v>
      </c>
      <c r="BH15">
        <f t="shared" si="34"/>
        <v>0.8</v>
      </c>
      <c r="BI15">
        <f t="shared" si="34"/>
        <v>0</v>
      </c>
      <c r="BJ15">
        <f t="shared" si="12"/>
        <v>16</v>
      </c>
      <c r="BK15" s="24">
        <v>3.0</v>
      </c>
      <c r="BL15" s="50">
        <f t="shared" si="13"/>
        <v>60.1</v>
      </c>
      <c r="BM15" s="32">
        <v>2.0</v>
      </c>
    </row>
    <row r="16">
      <c r="A16" s="43">
        <v>467525.0</v>
      </c>
      <c r="B16" s="55" t="s">
        <v>290</v>
      </c>
      <c r="D16" s="57">
        <v>1.0</v>
      </c>
      <c r="E16" s="47">
        <v>1.0</v>
      </c>
      <c r="F16" s="154">
        <v>1.0</v>
      </c>
      <c r="G16" s="56"/>
      <c r="H16" s="153" t="s">
        <v>278</v>
      </c>
      <c r="I16" s="153" t="s">
        <v>278</v>
      </c>
      <c r="J16" s="152">
        <v>1.0</v>
      </c>
      <c r="K16" s="154">
        <v>1.0</v>
      </c>
      <c r="L16" s="152"/>
      <c r="M16" s="152"/>
      <c r="N16" s="152">
        <v>1.0</v>
      </c>
      <c r="O16" s="153" t="s">
        <v>278</v>
      </c>
      <c r="P16" s="154">
        <v>2.0</v>
      </c>
      <c r="Q16" s="152"/>
      <c r="R16" s="152"/>
      <c r="S16" s="152">
        <v>1.0</v>
      </c>
      <c r="T16" s="154">
        <v>6.0</v>
      </c>
      <c r="U16" s="155"/>
      <c r="V16" s="156"/>
      <c r="W16" s="156"/>
      <c r="X16" s="157"/>
      <c r="Y16" s="43">
        <v>321582.0</v>
      </c>
      <c r="Z16" s="36">
        <v>10.0</v>
      </c>
      <c r="AA16" s="36">
        <v>2.0</v>
      </c>
      <c r="AB16" s="45">
        <v>26.09</v>
      </c>
      <c r="AC16" s="28">
        <v>73034.0</v>
      </c>
      <c r="AD16" s="36">
        <v>10.0</v>
      </c>
      <c r="AE16" s="36">
        <v>2.0</v>
      </c>
      <c r="AF16" s="158">
        <v>45596.0</v>
      </c>
      <c r="AG16" s="28">
        <v>26799.0</v>
      </c>
      <c r="AH16" s="36">
        <v>9.0</v>
      </c>
      <c r="AI16" s="36">
        <v>1.0</v>
      </c>
      <c r="AJ16" s="36">
        <v>5.12</v>
      </c>
      <c r="AK16" s="28">
        <v>300020.0</v>
      </c>
      <c r="AL16" s="36">
        <v>10.0</v>
      </c>
      <c r="AM16" s="36">
        <v>2.0</v>
      </c>
      <c r="AN16" s="36">
        <v>12.01</v>
      </c>
      <c r="AO16" s="28">
        <v>1.5</v>
      </c>
      <c r="AP16" s="36">
        <v>1.7</v>
      </c>
      <c r="AR16" s="36">
        <v>1.3</v>
      </c>
      <c r="AS16" s="36">
        <v>2.0</v>
      </c>
      <c r="AT16" s="36">
        <v>0.01</v>
      </c>
      <c r="AU16" s="36">
        <v>10.0</v>
      </c>
      <c r="AV16" s="36">
        <v>8.08</v>
      </c>
      <c r="AW16" s="28">
        <f t="shared" ref="AW16:AW17" si="37">SUM(AU16:AV16)</f>
        <v>18.08</v>
      </c>
      <c r="AX16" s="21">
        <f t="shared" ref="AX16:AY16" si="35">SUM(AU16)</f>
        <v>10</v>
      </c>
      <c r="AY16">
        <f t="shared" si="35"/>
        <v>8.08</v>
      </c>
      <c r="AZ16">
        <f t="shared" si="7"/>
        <v>12</v>
      </c>
      <c r="BA16">
        <f t="shared" si="8"/>
        <v>12</v>
      </c>
      <c r="BB16">
        <f t="shared" si="9"/>
        <v>10</v>
      </c>
      <c r="BC16">
        <f t="shared" si="10"/>
        <v>12</v>
      </c>
      <c r="BD16">
        <f t="shared" ref="BD16:BI16" si="36">SUM(AO16)</f>
        <v>1.5</v>
      </c>
      <c r="BE16">
        <f t="shared" si="36"/>
        <v>1.7</v>
      </c>
      <c r="BF16">
        <f t="shared" si="36"/>
        <v>0</v>
      </c>
      <c r="BG16">
        <f t="shared" si="36"/>
        <v>1.3</v>
      </c>
      <c r="BH16">
        <f t="shared" si="36"/>
        <v>2</v>
      </c>
      <c r="BI16">
        <f t="shared" si="36"/>
        <v>0.01</v>
      </c>
      <c r="BJ16">
        <f t="shared" si="12"/>
        <v>18.08</v>
      </c>
      <c r="BK16" s="24">
        <v>2.0</v>
      </c>
      <c r="BL16" s="50">
        <f t="shared" si="13"/>
        <v>90.67</v>
      </c>
      <c r="BM16" s="32">
        <v>1.0</v>
      </c>
    </row>
    <row r="17">
      <c r="A17" s="43">
        <v>467593.0</v>
      </c>
      <c r="B17" s="55" t="s">
        <v>291</v>
      </c>
      <c r="C17" s="36"/>
      <c r="D17" s="57"/>
      <c r="E17" s="153" t="s">
        <v>278</v>
      </c>
      <c r="F17" s="152">
        <v>1.0</v>
      </c>
      <c r="G17" s="152">
        <v>1.0</v>
      </c>
      <c r="H17" s="153" t="s">
        <v>278</v>
      </c>
      <c r="I17" s="153" t="s">
        <v>278</v>
      </c>
      <c r="J17" s="154">
        <v>2.0</v>
      </c>
      <c r="K17" s="152">
        <v>1.0</v>
      </c>
      <c r="L17" s="154">
        <v>1.0</v>
      </c>
      <c r="M17" s="153" t="s">
        <v>278</v>
      </c>
      <c r="N17" s="153" t="s">
        <v>278</v>
      </c>
      <c r="O17" s="153" t="s">
        <v>278</v>
      </c>
      <c r="P17" s="153" t="s">
        <v>278</v>
      </c>
      <c r="Q17" s="154">
        <v>2.0</v>
      </c>
      <c r="R17" s="152"/>
      <c r="S17" s="152"/>
      <c r="T17" s="154">
        <v>4.0</v>
      </c>
      <c r="U17" s="155"/>
      <c r="V17" s="156"/>
      <c r="W17" s="156"/>
      <c r="X17" s="157"/>
      <c r="Y17" s="43">
        <v>467593.0</v>
      </c>
      <c r="Z17" s="36">
        <v>8.0</v>
      </c>
      <c r="AA17" s="36">
        <v>1.0</v>
      </c>
      <c r="AB17" s="158">
        <v>45589.0</v>
      </c>
      <c r="AC17" s="28">
        <v>73401.0</v>
      </c>
      <c r="AD17" s="36">
        <v>9.0</v>
      </c>
      <c r="AE17" s="36">
        <v>1.0</v>
      </c>
      <c r="AF17" s="106">
        <v>45603.0</v>
      </c>
      <c r="AG17" s="28">
        <v>27999.0</v>
      </c>
      <c r="AH17" s="36">
        <v>9.0</v>
      </c>
      <c r="AI17" s="36">
        <v>1.0</v>
      </c>
      <c r="AJ17" s="24">
        <v>12.12</v>
      </c>
      <c r="AK17" s="28">
        <v>300044.0</v>
      </c>
      <c r="AL17" s="36">
        <v>8.0</v>
      </c>
      <c r="AM17" s="36">
        <v>1.0</v>
      </c>
      <c r="AN17" s="36">
        <v>12.01</v>
      </c>
      <c r="AO17" s="28">
        <v>0.8</v>
      </c>
      <c r="AP17" s="36">
        <v>0.8</v>
      </c>
      <c r="AQ17" s="36">
        <v>0.2</v>
      </c>
      <c r="AR17" s="36">
        <v>0.01</v>
      </c>
      <c r="AS17" s="36">
        <v>0.4</v>
      </c>
      <c r="AU17" s="36">
        <v>9.0</v>
      </c>
      <c r="AV17" s="24">
        <v>8.5</v>
      </c>
      <c r="AW17" s="28">
        <f t="shared" si="37"/>
        <v>17.5</v>
      </c>
      <c r="AX17" s="21">
        <f t="shared" ref="AX17:AY17" si="38">SUM(AU17)</f>
        <v>9</v>
      </c>
      <c r="AY17">
        <f t="shared" si="38"/>
        <v>8.5</v>
      </c>
      <c r="AZ17">
        <f t="shared" si="7"/>
        <v>9</v>
      </c>
      <c r="BA17">
        <f t="shared" si="8"/>
        <v>10</v>
      </c>
      <c r="BB17">
        <f t="shared" si="9"/>
        <v>10</v>
      </c>
      <c r="BC17">
        <f t="shared" si="10"/>
        <v>9</v>
      </c>
      <c r="BD17">
        <f t="shared" ref="BD17:BI17" si="39">SUM(AO17)</f>
        <v>0.8</v>
      </c>
      <c r="BE17">
        <f t="shared" si="39"/>
        <v>0.8</v>
      </c>
      <c r="BF17">
        <f t="shared" si="39"/>
        <v>0.2</v>
      </c>
      <c r="BG17">
        <f t="shared" si="39"/>
        <v>0.01</v>
      </c>
      <c r="BH17">
        <f t="shared" si="39"/>
        <v>0.4</v>
      </c>
      <c r="BI17">
        <f t="shared" si="39"/>
        <v>0</v>
      </c>
      <c r="BJ17">
        <f t="shared" si="12"/>
        <v>17.5</v>
      </c>
      <c r="BK17" s="4"/>
      <c r="BL17" s="50">
        <f t="shared" si="13"/>
        <v>75.21</v>
      </c>
      <c r="BM17" s="32">
        <v>1.0</v>
      </c>
    </row>
    <row r="18">
      <c r="A18" s="43">
        <v>472530.0</v>
      </c>
      <c r="B18" s="55" t="s">
        <v>292</v>
      </c>
      <c r="C18" s="36"/>
      <c r="D18" s="57"/>
      <c r="E18" s="153" t="s">
        <v>278</v>
      </c>
      <c r="F18" s="153" t="s">
        <v>278</v>
      </c>
      <c r="G18" s="153" t="s">
        <v>278</v>
      </c>
      <c r="H18" s="153" t="s">
        <v>278</v>
      </c>
      <c r="I18" s="153" t="s">
        <v>278</v>
      </c>
      <c r="J18" s="152">
        <v>2.0</v>
      </c>
      <c r="K18" s="152">
        <v>2.0</v>
      </c>
      <c r="L18" s="152">
        <v>2.0</v>
      </c>
      <c r="M18" s="154">
        <v>2.0</v>
      </c>
      <c r="N18" s="153" t="s">
        <v>278</v>
      </c>
      <c r="O18" s="153" t="s">
        <v>278</v>
      </c>
      <c r="P18" s="154">
        <v>2.0</v>
      </c>
      <c r="Q18" s="153" t="s">
        <v>278</v>
      </c>
      <c r="R18" s="152"/>
      <c r="S18" s="152">
        <v>1.0</v>
      </c>
      <c r="T18" s="154">
        <v>5.0</v>
      </c>
      <c r="U18" s="159" t="s">
        <v>278</v>
      </c>
      <c r="V18" s="154">
        <v>1.0</v>
      </c>
      <c r="W18" s="156"/>
      <c r="X18" s="157"/>
      <c r="Y18" s="43">
        <v>472530.0</v>
      </c>
      <c r="Z18" s="36">
        <v>8.0</v>
      </c>
      <c r="AA18" s="36">
        <v>0.0</v>
      </c>
      <c r="AB18" s="106">
        <v>45610.0</v>
      </c>
      <c r="AC18" s="28">
        <v>74382.0</v>
      </c>
      <c r="AD18" s="36">
        <v>8.5</v>
      </c>
      <c r="AE18" s="36">
        <v>0.0</v>
      </c>
      <c r="AF18" s="36">
        <v>5.12</v>
      </c>
      <c r="AG18" s="28">
        <v>28078.0</v>
      </c>
      <c r="AH18" s="36">
        <v>7.0</v>
      </c>
      <c r="AI18" s="36">
        <v>0.0</v>
      </c>
      <c r="AJ18" s="24">
        <v>12.01</v>
      </c>
      <c r="AK18" s="36">
        <v>300097.0</v>
      </c>
      <c r="AL18" s="36">
        <v>9.0</v>
      </c>
      <c r="AM18" s="36">
        <v>0.0</v>
      </c>
      <c r="AN18" s="24">
        <v>13.02</v>
      </c>
      <c r="AO18" s="28"/>
      <c r="AQ18" s="36">
        <v>0.1</v>
      </c>
      <c r="AS18" s="36">
        <v>0.01</v>
      </c>
      <c r="AU18" s="36">
        <v>6.0</v>
      </c>
      <c r="AV18" s="24">
        <v>6.0</v>
      </c>
      <c r="AW18" s="28">
        <f>SUM(AU18:AV18)+1</f>
        <v>13</v>
      </c>
      <c r="AX18" s="21">
        <f t="shared" ref="AX18:AY18" si="40">SUM(AU18)</f>
        <v>6</v>
      </c>
      <c r="AY18">
        <f t="shared" si="40"/>
        <v>6</v>
      </c>
      <c r="AZ18">
        <f t="shared" si="7"/>
        <v>8</v>
      </c>
      <c r="BA18">
        <f t="shared" si="8"/>
        <v>8.5</v>
      </c>
      <c r="BB18">
        <f t="shared" si="9"/>
        <v>7</v>
      </c>
      <c r="BC18">
        <f t="shared" si="10"/>
        <v>9</v>
      </c>
      <c r="BD18">
        <f t="shared" ref="BD18:BI18" si="41">SUM(AO18)</f>
        <v>0</v>
      </c>
      <c r="BE18">
        <f t="shared" si="41"/>
        <v>0</v>
      </c>
      <c r="BF18">
        <f t="shared" si="41"/>
        <v>0.1</v>
      </c>
      <c r="BG18">
        <f t="shared" si="41"/>
        <v>0</v>
      </c>
      <c r="BH18">
        <f t="shared" si="41"/>
        <v>0.01</v>
      </c>
      <c r="BI18">
        <f t="shared" si="41"/>
        <v>0</v>
      </c>
      <c r="BJ18">
        <f t="shared" si="12"/>
        <v>13</v>
      </c>
      <c r="BK18" s="24">
        <v>3.0</v>
      </c>
      <c r="BL18" s="50">
        <f t="shared" si="13"/>
        <v>60.61</v>
      </c>
      <c r="BM18" s="32">
        <v>2.0</v>
      </c>
    </row>
    <row r="19">
      <c r="A19" s="43">
        <v>467740.0</v>
      </c>
      <c r="B19" s="55" t="s">
        <v>293</v>
      </c>
      <c r="D19" s="57">
        <v>1.0</v>
      </c>
      <c r="E19" s="47">
        <v>1.0</v>
      </c>
      <c r="F19" s="152">
        <v>2.0</v>
      </c>
      <c r="G19" s="154">
        <v>1.0</v>
      </c>
      <c r="H19" s="153" t="s">
        <v>278</v>
      </c>
      <c r="I19" s="153" t="s">
        <v>278</v>
      </c>
      <c r="J19" s="152">
        <v>3.0</v>
      </c>
      <c r="K19" s="154">
        <v>4.0</v>
      </c>
      <c r="L19" s="152">
        <v>1.0</v>
      </c>
      <c r="M19" s="152">
        <v>2.0</v>
      </c>
      <c r="N19" s="153" t="s">
        <v>278</v>
      </c>
      <c r="O19" s="153" t="s">
        <v>278</v>
      </c>
      <c r="P19" s="152">
        <v>1.0</v>
      </c>
      <c r="Q19" s="152">
        <v>3.0</v>
      </c>
      <c r="R19" s="154">
        <v>1.0</v>
      </c>
      <c r="S19" s="156"/>
      <c r="T19" s="156"/>
      <c r="U19" s="155"/>
      <c r="V19" s="156"/>
      <c r="W19" s="156"/>
      <c r="X19" s="157"/>
      <c r="Y19" s="43">
        <v>467740.0</v>
      </c>
      <c r="Z19" s="36">
        <v>9.0</v>
      </c>
      <c r="AA19" s="36">
        <v>2.0</v>
      </c>
      <c r="AB19" s="158">
        <v>45568.0</v>
      </c>
      <c r="AC19" s="28">
        <v>73102.0</v>
      </c>
      <c r="AD19" s="36">
        <v>8.8</v>
      </c>
      <c r="AE19" s="36">
        <v>2.0</v>
      </c>
      <c r="AF19" s="158">
        <v>45596.0</v>
      </c>
      <c r="AG19" s="28">
        <v>26809.0</v>
      </c>
      <c r="AH19" s="36">
        <v>9.0</v>
      </c>
      <c r="AI19" s="36">
        <v>2.0</v>
      </c>
      <c r="AJ19" s="106">
        <v>45610.0</v>
      </c>
      <c r="AK19" s="28">
        <v>299344.0</v>
      </c>
      <c r="AL19" s="36">
        <v>9.0</v>
      </c>
      <c r="AM19" s="36">
        <v>2.0</v>
      </c>
      <c r="AN19" s="24">
        <v>19.12</v>
      </c>
      <c r="AO19" s="21"/>
      <c r="AQ19" s="36">
        <v>0.1</v>
      </c>
      <c r="AR19" s="36">
        <v>0.8</v>
      </c>
      <c r="AU19" s="36">
        <v>8.9</v>
      </c>
      <c r="AV19" s="24">
        <v>6.0</v>
      </c>
      <c r="AW19" s="28">
        <f t="shared" ref="AW19:AW20" si="44">SUM(AU19:AV19)</f>
        <v>14.9</v>
      </c>
      <c r="AX19" s="21">
        <f t="shared" ref="AX19:AY19" si="42">SUM(AU19)</f>
        <v>8.9</v>
      </c>
      <c r="AY19">
        <f t="shared" si="42"/>
        <v>6</v>
      </c>
      <c r="AZ19">
        <f t="shared" si="7"/>
        <v>11</v>
      </c>
      <c r="BA19">
        <f t="shared" si="8"/>
        <v>10.8</v>
      </c>
      <c r="BB19">
        <f t="shared" si="9"/>
        <v>11</v>
      </c>
      <c r="BC19">
        <f t="shared" si="10"/>
        <v>11</v>
      </c>
      <c r="BD19">
        <f t="shared" ref="BD19:BI19" si="43">SUM(AO19)</f>
        <v>0</v>
      </c>
      <c r="BE19">
        <f t="shared" si="43"/>
        <v>0</v>
      </c>
      <c r="BF19">
        <f t="shared" si="43"/>
        <v>0.1</v>
      </c>
      <c r="BG19">
        <f t="shared" si="43"/>
        <v>0.8</v>
      </c>
      <c r="BH19">
        <f t="shared" si="43"/>
        <v>0</v>
      </c>
      <c r="BI19">
        <f t="shared" si="43"/>
        <v>0</v>
      </c>
      <c r="BJ19">
        <f t="shared" si="12"/>
        <v>14.9</v>
      </c>
      <c r="BK19" s="4"/>
      <c r="BL19" s="50">
        <f t="shared" si="13"/>
        <v>74.5</v>
      </c>
      <c r="BM19" s="32">
        <v>1.0</v>
      </c>
    </row>
    <row r="20">
      <c r="A20" s="43">
        <v>467944.0</v>
      </c>
      <c r="B20" s="55" t="s">
        <v>294</v>
      </c>
      <c r="D20" s="57"/>
      <c r="E20" s="47">
        <v>1.0</v>
      </c>
      <c r="F20" s="152">
        <v>2.0</v>
      </c>
      <c r="G20" s="154">
        <v>1.0</v>
      </c>
      <c r="H20" s="152">
        <v>1.0</v>
      </c>
      <c r="I20" s="162" t="s">
        <v>278</v>
      </c>
      <c r="K20" s="152">
        <v>2.0</v>
      </c>
      <c r="L20" s="154">
        <v>1.0</v>
      </c>
      <c r="M20" s="152">
        <v>2.0</v>
      </c>
      <c r="N20" s="154">
        <v>1.0</v>
      </c>
      <c r="O20" s="153" t="s">
        <v>278</v>
      </c>
      <c r="P20" s="152">
        <v>1.0</v>
      </c>
      <c r="Q20" s="152">
        <v>1.0</v>
      </c>
      <c r="R20" s="152">
        <v>1.0</v>
      </c>
      <c r="S20" s="154">
        <v>2.0</v>
      </c>
      <c r="T20" s="156"/>
      <c r="U20" s="155"/>
      <c r="V20" s="156"/>
      <c r="W20" s="156"/>
      <c r="X20" s="157"/>
      <c r="Y20" s="43">
        <v>467944.0</v>
      </c>
      <c r="Z20" s="36">
        <v>9.0</v>
      </c>
      <c r="AA20" s="36">
        <v>2.0</v>
      </c>
      <c r="AB20" s="158">
        <v>45568.0</v>
      </c>
      <c r="AC20" s="28">
        <v>73109.0</v>
      </c>
      <c r="AD20" s="36">
        <v>10.0</v>
      </c>
      <c r="AE20" s="36">
        <v>2.0</v>
      </c>
      <c r="AF20" s="106">
        <v>45603.0</v>
      </c>
      <c r="AG20" s="28">
        <v>27833.0</v>
      </c>
      <c r="AH20" s="36">
        <v>9.0</v>
      </c>
      <c r="AI20" s="36">
        <v>1.0</v>
      </c>
      <c r="AJ20" s="106">
        <v>45617.0</v>
      </c>
      <c r="AK20" s="21">
        <v>299345.0</v>
      </c>
      <c r="AL20" s="36">
        <v>10.0</v>
      </c>
      <c r="AM20" s="36">
        <v>2.0</v>
      </c>
      <c r="AN20" s="24">
        <v>26.12</v>
      </c>
      <c r="AO20" s="28">
        <v>0.5</v>
      </c>
      <c r="AT20" s="36">
        <v>1.6</v>
      </c>
      <c r="AU20" s="36">
        <v>8.5</v>
      </c>
      <c r="AV20" s="24">
        <v>6.0</v>
      </c>
      <c r="AW20" s="28">
        <f t="shared" si="44"/>
        <v>14.5</v>
      </c>
      <c r="AX20" s="21">
        <f t="shared" ref="AX20:AY20" si="45">SUM(AU20)</f>
        <v>8.5</v>
      </c>
      <c r="AY20">
        <f t="shared" si="45"/>
        <v>6</v>
      </c>
      <c r="AZ20">
        <f t="shared" si="7"/>
        <v>11</v>
      </c>
      <c r="BA20">
        <f t="shared" si="8"/>
        <v>12</v>
      </c>
      <c r="BB20">
        <f t="shared" si="9"/>
        <v>10</v>
      </c>
      <c r="BC20">
        <f t="shared" si="10"/>
        <v>12</v>
      </c>
      <c r="BD20">
        <f t="shared" ref="BD20:BI20" si="46">SUM(AO20)</f>
        <v>0.5</v>
      </c>
      <c r="BE20">
        <f t="shared" si="46"/>
        <v>0</v>
      </c>
      <c r="BF20">
        <f t="shared" si="46"/>
        <v>0</v>
      </c>
      <c r="BG20">
        <f t="shared" si="46"/>
        <v>0</v>
      </c>
      <c r="BH20">
        <f t="shared" si="46"/>
        <v>0</v>
      </c>
      <c r="BI20">
        <f t="shared" si="46"/>
        <v>1.6</v>
      </c>
      <c r="BJ20">
        <f t="shared" si="12"/>
        <v>14.5</v>
      </c>
      <c r="BK20" s="4"/>
      <c r="BL20" s="50">
        <f t="shared" si="13"/>
        <v>76.1</v>
      </c>
      <c r="BM20" s="32">
        <v>1.0</v>
      </c>
    </row>
    <row r="21">
      <c r="A21" s="43"/>
      <c r="B21" s="55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63"/>
      <c r="V21" s="152"/>
      <c r="W21" s="152"/>
      <c r="X21" s="164"/>
      <c r="Y21" s="43"/>
      <c r="AB21" s="165"/>
      <c r="AF21" s="37"/>
      <c r="AJ21" s="37"/>
      <c r="AN21" s="37"/>
      <c r="AO21" s="36"/>
      <c r="AW21" s="36"/>
      <c r="BL21" s="39"/>
      <c r="BM21" s="32"/>
    </row>
    <row r="22">
      <c r="A22" s="43"/>
      <c r="B22" s="55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63"/>
      <c r="V22" s="152"/>
      <c r="W22" s="152"/>
      <c r="X22" s="164"/>
      <c r="Y22" s="43"/>
      <c r="AB22" s="165"/>
      <c r="AF22" s="37"/>
      <c r="AJ22" s="37"/>
      <c r="AN22" s="37"/>
      <c r="AO22" s="36"/>
      <c r="AU22" s="36">
        <f t="shared" ref="AU22:AV22" si="47">COUNTA($B$4:$B$20)-COUNTIF(AU4:AU20,"&gt;=6")</f>
        <v>0</v>
      </c>
      <c r="AV22" s="36">
        <f t="shared" si="47"/>
        <v>0</v>
      </c>
      <c r="AW22" s="36"/>
      <c r="BL22" s="39"/>
      <c r="BM22" s="32"/>
    </row>
    <row r="23">
      <c r="A23" s="43">
        <v>439629.0</v>
      </c>
      <c r="B23" s="69" t="s">
        <v>295</v>
      </c>
      <c r="D23" s="159" t="s">
        <v>278</v>
      </c>
      <c r="E23" s="153" t="s">
        <v>278</v>
      </c>
      <c r="F23" s="153" t="s">
        <v>278</v>
      </c>
      <c r="G23" s="153" t="s">
        <v>278</v>
      </c>
      <c r="H23" s="153" t="s">
        <v>278</v>
      </c>
      <c r="I23" s="153" t="s">
        <v>278</v>
      </c>
      <c r="J23" s="153" t="s">
        <v>278</v>
      </c>
      <c r="K23" s="153" t="s">
        <v>278</v>
      </c>
      <c r="L23" s="153" t="s">
        <v>278</v>
      </c>
      <c r="M23" s="153" t="s">
        <v>278</v>
      </c>
      <c r="N23" s="153" t="s">
        <v>278</v>
      </c>
      <c r="O23" s="153" t="s">
        <v>278</v>
      </c>
      <c r="P23" s="153" t="s">
        <v>278</v>
      </c>
      <c r="Q23" s="153" t="s">
        <v>278</v>
      </c>
      <c r="R23" s="153" t="s">
        <v>278</v>
      </c>
      <c r="S23" s="153" t="s">
        <v>278</v>
      </c>
      <c r="T23" s="153" t="s">
        <v>278</v>
      </c>
      <c r="U23" s="159"/>
      <c r="V23" s="153"/>
      <c r="W23" s="153"/>
      <c r="X23" s="166"/>
      <c r="Y23" s="43">
        <v>439629.0</v>
      </c>
      <c r="Z23" s="58"/>
      <c r="AA23" s="58"/>
      <c r="AB23" s="167"/>
      <c r="AC23" s="60"/>
      <c r="AD23" s="58"/>
      <c r="AE23" s="58"/>
      <c r="AF23" s="132"/>
      <c r="AG23" s="60"/>
      <c r="AJ23" s="4"/>
      <c r="AK23" s="28"/>
      <c r="AN23" s="63"/>
      <c r="AO23" s="21"/>
      <c r="AV23" s="24"/>
      <c r="AW23" s="30"/>
      <c r="AX23">
        <f t="shared" ref="AX23:AY23" si="48">SUM(AU23)</f>
        <v>0</v>
      </c>
      <c r="AY23">
        <f t="shared" si="48"/>
        <v>0</v>
      </c>
      <c r="AZ23" s="21">
        <f t="shared" ref="AZ23:AZ24" si="51">SUM(Z23,AA23)</f>
        <v>0</v>
      </c>
      <c r="BA23">
        <f t="shared" ref="BA23:BA24" si="52">SUM(AD23,AE23)</f>
        <v>0</v>
      </c>
      <c r="BB23">
        <f t="shared" ref="BB23:BB24" si="53">SUM(AH23,AI23)</f>
        <v>0</v>
      </c>
      <c r="BC23">
        <f t="shared" ref="BC23:BC24" si="54">SUM(AL23,AM23)</f>
        <v>0</v>
      </c>
      <c r="BD23">
        <f t="shared" ref="BD23:BI23" si="49">SUM(AO23)</f>
        <v>0</v>
      </c>
      <c r="BE23">
        <f t="shared" si="49"/>
        <v>0</v>
      </c>
      <c r="BF23">
        <f t="shared" si="49"/>
        <v>0</v>
      </c>
      <c r="BG23">
        <f t="shared" si="49"/>
        <v>0</v>
      </c>
      <c r="BH23">
        <f t="shared" si="49"/>
        <v>0</v>
      </c>
      <c r="BI23">
        <f t="shared" si="49"/>
        <v>0</v>
      </c>
      <c r="BJ23">
        <f t="shared" ref="BJ23:BJ24" si="56">SUM(AW23)</f>
        <v>0</v>
      </c>
      <c r="BL23" s="31">
        <f t="shared" ref="BL23:BL24" si="57">SUM(AZ23:BK23)</f>
        <v>0</v>
      </c>
      <c r="BM23" s="32"/>
    </row>
    <row r="24">
      <c r="A24" s="168">
        <v>468013.0</v>
      </c>
      <c r="B24" s="169" t="s">
        <v>296</v>
      </c>
      <c r="C24" s="156"/>
      <c r="D24" s="170" t="s">
        <v>278</v>
      </c>
      <c r="E24" s="162" t="s">
        <v>278</v>
      </c>
      <c r="F24" s="162" t="s">
        <v>278</v>
      </c>
      <c r="G24" s="162" t="s">
        <v>278</v>
      </c>
      <c r="H24" s="162" t="s">
        <v>278</v>
      </c>
      <c r="I24" s="162" t="s">
        <v>278</v>
      </c>
      <c r="J24" s="162" t="s">
        <v>278</v>
      </c>
      <c r="K24" s="162" t="s">
        <v>278</v>
      </c>
      <c r="L24" s="162" t="s">
        <v>278</v>
      </c>
      <c r="M24" s="162" t="s">
        <v>278</v>
      </c>
      <c r="N24" s="162" t="s">
        <v>278</v>
      </c>
      <c r="O24" s="162" t="s">
        <v>278</v>
      </c>
      <c r="P24" s="162" t="s">
        <v>278</v>
      </c>
      <c r="Q24" s="162" t="s">
        <v>278</v>
      </c>
      <c r="R24" s="162" t="s">
        <v>278</v>
      </c>
      <c r="S24" s="162" t="s">
        <v>278</v>
      </c>
      <c r="T24" s="153" t="s">
        <v>278</v>
      </c>
      <c r="U24" s="159"/>
      <c r="V24" s="153"/>
      <c r="W24" s="153"/>
      <c r="X24" s="166"/>
      <c r="Y24" s="168">
        <v>468013.0</v>
      </c>
      <c r="Z24" s="156"/>
      <c r="AA24" s="156"/>
      <c r="AB24" s="171"/>
      <c r="AC24" s="155"/>
      <c r="AD24" s="156"/>
      <c r="AE24" s="156"/>
      <c r="AF24" s="172"/>
      <c r="AG24" s="155"/>
      <c r="AH24" s="156"/>
      <c r="AI24" s="156"/>
      <c r="AJ24" s="172"/>
      <c r="AK24" s="155"/>
      <c r="AL24" s="156"/>
      <c r="AM24" s="156"/>
      <c r="AN24" s="172"/>
      <c r="AO24" s="173">
        <v>0.6</v>
      </c>
      <c r="AP24" s="174">
        <v>0.01</v>
      </c>
      <c r="AQ24" s="156"/>
      <c r="AR24" s="174">
        <v>0.3</v>
      </c>
      <c r="AS24" s="156"/>
      <c r="AT24" s="156"/>
      <c r="AU24" s="156"/>
      <c r="AV24" s="157"/>
      <c r="AW24" s="175"/>
      <c r="AX24" s="156">
        <f t="shared" ref="AX24:AY24" si="50">SUM(AU24)</f>
        <v>0</v>
      </c>
      <c r="AY24" s="156">
        <f t="shared" si="50"/>
        <v>0</v>
      </c>
      <c r="AZ24" s="155">
        <f t="shared" si="51"/>
        <v>0</v>
      </c>
      <c r="BA24" s="156">
        <f t="shared" si="52"/>
        <v>0</v>
      </c>
      <c r="BB24" s="156">
        <f t="shared" si="53"/>
        <v>0</v>
      </c>
      <c r="BC24" s="156">
        <f t="shared" si="54"/>
        <v>0</v>
      </c>
      <c r="BD24" s="156">
        <f t="shared" ref="BD24:BI24" si="55">SUM(AO24)</f>
        <v>0.6</v>
      </c>
      <c r="BE24" s="156">
        <f t="shared" si="55"/>
        <v>0.01</v>
      </c>
      <c r="BF24" s="156">
        <f t="shared" si="55"/>
        <v>0</v>
      </c>
      <c r="BG24" s="156">
        <f t="shared" si="55"/>
        <v>0.3</v>
      </c>
      <c r="BH24" s="156">
        <f t="shared" si="55"/>
        <v>0</v>
      </c>
      <c r="BI24" s="156">
        <f t="shared" si="55"/>
        <v>0</v>
      </c>
      <c r="BJ24" s="156">
        <f t="shared" si="56"/>
        <v>0</v>
      </c>
      <c r="BK24" s="156"/>
      <c r="BL24" s="176">
        <f t="shared" si="57"/>
        <v>0.91</v>
      </c>
      <c r="BM24" s="177"/>
    </row>
    <row r="25">
      <c r="A25" s="168"/>
      <c r="B25" s="169"/>
      <c r="C25" s="156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70"/>
      <c r="V25" s="162"/>
      <c r="W25" s="162"/>
      <c r="X25" s="178"/>
      <c r="Y25" s="168"/>
      <c r="Z25" s="156"/>
      <c r="AA25" s="156"/>
      <c r="AB25" s="179"/>
      <c r="AC25" s="156">
        <f>MAX(AC4:AC20) + 1</f>
        <v>74383</v>
      </c>
      <c r="AD25" s="156"/>
      <c r="AE25" s="156"/>
      <c r="AF25" s="180"/>
      <c r="AG25" s="156">
        <f>MAX(AG4:AG20) + 1</f>
        <v>28080</v>
      </c>
      <c r="AH25" s="156"/>
      <c r="AI25" s="156"/>
      <c r="AJ25" s="180"/>
      <c r="AK25" s="156">
        <f>MAX(AK4:AK20) + 1</f>
        <v>300104</v>
      </c>
      <c r="AL25" s="156"/>
      <c r="AM25" s="156"/>
      <c r="AN25" s="180"/>
      <c r="AO25" s="174"/>
      <c r="AP25" s="156"/>
      <c r="AQ25" s="156"/>
      <c r="AR25" s="156"/>
      <c r="AS25" s="156"/>
      <c r="AT25" s="156"/>
      <c r="AU25" s="156"/>
      <c r="AV25" s="156"/>
      <c r="AW25" s="174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  <c r="BJ25" s="156"/>
      <c r="BK25" s="156"/>
      <c r="BL25" s="181"/>
      <c r="BM25" s="177"/>
    </row>
  </sheetData>
  <mergeCells count="51">
    <mergeCell ref="AF2:AF3"/>
    <mergeCell ref="AG2:AG3"/>
    <mergeCell ref="A1:B1"/>
    <mergeCell ref="C1:C3"/>
    <mergeCell ref="D1:T1"/>
    <mergeCell ref="U1:X1"/>
    <mergeCell ref="Y1:AB1"/>
    <mergeCell ref="AC1:AF1"/>
    <mergeCell ref="AG1:AJ1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AB2:AB3"/>
    <mergeCell ref="AC2:AC3"/>
    <mergeCell ref="AQ2:AQ3"/>
    <mergeCell ref="AR2:AR3"/>
    <mergeCell ref="AS2:AS3"/>
    <mergeCell ref="AT2:AT3"/>
    <mergeCell ref="AU2:AU3"/>
    <mergeCell ref="AV2:AV3"/>
    <mergeCell ref="AK1:AN1"/>
    <mergeCell ref="AX1:BJ2"/>
    <mergeCell ref="BL1:BL3"/>
    <mergeCell ref="BM1:BM3"/>
    <mergeCell ref="AJ2:AJ3"/>
    <mergeCell ref="AK2:AK3"/>
    <mergeCell ref="AN2:AN3"/>
    <mergeCell ref="AW2:AW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O2:AO3"/>
    <mergeCell ref="AP2:AP3"/>
  </mergeCells>
  <conditionalFormatting sqref="AF4:AF5">
    <cfRule type="timePeriod" dxfId="0" priority="1" timePeriod="last7Days"/>
  </conditionalFormatting>
  <conditionalFormatting sqref="AJ4:AJ5 AJ12 AJ17">
    <cfRule type="timePeriod" dxfId="0" priority="2" timePeriod="last7Days"/>
  </conditionalFormatting>
  <conditionalFormatting sqref="AJ4:AJ5 AJ12 AJ17">
    <cfRule type="timePeriod" dxfId="0" priority="3" timePeriod="last7Days"/>
  </conditionalFormatting>
  <conditionalFormatting sqref="AF4:AF5 AJ4:AJ5 AJ12 AJ17">
    <cfRule type="timePeriod" dxfId="0" priority="4" timePeriod="last7Days"/>
  </conditionalFormatting>
  <conditionalFormatting sqref="AJ4:AJ5 AJ12 AJ17">
    <cfRule type="timePeriod" dxfId="0" priority="5" timePeriod="last7Days"/>
  </conditionalFormatting>
  <conditionalFormatting sqref="AX4:BK25">
    <cfRule type="cellIs" dxfId="1" priority="6" operator="lessThan">
      <formula>0.1</formula>
    </cfRule>
  </conditionalFormatting>
  <conditionalFormatting sqref="AX4:BK25">
    <cfRule type="cellIs" dxfId="2" priority="7" operator="greaterThan">
      <formula>0.1</formula>
    </cfRule>
  </conditionalFormatting>
  <conditionalFormatting sqref="BL4:BM25">
    <cfRule type="cellIs" dxfId="3" priority="8" operator="between">
      <formula>60</formula>
      <formula>68</formula>
    </cfRule>
  </conditionalFormatting>
  <conditionalFormatting sqref="BL4:BM25">
    <cfRule type="cellIs" dxfId="4" priority="9" operator="between">
      <formula>68</formula>
      <formula>74</formula>
    </cfRule>
  </conditionalFormatting>
  <conditionalFormatting sqref="BL4:BM25">
    <cfRule type="cellIs" dxfId="2" priority="10" operator="between">
      <formula>74</formula>
      <formula>81</formula>
    </cfRule>
  </conditionalFormatting>
  <conditionalFormatting sqref="BL4:BM25">
    <cfRule type="cellIs" dxfId="5" priority="11" operator="between">
      <formula>81</formula>
      <formula>90</formula>
    </cfRule>
  </conditionalFormatting>
  <conditionalFormatting sqref="BL4:BM25">
    <cfRule type="cellIs" dxfId="6" priority="12" operator="greaterThan">
      <formula>90</formula>
    </cfRule>
  </conditionalFormatting>
  <conditionalFormatting sqref="AF4:AF5">
    <cfRule type="timePeriod" dxfId="0" priority="13" timePeriod="last7Days"/>
  </conditionalFormatting>
  <conditionalFormatting sqref="G4:G13 J4:J7 K4:K5 H6 L6:L7 K7 S7:S8 W7 H8:H9 J9:J14 K10 L10:L12 T11 U11:U12 V11:X11 H12 R13 H14 G15 U15:X15 J16:J19 K16 P16 T16:T17 G17:G25 L17 Q17 M18 P18 K19 H20 L20 S20">
    <cfRule type="containsText" dxfId="7" priority="14" operator="containsText" text="н">
      <formula>NOT(ISERROR(SEARCH(("н"),(G4))))</formula>
    </cfRule>
  </conditionalFormatting>
  <conditionalFormatting sqref="G4:G13 J4:J7 K4:K5 H6 L6:L7 K7 S7:S8 W7 H8:H9 J9:J14 K10 L10:L12 T11 U11:U12 V11:X11 H12 R13 H14 G15 U15:X15 J16:J19 K16 P16 T16:T17 G17:G25 L17 Q17 M18 P18 K19 H20 L20 S20">
    <cfRule type="containsText" dxfId="7" priority="15" operator="containsText" text="n">
      <formula>NOT(ISERROR(SEARCH(("n"),(G4))))</formula>
    </cfRule>
  </conditionalFormatting>
  <conditionalFormatting sqref="F4:F25 G4:G8 J4:J7 K4:K5 H6 L6:L7 K7 S7:S8 W7 H8:H9 J9:J14 G10 K10 L10:L12 T11 U11:U12 V11:X11 H12 G13 R13 H14 U15:X15 J16:J19 K16 P16 T16:T17 G17 L17 Q17 M18 P18 G19:G20 K19 H20 L20 S20">
    <cfRule type="containsText" dxfId="7" priority="16" operator="containsText" text="н">
      <formula>NOT(ISERROR(SEARCH(("н"),(F4))))</formula>
    </cfRule>
  </conditionalFormatting>
  <conditionalFormatting sqref="F4:F25 G4:G8 J4:J7 K4:K5 H6 L6:L7 K7 S7:S8 W7 H8:H9 J9:J14 G10 K10 L10:L12 T11 U11:U12 V11:X11 H12 G13 R13 H14 U15:X15 J16:J19 K16 P16 T16:T17 G17 L17 Q17 M18 P18 G19:G20 K19 H20 L20 S20">
    <cfRule type="containsText" dxfId="7" priority="17" operator="containsText" text="n">
      <formula>NOT(ISERROR(SEARCH(("n"),(F4))))</formula>
    </cfRule>
  </conditionalFormatting>
  <conditionalFormatting sqref="Z4:AA5">
    <cfRule type="cellIs" dxfId="8" priority="18" operator="equal">
      <formula>0</formula>
    </cfRule>
  </conditionalFormatting>
  <conditionalFormatting sqref="AD4:AE4">
    <cfRule type="cellIs" dxfId="8" priority="19" operator="equal">
      <formula>0</formula>
    </cfRule>
  </conditionalFormatting>
  <conditionalFormatting sqref="AH4:AI4">
    <cfRule type="cellIs" dxfId="8" priority="20" operator="equal">
      <formula>0</formula>
    </cfRule>
  </conditionalFormatting>
  <conditionalFormatting sqref="AL4:AM4">
    <cfRule type="cellIs" dxfId="8" priority="21" operator="equal">
      <formula>0</formula>
    </cfRule>
  </conditionalFormatting>
  <conditionalFormatting sqref="AO4:AV4">
    <cfRule type="cellIs" dxfId="8" priority="22" operator="equal">
      <formula>0</formula>
    </cfRule>
  </conditionalFormatting>
  <conditionalFormatting sqref="D1:E3 F1:F25 G1:G13 H1:I25 J1:J7 K1:R25 S1:S5 T1:T4 U1:X3 D6 E7:E8 S7:T8 U7:W7 J9:J19 E10:E13 S10:S13 T11:T13 U11:U12 V11:X11 E15 G15 S15:T18 U15:X15 E17:E18 G17:G25 U18:V18 S20:S25 D21:E25 J21:J25 T21:X25">
    <cfRule type="containsText" dxfId="7" priority="23" operator="containsText" text="н">
      <formula>NOT(ISERROR(SEARCH(("н"),(D1))))</formula>
    </cfRule>
  </conditionalFormatting>
  <conditionalFormatting sqref="D1:E3 F1:F25 G1:G13 H1:I25 J1:J7 K1:R25 S1:S5 T1:T4 U1:X3 D6 E7:E8 S7:T8 U7:W7 J9:J19 E10:E13 S10:S13 T11:T13 U11:U12 V11:X11 E15 G15 S15:T18 U15:X15 E17:E18 G17:G25 U18:V18 S20:S25 D21:E25 J21:J25 T21:X25">
    <cfRule type="containsText" dxfId="7" priority="24" operator="containsText" text="n">
      <formula>NOT(ISERROR(SEARCH(("n"),(D1))))</formula>
    </cfRule>
  </conditionalFormatting>
  <conditionalFormatting sqref="AF4:AF5">
    <cfRule type="timePeriod" dxfId="0" priority="25" timePeriod="last7Days"/>
  </conditionalFormatting>
  <conditionalFormatting sqref="AJ4:AJ5 AJ12 AJ17">
    <cfRule type="timePeriod" dxfId="0" priority="26" timePeriod="last7Days"/>
  </conditionalFormatting>
  <conditionalFormatting sqref="BL1:BM25">
    <cfRule type="cellIs" dxfId="3" priority="27" operator="between">
      <formula>60</formula>
      <formula>68</formula>
    </cfRule>
  </conditionalFormatting>
  <conditionalFormatting sqref="AW4:AW25">
    <cfRule type="cellIs" dxfId="6" priority="28" operator="between">
      <formula>12</formula>
      <formula>1000</formula>
    </cfRule>
  </conditionalFormatting>
  <conditionalFormatting sqref="BL1:BM25">
    <cfRule type="cellIs" dxfId="4" priority="29" operator="between">
      <formula>68</formula>
      <formula>74</formula>
    </cfRule>
  </conditionalFormatting>
  <conditionalFormatting sqref="BL1:BM25">
    <cfRule type="cellIs" dxfId="2" priority="30" operator="between">
      <formula>74</formula>
      <formula>81</formula>
    </cfRule>
  </conditionalFormatting>
  <conditionalFormatting sqref="BL1:BM25">
    <cfRule type="cellIs" dxfId="5" priority="31" operator="between">
      <formula>81</formula>
      <formula>90</formula>
    </cfRule>
  </conditionalFormatting>
  <conditionalFormatting sqref="BL1:BM25">
    <cfRule type="cellIs" dxfId="6" priority="32" operator="greaterThan">
      <formula>90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9" width="2.75"/>
    <col customWidth="1" hidden="1" min="20" max="22" width="2.88"/>
    <col customWidth="1" min="23" max="23" width="6.5"/>
    <col customWidth="1" min="24" max="24" width="5.0"/>
    <col customWidth="1" min="25" max="25" width="3.88"/>
    <col customWidth="1" min="26" max="26" width="5.63"/>
    <col customWidth="1" min="27" max="27" width="6.5"/>
    <col customWidth="1" min="28" max="28" width="5.13"/>
    <col customWidth="1" min="29" max="29" width="4.0"/>
    <col customWidth="1" min="30" max="30" width="5.63"/>
    <col customWidth="1" min="31" max="31" width="7.5"/>
    <col customWidth="1" min="32" max="32" width="5.13"/>
    <col customWidth="1" min="33" max="33" width="4.0"/>
    <col customWidth="1" min="34" max="34" width="5.63"/>
    <col customWidth="1" min="35" max="35" width="8.38"/>
    <col customWidth="1" min="36" max="36" width="5.0"/>
    <col customWidth="1" min="37" max="37" width="4.5"/>
    <col customWidth="1" min="38" max="39" width="5.63"/>
    <col customWidth="1" min="40" max="40" width="5.13"/>
    <col customWidth="1" min="41" max="41" width="5.38"/>
    <col customWidth="1" min="42" max="42" width="5.0"/>
    <col customWidth="1" min="43" max="44" width="5.38"/>
    <col customWidth="1" min="45" max="46" width="5.88"/>
    <col customWidth="1" min="47" max="47" width="5.63"/>
    <col customWidth="1" min="48" max="48" width="4.5"/>
    <col customWidth="1" min="49" max="49" width="4.38"/>
    <col customWidth="1" min="50" max="54" width="4.25"/>
    <col customWidth="1" min="55" max="55" width="4.63"/>
    <col customWidth="1" min="56" max="56" width="4.5"/>
    <col customWidth="1" min="57" max="58" width="4.63"/>
    <col customWidth="1" min="59" max="59" width="4.5"/>
    <col customWidth="1" min="60" max="60" width="5.13"/>
    <col customWidth="1" min="61" max="61" width="4.38"/>
    <col customWidth="1" min="62" max="62" width="6.63"/>
    <col customWidth="1" min="63" max="63" width="3.25"/>
  </cols>
  <sheetData>
    <row r="1">
      <c r="A1" s="1" t="s">
        <v>297</v>
      </c>
      <c r="C1" s="2" t="s">
        <v>1</v>
      </c>
      <c r="D1" s="3" t="s">
        <v>2</v>
      </c>
      <c r="V1" s="4"/>
      <c r="W1" s="5" t="s">
        <v>3</v>
      </c>
      <c r="Z1" s="4"/>
      <c r="AA1" s="5" t="s">
        <v>4</v>
      </c>
      <c r="AD1" s="4"/>
      <c r="AE1" s="5" t="s">
        <v>5</v>
      </c>
      <c r="AH1" s="4"/>
      <c r="AI1" s="5" t="s">
        <v>6</v>
      </c>
      <c r="AL1" s="4"/>
      <c r="AM1" s="3" t="s">
        <v>7</v>
      </c>
      <c r="AN1" s="6" t="s">
        <v>8</v>
      </c>
      <c r="AO1" s="6" t="s">
        <v>9</v>
      </c>
      <c r="AP1" s="6" t="s">
        <v>10</v>
      </c>
      <c r="AQ1" s="6" t="s">
        <v>11</v>
      </c>
      <c r="AR1" s="6" t="s">
        <v>12</v>
      </c>
      <c r="AS1" s="6" t="s">
        <v>13</v>
      </c>
      <c r="AT1" s="7" t="s">
        <v>14</v>
      </c>
      <c r="AU1" s="3" t="s">
        <v>15</v>
      </c>
      <c r="AV1" s="6" t="s">
        <v>16</v>
      </c>
      <c r="BI1" s="7"/>
      <c r="BJ1" s="41" t="s">
        <v>17</v>
      </c>
      <c r="BK1" s="10" t="s">
        <v>18</v>
      </c>
    </row>
    <row r="2">
      <c r="A2" s="11" t="s">
        <v>19</v>
      </c>
      <c r="B2" s="11" t="s">
        <v>20</v>
      </c>
      <c r="C2" s="4"/>
      <c r="D2" s="12">
        <v>45537.0</v>
      </c>
      <c r="E2" s="12">
        <f t="shared" ref="E2:L2" si="1">D2+7</f>
        <v>45544</v>
      </c>
      <c r="F2" s="12">
        <f t="shared" si="1"/>
        <v>45551</v>
      </c>
      <c r="G2" s="12">
        <f t="shared" si="1"/>
        <v>45558</v>
      </c>
      <c r="H2" s="12">
        <f t="shared" si="1"/>
        <v>45565</v>
      </c>
      <c r="I2" s="12">
        <f t="shared" si="1"/>
        <v>45572</v>
      </c>
      <c r="J2" s="12">
        <f t="shared" si="1"/>
        <v>45579</v>
      </c>
      <c r="K2" s="12">
        <f t="shared" si="1"/>
        <v>45586</v>
      </c>
      <c r="L2" s="12">
        <f t="shared" si="1"/>
        <v>45593</v>
      </c>
      <c r="M2" s="12">
        <f>L2+14</f>
        <v>45607</v>
      </c>
      <c r="N2" s="12">
        <f t="shared" ref="N2:S2" si="2">M2+7</f>
        <v>45614</v>
      </c>
      <c r="O2" s="12">
        <f t="shared" si="2"/>
        <v>45621</v>
      </c>
      <c r="P2" s="12">
        <f t="shared" si="2"/>
        <v>45628</v>
      </c>
      <c r="Q2" s="12">
        <f t="shared" si="2"/>
        <v>45635</v>
      </c>
      <c r="R2" s="12">
        <f t="shared" si="2"/>
        <v>45642</v>
      </c>
      <c r="S2" s="12">
        <f t="shared" si="2"/>
        <v>45649</v>
      </c>
      <c r="T2" s="13"/>
      <c r="U2" s="13"/>
      <c r="V2" s="13"/>
      <c r="W2" s="14" t="s">
        <v>21</v>
      </c>
      <c r="X2" s="15" t="s">
        <v>22</v>
      </c>
      <c r="Y2" s="15" t="s">
        <v>23</v>
      </c>
      <c r="Z2" s="16" t="s">
        <v>24</v>
      </c>
      <c r="AA2" s="14" t="s">
        <v>21</v>
      </c>
      <c r="AB2" s="15" t="s">
        <v>22</v>
      </c>
      <c r="AC2" s="15" t="s">
        <v>23</v>
      </c>
      <c r="AD2" s="16" t="s">
        <v>24</v>
      </c>
      <c r="AE2" s="14" t="s">
        <v>21</v>
      </c>
      <c r="AF2" s="15" t="s">
        <v>22</v>
      </c>
      <c r="AG2" s="15" t="s">
        <v>23</v>
      </c>
      <c r="AH2" s="16" t="s">
        <v>24</v>
      </c>
      <c r="AI2" s="14" t="s">
        <v>21</v>
      </c>
      <c r="AJ2" s="15" t="s">
        <v>22</v>
      </c>
      <c r="AK2" s="15" t="s">
        <v>23</v>
      </c>
      <c r="AL2" s="16" t="s">
        <v>24</v>
      </c>
      <c r="AM2" s="17" t="s">
        <v>25</v>
      </c>
      <c r="AN2" s="18" t="s">
        <v>25</v>
      </c>
      <c r="AO2" s="18" t="s">
        <v>25</v>
      </c>
      <c r="AP2" s="18" t="s">
        <v>25</v>
      </c>
      <c r="AQ2" s="18" t="s">
        <v>25</v>
      </c>
      <c r="AR2" s="18" t="s">
        <v>25</v>
      </c>
      <c r="AS2" s="15" t="s">
        <v>26</v>
      </c>
      <c r="AT2" s="19" t="s">
        <v>26</v>
      </c>
      <c r="AU2" s="14" t="s">
        <v>27</v>
      </c>
      <c r="BI2" s="7"/>
      <c r="BJ2" s="4"/>
    </row>
    <row r="3">
      <c r="C3" s="4"/>
      <c r="W3" s="21"/>
      <c r="X3" s="15" t="s">
        <v>26</v>
      </c>
      <c r="Y3" s="15" t="s">
        <v>28</v>
      </c>
      <c r="Z3" s="4"/>
      <c r="AA3" s="21"/>
      <c r="AB3" s="15" t="s">
        <v>26</v>
      </c>
      <c r="AC3" s="15" t="s">
        <v>28</v>
      </c>
      <c r="AD3" s="4"/>
      <c r="AE3" s="21"/>
      <c r="AF3" s="15" t="s">
        <v>26</v>
      </c>
      <c r="AG3" s="15" t="s">
        <v>28</v>
      </c>
      <c r="AH3" s="4"/>
      <c r="AI3" s="21"/>
      <c r="AJ3" s="15" t="s">
        <v>26</v>
      </c>
      <c r="AK3" s="15" t="s">
        <v>28</v>
      </c>
      <c r="AL3" s="4"/>
      <c r="AM3" s="21"/>
      <c r="AT3" s="4"/>
      <c r="AU3" s="21"/>
      <c r="AV3" s="17" t="s">
        <v>29</v>
      </c>
      <c r="AW3" s="18" t="s">
        <v>30</v>
      </c>
      <c r="AX3" s="18" t="s">
        <v>3</v>
      </c>
      <c r="AY3" s="18" t="s">
        <v>4</v>
      </c>
      <c r="AZ3" s="18" t="s">
        <v>5</v>
      </c>
      <c r="BA3" s="18" t="s">
        <v>6</v>
      </c>
      <c r="BB3" s="18" t="s">
        <v>7</v>
      </c>
      <c r="BC3" s="18" t="s">
        <v>8</v>
      </c>
      <c r="BD3" s="18" t="s">
        <v>9</v>
      </c>
      <c r="BE3" s="18" t="s">
        <v>10</v>
      </c>
      <c r="BF3" s="18" t="s">
        <v>11</v>
      </c>
      <c r="BG3" s="18" t="s">
        <v>12</v>
      </c>
      <c r="BH3" s="18" t="s">
        <v>31</v>
      </c>
      <c r="BI3" s="23" t="s">
        <v>23</v>
      </c>
      <c r="BJ3" s="4"/>
    </row>
    <row r="4">
      <c r="A4" s="43">
        <v>465244.0</v>
      </c>
      <c r="B4" s="182" t="s">
        <v>298</v>
      </c>
      <c r="C4" s="24">
        <v>16050.0</v>
      </c>
      <c r="D4" s="25" t="s">
        <v>91</v>
      </c>
      <c r="E4" s="27" t="s">
        <v>57</v>
      </c>
      <c r="F4" s="27" t="s">
        <v>57</v>
      </c>
      <c r="G4" s="27" t="s">
        <v>57</v>
      </c>
      <c r="H4" s="27" t="s">
        <v>57</v>
      </c>
      <c r="I4" s="27" t="s">
        <v>158</v>
      </c>
      <c r="J4" s="27" t="s">
        <v>91</v>
      </c>
      <c r="K4" s="27" t="s">
        <v>91</v>
      </c>
      <c r="L4" s="27" t="s">
        <v>84</v>
      </c>
      <c r="M4" s="27" t="s">
        <v>91</v>
      </c>
      <c r="N4" s="27" t="s">
        <v>57</v>
      </c>
      <c r="O4" s="27" t="s">
        <v>57</v>
      </c>
      <c r="P4" s="27" t="s">
        <v>91</v>
      </c>
      <c r="Q4" s="27" t="s">
        <v>91</v>
      </c>
      <c r="R4" s="27" t="s">
        <v>84</v>
      </c>
      <c r="S4" s="27" t="s">
        <v>91</v>
      </c>
      <c r="T4" s="27"/>
      <c r="U4" s="27"/>
      <c r="V4" s="27"/>
      <c r="W4" s="138">
        <v>465244.0</v>
      </c>
      <c r="X4" s="36">
        <v>10.0</v>
      </c>
      <c r="Y4" s="36">
        <v>2.0</v>
      </c>
      <c r="Z4" s="91">
        <v>45916.0</v>
      </c>
      <c r="AA4" s="28">
        <v>321699.0</v>
      </c>
      <c r="AB4" s="36">
        <v>10.0</v>
      </c>
      <c r="AC4" s="36">
        <v>2.0</v>
      </c>
      <c r="AD4" s="183">
        <v>45923.0</v>
      </c>
      <c r="AE4" s="28">
        <v>311690.0</v>
      </c>
      <c r="AF4" s="36">
        <v>10.0</v>
      </c>
      <c r="AG4" s="36">
        <v>2.0</v>
      </c>
      <c r="AH4" s="91">
        <v>45937.0</v>
      </c>
      <c r="AI4" s="28">
        <v>755476.0</v>
      </c>
      <c r="AJ4" s="36">
        <v>10.0</v>
      </c>
      <c r="AK4" s="36">
        <v>2.0</v>
      </c>
      <c r="AL4" s="91">
        <v>45986.0</v>
      </c>
      <c r="AM4" s="28">
        <v>0.6</v>
      </c>
      <c r="AN4" s="36">
        <v>1.7</v>
      </c>
      <c r="AP4" s="36">
        <v>1.2</v>
      </c>
      <c r="AQ4" s="36">
        <v>1.6</v>
      </c>
      <c r="AR4" s="36">
        <v>0.27</v>
      </c>
      <c r="AS4" s="36">
        <v>6.0</v>
      </c>
      <c r="AT4" s="24">
        <v>8.5</v>
      </c>
      <c r="AU4" s="28">
        <f t="shared" ref="AU4:AU6" si="5">SUM(AS4:AT4)</f>
        <v>14.5</v>
      </c>
      <c r="AV4" s="21">
        <f t="shared" ref="AV4:AW4" si="3">SUM(AS4)</f>
        <v>6</v>
      </c>
      <c r="AW4">
        <f t="shared" si="3"/>
        <v>8.5</v>
      </c>
      <c r="AX4">
        <f t="shared" ref="AX4:AX17" si="7">SUM(X4,Y4)</f>
        <v>12</v>
      </c>
      <c r="AY4">
        <f t="shared" ref="AY4:AY17" si="8">SUM(AB4,AC4)</f>
        <v>12</v>
      </c>
      <c r="AZ4">
        <f t="shared" ref="AZ4:AZ17" si="9">SUM(AF4,AG4)</f>
        <v>12</v>
      </c>
      <c r="BA4">
        <f t="shared" ref="BA4:BA17" si="10">SUM(AJ4,AK4)</f>
        <v>12</v>
      </c>
      <c r="BB4">
        <f t="shared" ref="BB4:BG4" si="4">SUM(AM4)</f>
        <v>0.6</v>
      </c>
      <c r="BC4">
        <f t="shared" si="4"/>
        <v>1.7</v>
      </c>
      <c r="BD4">
        <f t="shared" si="4"/>
        <v>0</v>
      </c>
      <c r="BE4">
        <f t="shared" si="4"/>
        <v>1.2</v>
      </c>
      <c r="BF4">
        <f t="shared" si="4"/>
        <v>1.6</v>
      </c>
      <c r="BG4">
        <f t="shared" si="4"/>
        <v>0.27</v>
      </c>
      <c r="BH4">
        <f t="shared" ref="BH4:BH17" si="12">SUM(AU4)</f>
        <v>14.5</v>
      </c>
      <c r="BI4" s="4"/>
      <c r="BJ4" s="50">
        <f t="shared" ref="BJ4:BJ17" si="13">SUM(AV4:BI4)</f>
        <v>82.37</v>
      </c>
      <c r="BK4" s="32">
        <v>1.0</v>
      </c>
    </row>
    <row r="5">
      <c r="A5" s="43">
        <v>465487.0</v>
      </c>
      <c r="B5" s="182" t="s">
        <v>299</v>
      </c>
      <c r="C5" s="24">
        <v>16150.0</v>
      </c>
      <c r="D5" s="25" t="s">
        <v>91</v>
      </c>
      <c r="E5" s="27" t="s">
        <v>91</v>
      </c>
      <c r="F5" s="27" t="s">
        <v>91</v>
      </c>
      <c r="G5" s="27" t="s">
        <v>91</v>
      </c>
      <c r="H5" s="27" t="s">
        <v>61</v>
      </c>
      <c r="I5" s="27" t="s">
        <v>57</v>
      </c>
      <c r="J5" s="27" t="s">
        <v>57</v>
      </c>
      <c r="K5" s="27" t="s">
        <v>91</v>
      </c>
      <c r="L5" s="27" t="s">
        <v>84</v>
      </c>
      <c r="M5" s="27" t="s">
        <v>57</v>
      </c>
      <c r="N5" s="27" t="s">
        <v>91</v>
      </c>
      <c r="O5" s="27" t="s">
        <v>61</v>
      </c>
      <c r="P5" s="27" t="s">
        <v>57</v>
      </c>
      <c r="Q5" s="27" t="s">
        <v>57</v>
      </c>
      <c r="R5" s="27" t="s">
        <v>57</v>
      </c>
      <c r="S5" s="27" t="s">
        <v>91</v>
      </c>
      <c r="T5" s="27"/>
      <c r="U5" s="27"/>
      <c r="V5" s="27"/>
      <c r="W5" s="138">
        <v>465487.0</v>
      </c>
      <c r="X5" s="36">
        <v>9.0</v>
      </c>
      <c r="Z5" s="91">
        <v>45937.0</v>
      </c>
      <c r="AA5" s="28">
        <v>321664.0</v>
      </c>
      <c r="AB5" s="36">
        <v>9.5</v>
      </c>
      <c r="AD5" s="91">
        <v>45944.0</v>
      </c>
      <c r="AE5" s="28">
        <v>3216008.0</v>
      </c>
      <c r="AF5" s="36">
        <v>9.3</v>
      </c>
      <c r="AG5" s="36">
        <v>2.0</v>
      </c>
      <c r="AH5" s="91">
        <v>45993.0</v>
      </c>
      <c r="AI5" s="28">
        <v>3.2160098E7</v>
      </c>
      <c r="AJ5" s="51">
        <v>8.8</v>
      </c>
      <c r="AL5" s="91">
        <v>46007.0</v>
      </c>
      <c r="AM5" s="28"/>
      <c r="AS5" s="36">
        <v>7.0</v>
      </c>
      <c r="AT5" s="24">
        <v>7.0</v>
      </c>
      <c r="AU5" s="28">
        <f t="shared" si="5"/>
        <v>14</v>
      </c>
      <c r="AV5" s="21">
        <f t="shared" ref="AV5:AW5" si="6">SUM(AS5)</f>
        <v>7</v>
      </c>
      <c r="AW5">
        <f t="shared" si="6"/>
        <v>7</v>
      </c>
      <c r="AX5">
        <f t="shared" si="7"/>
        <v>9</v>
      </c>
      <c r="AY5">
        <f t="shared" si="8"/>
        <v>9.5</v>
      </c>
      <c r="AZ5">
        <f t="shared" si="9"/>
        <v>11.3</v>
      </c>
      <c r="BA5">
        <f t="shared" si="10"/>
        <v>8.8</v>
      </c>
      <c r="BB5">
        <f t="shared" ref="BB5:BG5" si="11">SUM(AM5)</f>
        <v>0</v>
      </c>
      <c r="BC5">
        <f t="shared" si="11"/>
        <v>0</v>
      </c>
      <c r="BD5">
        <f t="shared" si="11"/>
        <v>0</v>
      </c>
      <c r="BE5">
        <f t="shared" si="11"/>
        <v>0</v>
      </c>
      <c r="BF5">
        <f t="shared" si="11"/>
        <v>0</v>
      </c>
      <c r="BG5">
        <f t="shared" si="11"/>
        <v>0</v>
      </c>
      <c r="BH5">
        <f t="shared" si="12"/>
        <v>14</v>
      </c>
      <c r="BI5" s="4"/>
      <c r="BJ5" s="50">
        <f t="shared" si="13"/>
        <v>66.6</v>
      </c>
      <c r="BK5" s="32">
        <v>1.0</v>
      </c>
    </row>
    <row r="6">
      <c r="A6" s="43">
        <v>465635.0</v>
      </c>
      <c r="B6" s="182" t="s">
        <v>300</v>
      </c>
      <c r="C6" s="24">
        <v>16250.0</v>
      </c>
      <c r="D6" s="25" t="s">
        <v>84</v>
      </c>
      <c r="E6" s="27" t="s">
        <v>84</v>
      </c>
      <c r="F6" s="27" t="s">
        <v>57</v>
      </c>
      <c r="G6" s="27" t="s">
        <v>57</v>
      </c>
      <c r="H6" s="27" t="s">
        <v>57</v>
      </c>
      <c r="I6" s="27" t="s">
        <v>57</v>
      </c>
      <c r="J6" s="27" t="s">
        <v>91</v>
      </c>
      <c r="K6" s="27" t="s">
        <v>57</v>
      </c>
      <c r="L6" s="27" t="s">
        <v>57</v>
      </c>
      <c r="M6" s="27" t="s">
        <v>91</v>
      </c>
      <c r="N6" s="27" t="s">
        <v>57</v>
      </c>
      <c r="O6" s="27" t="s">
        <v>57</v>
      </c>
      <c r="P6" s="27" t="s">
        <v>57</v>
      </c>
      <c r="Q6" s="27" t="s">
        <v>84</v>
      </c>
      <c r="R6" s="27" t="s">
        <v>84</v>
      </c>
      <c r="S6" s="27" t="s">
        <v>57</v>
      </c>
      <c r="T6" s="27"/>
      <c r="U6" s="27"/>
      <c r="V6" s="27"/>
      <c r="W6" s="138">
        <v>465635.0</v>
      </c>
      <c r="X6" s="36">
        <v>8.0</v>
      </c>
      <c r="Z6" s="91">
        <v>45937.0</v>
      </c>
      <c r="AA6" s="28">
        <v>321663.0</v>
      </c>
      <c r="AB6" s="36">
        <v>7.9</v>
      </c>
      <c r="AD6" s="91">
        <v>45958.0</v>
      </c>
      <c r="AE6" s="28">
        <v>32161.0</v>
      </c>
      <c r="AF6" s="36">
        <v>7.0</v>
      </c>
      <c r="AH6" s="91">
        <v>45993.0</v>
      </c>
      <c r="AI6" s="28">
        <v>3216024.0</v>
      </c>
      <c r="AJ6" s="36">
        <v>7.7</v>
      </c>
      <c r="AL6" s="91">
        <v>46014.0</v>
      </c>
      <c r="AM6" s="28">
        <v>0.1</v>
      </c>
      <c r="AN6" s="36">
        <v>1.4</v>
      </c>
      <c r="AO6" s="36">
        <v>0.3</v>
      </c>
      <c r="AQ6" s="36">
        <v>2.0</v>
      </c>
      <c r="AS6" s="36">
        <v>7.5</v>
      </c>
      <c r="AT6" s="24">
        <v>6.75</v>
      </c>
      <c r="AU6" s="28">
        <f t="shared" si="5"/>
        <v>14.25</v>
      </c>
      <c r="AV6" s="21">
        <f t="shared" ref="AV6:AW6" si="14">SUM(AS6)</f>
        <v>7.5</v>
      </c>
      <c r="AW6">
        <f t="shared" si="14"/>
        <v>6.75</v>
      </c>
      <c r="AX6">
        <f t="shared" si="7"/>
        <v>8</v>
      </c>
      <c r="AY6">
        <f t="shared" si="8"/>
        <v>7.9</v>
      </c>
      <c r="AZ6">
        <f t="shared" si="9"/>
        <v>7</v>
      </c>
      <c r="BA6">
        <f t="shared" si="10"/>
        <v>7.7</v>
      </c>
      <c r="BB6">
        <f t="shared" ref="BB6:BG6" si="15">SUM(AM6)</f>
        <v>0.1</v>
      </c>
      <c r="BC6">
        <f t="shared" si="15"/>
        <v>1.4</v>
      </c>
      <c r="BD6">
        <f t="shared" si="15"/>
        <v>0.3</v>
      </c>
      <c r="BE6">
        <f t="shared" si="15"/>
        <v>0</v>
      </c>
      <c r="BF6">
        <f t="shared" si="15"/>
        <v>2</v>
      </c>
      <c r="BG6">
        <f t="shared" si="15"/>
        <v>0</v>
      </c>
      <c r="BH6">
        <f t="shared" si="12"/>
        <v>14.25</v>
      </c>
      <c r="BI6" s="4"/>
      <c r="BJ6" s="50">
        <f t="shared" si="13"/>
        <v>62.9</v>
      </c>
      <c r="BK6" s="32">
        <v>1.0</v>
      </c>
    </row>
    <row r="7">
      <c r="A7" s="43">
        <v>466344.0</v>
      </c>
      <c r="B7" s="182" t="s">
        <v>301</v>
      </c>
      <c r="C7" s="24">
        <v>16350.0</v>
      </c>
      <c r="D7" s="25" t="s">
        <v>91</v>
      </c>
      <c r="E7" s="27" t="s">
        <v>84</v>
      </c>
      <c r="F7" s="27" t="s">
        <v>91</v>
      </c>
      <c r="G7" s="27" t="s">
        <v>91</v>
      </c>
      <c r="H7" s="27" t="s">
        <v>91</v>
      </c>
      <c r="I7" s="27" t="s">
        <v>57</v>
      </c>
      <c r="J7" s="27" t="s">
        <v>57</v>
      </c>
      <c r="K7" s="27" t="s">
        <v>61</v>
      </c>
      <c r="L7" s="27" t="s">
        <v>84</v>
      </c>
      <c r="M7" s="27" t="s">
        <v>57</v>
      </c>
      <c r="N7" s="27" t="s">
        <v>57</v>
      </c>
      <c r="O7" s="27" t="s">
        <v>57</v>
      </c>
      <c r="P7" s="27" t="s">
        <v>57</v>
      </c>
      <c r="Q7" s="27" t="s">
        <v>91</v>
      </c>
      <c r="R7" s="27" t="s">
        <v>84</v>
      </c>
      <c r="S7" s="27" t="s">
        <v>57</v>
      </c>
      <c r="T7" s="27"/>
      <c r="U7" s="27"/>
      <c r="V7" s="27"/>
      <c r="W7" s="138">
        <v>466344.0</v>
      </c>
      <c r="X7" s="36">
        <v>7.0</v>
      </c>
      <c r="Z7" s="91">
        <v>45993.0</v>
      </c>
      <c r="AA7" s="28">
        <v>321682.0</v>
      </c>
      <c r="AB7" s="36">
        <v>6.0</v>
      </c>
      <c r="AD7" s="91">
        <v>46114.0</v>
      </c>
      <c r="AE7" s="28">
        <v>32166.0</v>
      </c>
      <c r="AF7" s="36">
        <v>6.0</v>
      </c>
      <c r="AH7" s="91">
        <v>46066.0</v>
      </c>
      <c r="AI7" s="28">
        <v>3.2169652E7</v>
      </c>
      <c r="AJ7" s="51">
        <v>6.0</v>
      </c>
      <c r="AL7" s="91">
        <v>46073.0</v>
      </c>
      <c r="AM7" s="28">
        <v>1.8</v>
      </c>
      <c r="AN7" s="36">
        <v>0.3</v>
      </c>
      <c r="AO7" s="36">
        <v>0.5</v>
      </c>
      <c r="AP7" s="36">
        <v>0.9</v>
      </c>
      <c r="AQ7" s="36">
        <v>2.0</v>
      </c>
      <c r="AR7" s="36">
        <v>2.0</v>
      </c>
      <c r="AS7" s="36">
        <v>6.0</v>
      </c>
      <c r="AT7" s="24">
        <v>6.0</v>
      </c>
      <c r="AU7" s="28">
        <f>SUM(AS7:AT7)+1</f>
        <v>13</v>
      </c>
      <c r="AV7" s="21">
        <f t="shared" ref="AV7:AW7" si="16">SUM(AS7)</f>
        <v>6</v>
      </c>
      <c r="AW7">
        <f t="shared" si="16"/>
        <v>6</v>
      </c>
      <c r="AX7">
        <f t="shared" si="7"/>
        <v>7</v>
      </c>
      <c r="AY7">
        <f t="shared" si="8"/>
        <v>6</v>
      </c>
      <c r="AZ7">
        <f t="shared" si="9"/>
        <v>6</v>
      </c>
      <c r="BA7">
        <f t="shared" si="10"/>
        <v>6</v>
      </c>
      <c r="BB7">
        <f t="shared" ref="BB7:BG7" si="17">SUM(AM7)</f>
        <v>1.8</v>
      </c>
      <c r="BC7">
        <f t="shared" si="17"/>
        <v>0.3</v>
      </c>
      <c r="BD7">
        <f t="shared" si="17"/>
        <v>0.5</v>
      </c>
      <c r="BE7">
        <f t="shared" si="17"/>
        <v>0.9</v>
      </c>
      <c r="BF7">
        <f t="shared" si="17"/>
        <v>2</v>
      </c>
      <c r="BG7">
        <f t="shared" si="17"/>
        <v>2</v>
      </c>
      <c r="BH7">
        <f t="shared" si="12"/>
        <v>13</v>
      </c>
      <c r="BI7" s="24">
        <v>3.0</v>
      </c>
      <c r="BJ7" s="50">
        <f t="shared" si="13"/>
        <v>60.5</v>
      </c>
      <c r="BK7" s="32">
        <v>2.0</v>
      </c>
    </row>
    <row r="8">
      <c r="A8" s="43">
        <v>466537.0</v>
      </c>
      <c r="B8" s="182" t="s">
        <v>302</v>
      </c>
      <c r="C8" s="24">
        <v>16400.0</v>
      </c>
      <c r="D8" s="25" t="s">
        <v>91</v>
      </c>
      <c r="E8" s="27" t="s">
        <v>91</v>
      </c>
      <c r="F8" s="27" t="s">
        <v>57</v>
      </c>
      <c r="G8" s="27" t="s">
        <v>84</v>
      </c>
      <c r="H8" s="27" t="s">
        <v>61</v>
      </c>
      <c r="I8" s="27" t="s">
        <v>91</v>
      </c>
      <c r="J8" s="27" t="s">
        <v>57</v>
      </c>
      <c r="K8" s="27" t="s">
        <v>158</v>
      </c>
      <c r="L8" s="27" t="s">
        <v>84</v>
      </c>
      <c r="M8" s="27" t="s">
        <v>91</v>
      </c>
      <c r="N8" s="27" t="s">
        <v>91</v>
      </c>
      <c r="O8" s="27" t="s">
        <v>57</v>
      </c>
      <c r="P8" s="27" t="s">
        <v>61</v>
      </c>
      <c r="Q8" s="27" t="s">
        <v>91</v>
      </c>
      <c r="R8" s="27" t="s">
        <v>57</v>
      </c>
      <c r="S8" s="27" t="s">
        <v>57</v>
      </c>
      <c r="T8" s="27"/>
      <c r="U8" s="27"/>
      <c r="V8" s="27"/>
      <c r="W8" s="142">
        <v>466537.0</v>
      </c>
      <c r="X8" s="36">
        <v>9.0</v>
      </c>
      <c r="Z8" s="91">
        <v>45930.0</v>
      </c>
      <c r="AA8" s="28">
        <v>321694.0</v>
      </c>
      <c r="AB8" s="36">
        <v>8.8</v>
      </c>
      <c r="AD8" s="91">
        <v>45951.0</v>
      </c>
      <c r="AE8" s="28">
        <v>321608.0</v>
      </c>
      <c r="AF8" s="36">
        <v>9.5</v>
      </c>
      <c r="AG8" s="36">
        <v>0.5</v>
      </c>
      <c r="AH8" s="91">
        <v>45993.0</v>
      </c>
      <c r="AI8" s="28">
        <v>311602.0</v>
      </c>
      <c r="AJ8" s="36">
        <v>9.5</v>
      </c>
      <c r="AK8" s="36">
        <v>2.0</v>
      </c>
      <c r="AL8" s="91">
        <v>46014.0</v>
      </c>
      <c r="AM8" s="28">
        <v>0.4</v>
      </c>
      <c r="AS8" s="36">
        <v>9.5</v>
      </c>
      <c r="AT8" s="24">
        <v>8.5</v>
      </c>
      <c r="AU8" s="28">
        <f t="shared" ref="AU8:AU9" si="20">SUM(AS8:AT8)</f>
        <v>18</v>
      </c>
      <c r="AV8" s="21">
        <f t="shared" ref="AV8:AW8" si="18">SUM(AS8)</f>
        <v>9.5</v>
      </c>
      <c r="AW8">
        <f t="shared" si="18"/>
        <v>8.5</v>
      </c>
      <c r="AX8">
        <f t="shared" si="7"/>
        <v>9</v>
      </c>
      <c r="AY8">
        <f t="shared" si="8"/>
        <v>8.8</v>
      </c>
      <c r="AZ8">
        <f t="shared" si="9"/>
        <v>10</v>
      </c>
      <c r="BA8">
        <f t="shared" si="10"/>
        <v>11.5</v>
      </c>
      <c r="BB8">
        <f t="shared" ref="BB8:BG8" si="19">SUM(AM8)</f>
        <v>0.4</v>
      </c>
      <c r="BC8">
        <f t="shared" si="19"/>
        <v>0</v>
      </c>
      <c r="BD8">
        <f t="shared" si="19"/>
        <v>0</v>
      </c>
      <c r="BE8">
        <f t="shared" si="19"/>
        <v>0</v>
      </c>
      <c r="BF8">
        <f t="shared" si="19"/>
        <v>0</v>
      </c>
      <c r="BG8">
        <f t="shared" si="19"/>
        <v>0</v>
      </c>
      <c r="BH8">
        <f t="shared" si="12"/>
        <v>18</v>
      </c>
      <c r="BI8" s="4"/>
      <c r="BJ8" s="50">
        <f t="shared" si="13"/>
        <v>75.7</v>
      </c>
      <c r="BK8" s="32">
        <v>1.0</v>
      </c>
    </row>
    <row r="9">
      <c r="A9" s="43">
        <v>467037.0</v>
      </c>
      <c r="B9" s="182" t="s">
        <v>303</v>
      </c>
      <c r="C9" s="36">
        <v>16500.0</v>
      </c>
      <c r="D9" s="25" t="s">
        <v>91</v>
      </c>
      <c r="E9" s="27" t="s">
        <v>57</v>
      </c>
      <c r="F9" s="27" t="s">
        <v>57</v>
      </c>
      <c r="G9" s="27" t="s">
        <v>84</v>
      </c>
      <c r="H9" s="27" t="s">
        <v>61</v>
      </c>
      <c r="I9" s="27" t="s">
        <v>158</v>
      </c>
      <c r="J9" s="27" t="s">
        <v>158</v>
      </c>
      <c r="K9" s="27" t="s">
        <v>61</v>
      </c>
      <c r="L9" s="27" t="s">
        <v>84</v>
      </c>
      <c r="M9" s="27" t="s">
        <v>57</v>
      </c>
      <c r="N9" s="27" t="s">
        <v>61</v>
      </c>
      <c r="O9" s="27" t="s">
        <v>61</v>
      </c>
      <c r="P9" s="27" t="s">
        <v>91</v>
      </c>
      <c r="Q9" s="27" t="s">
        <v>57</v>
      </c>
      <c r="R9" s="27" t="s">
        <v>57</v>
      </c>
      <c r="S9" s="27" t="s">
        <v>57</v>
      </c>
      <c r="T9" s="27"/>
      <c r="U9" s="27"/>
      <c r="V9" s="27"/>
      <c r="W9" s="138">
        <v>467037.0</v>
      </c>
      <c r="X9" s="36">
        <v>9.0</v>
      </c>
      <c r="Y9" s="36">
        <v>2.0</v>
      </c>
      <c r="Z9" s="183">
        <v>45930.0</v>
      </c>
      <c r="AA9" s="28">
        <v>321697.0</v>
      </c>
      <c r="AB9" s="36">
        <v>9.5</v>
      </c>
      <c r="AC9" s="36">
        <v>2.0</v>
      </c>
      <c r="AD9" s="183">
        <v>45951.0</v>
      </c>
      <c r="AE9" s="28">
        <v>321603.0</v>
      </c>
      <c r="AF9" s="36">
        <v>8.5</v>
      </c>
      <c r="AG9" s="36">
        <v>2.0</v>
      </c>
      <c r="AH9" s="183">
        <v>45986.0</v>
      </c>
      <c r="AI9" s="28">
        <v>321699.0</v>
      </c>
      <c r="AJ9" s="36">
        <v>9.0</v>
      </c>
      <c r="AK9" s="36">
        <v>2.0</v>
      </c>
      <c r="AL9" s="91">
        <v>46014.0</v>
      </c>
      <c r="AM9" s="28">
        <v>0.3</v>
      </c>
      <c r="AN9" s="36">
        <v>0.4</v>
      </c>
      <c r="AP9" s="36">
        <v>0.01</v>
      </c>
      <c r="AQ9" s="36">
        <v>1.2</v>
      </c>
      <c r="AR9" s="36">
        <v>0.67</v>
      </c>
      <c r="AS9" s="36">
        <v>6.5</v>
      </c>
      <c r="AT9" s="36">
        <v>7.25</v>
      </c>
      <c r="AU9" s="28">
        <f t="shared" si="20"/>
        <v>13.75</v>
      </c>
      <c r="AV9" s="21">
        <f t="shared" ref="AV9:AW9" si="21">SUM(AS9)</f>
        <v>6.5</v>
      </c>
      <c r="AW9">
        <f t="shared" si="21"/>
        <v>7.25</v>
      </c>
      <c r="AX9">
        <f t="shared" si="7"/>
        <v>11</v>
      </c>
      <c r="AY9">
        <f t="shared" si="8"/>
        <v>11.5</v>
      </c>
      <c r="AZ9">
        <f t="shared" si="9"/>
        <v>10.5</v>
      </c>
      <c r="BA9">
        <f t="shared" si="10"/>
        <v>11</v>
      </c>
      <c r="BB9">
        <f t="shared" ref="BB9:BG9" si="22">SUM(AM9)</f>
        <v>0.3</v>
      </c>
      <c r="BC9">
        <f t="shared" si="22"/>
        <v>0.4</v>
      </c>
      <c r="BD9">
        <f t="shared" si="22"/>
        <v>0</v>
      </c>
      <c r="BE9">
        <f t="shared" si="22"/>
        <v>0.01</v>
      </c>
      <c r="BF9">
        <f t="shared" si="22"/>
        <v>1.2</v>
      </c>
      <c r="BG9">
        <f t="shared" si="22"/>
        <v>0.67</v>
      </c>
      <c r="BH9">
        <f t="shared" si="12"/>
        <v>13.75</v>
      </c>
      <c r="BI9" s="4"/>
      <c r="BJ9" s="50">
        <f t="shared" si="13"/>
        <v>74.08</v>
      </c>
      <c r="BK9" s="32">
        <v>1.0</v>
      </c>
    </row>
    <row r="10">
      <c r="A10" s="43">
        <v>467072.0</v>
      </c>
      <c r="B10" s="182" t="s">
        <v>304</v>
      </c>
      <c r="C10" s="36">
        <v>16550.0</v>
      </c>
      <c r="D10" s="25" t="s">
        <v>91</v>
      </c>
      <c r="E10" s="27" t="s">
        <v>91</v>
      </c>
      <c r="F10" s="27" t="s">
        <v>91</v>
      </c>
      <c r="G10" s="27" t="s">
        <v>91</v>
      </c>
      <c r="H10" s="27" t="s">
        <v>91</v>
      </c>
      <c r="I10" s="27" t="s">
        <v>91</v>
      </c>
      <c r="J10" s="27" t="s">
        <v>57</v>
      </c>
      <c r="K10" s="27" t="s">
        <v>57</v>
      </c>
      <c r="L10" s="27" t="s">
        <v>84</v>
      </c>
      <c r="M10" s="27" t="s">
        <v>57</v>
      </c>
      <c r="N10" s="27" t="s">
        <v>91</v>
      </c>
      <c r="O10" s="27" t="s">
        <v>91</v>
      </c>
      <c r="P10" s="27" t="s">
        <v>84</v>
      </c>
      <c r="Q10" s="27" t="s">
        <v>57</v>
      </c>
      <c r="R10" s="27" t="s">
        <v>84</v>
      </c>
      <c r="S10" s="27" t="s">
        <v>57</v>
      </c>
      <c r="T10" s="27"/>
      <c r="U10" s="27"/>
      <c r="V10" s="27"/>
      <c r="W10" s="138">
        <v>467072.0</v>
      </c>
      <c r="X10" s="36">
        <v>7.0</v>
      </c>
      <c r="Z10" s="183">
        <v>45951.0</v>
      </c>
      <c r="AA10" s="28">
        <v>321611.0</v>
      </c>
      <c r="AB10" s="36">
        <v>7.9</v>
      </c>
      <c r="AD10" s="36">
        <v>11.11</v>
      </c>
      <c r="AE10" s="28">
        <v>321675.0</v>
      </c>
      <c r="AF10" s="36">
        <v>8.0</v>
      </c>
      <c r="AH10" s="183">
        <v>45986.0</v>
      </c>
      <c r="AI10" s="28">
        <v>3216987.0</v>
      </c>
      <c r="AJ10" s="51">
        <v>6.5</v>
      </c>
      <c r="AL10" s="183">
        <v>46073.0</v>
      </c>
      <c r="AM10" s="28"/>
      <c r="AS10" s="36">
        <v>6.0</v>
      </c>
      <c r="AT10" s="36">
        <v>6.0</v>
      </c>
      <c r="AU10" s="28">
        <f>SUM(AS10:AT10)+4</f>
        <v>16</v>
      </c>
      <c r="AV10" s="21">
        <f t="shared" ref="AV10:AW10" si="23">SUM(AS10)</f>
        <v>6</v>
      </c>
      <c r="AW10">
        <f t="shared" si="23"/>
        <v>6</v>
      </c>
      <c r="AX10">
        <f t="shared" si="7"/>
        <v>7</v>
      </c>
      <c r="AY10">
        <f t="shared" si="8"/>
        <v>7.9</v>
      </c>
      <c r="AZ10">
        <f t="shared" si="9"/>
        <v>8</v>
      </c>
      <c r="BA10">
        <f t="shared" si="10"/>
        <v>6.5</v>
      </c>
      <c r="BB10">
        <f t="shared" ref="BB10:BG10" si="24">SUM(AM10)</f>
        <v>0</v>
      </c>
      <c r="BC10">
        <f t="shared" si="24"/>
        <v>0</v>
      </c>
      <c r="BD10">
        <f t="shared" si="24"/>
        <v>0</v>
      </c>
      <c r="BE10">
        <f t="shared" si="24"/>
        <v>0</v>
      </c>
      <c r="BF10">
        <f t="shared" si="24"/>
        <v>0</v>
      </c>
      <c r="BG10">
        <f t="shared" si="24"/>
        <v>0</v>
      </c>
      <c r="BH10">
        <f t="shared" si="12"/>
        <v>16</v>
      </c>
      <c r="BI10" s="24">
        <v>3.0</v>
      </c>
      <c r="BJ10" s="50">
        <f t="shared" si="13"/>
        <v>60.4</v>
      </c>
      <c r="BK10" s="32">
        <v>2.0</v>
      </c>
    </row>
    <row r="11">
      <c r="A11" s="43">
        <v>407893.0</v>
      </c>
      <c r="B11" s="182" t="s">
        <v>305</v>
      </c>
      <c r="C11" s="36">
        <v>16600.0</v>
      </c>
      <c r="D11" s="25" t="s">
        <v>91</v>
      </c>
      <c r="E11" s="27" t="s">
        <v>84</v>
      </c>
      <c r="F11" s="27" t="s">
        <v>57</v>
      </c>
      <c r="G11" s="27" t="s">
        <v>57</v>
      </c>
      <c r="H11" s="27" t="s">
        <v>91</v>
      </c>
      <c r="I11" s="27" t="s">
        <v>57</v>
      </c>
      <c r="J11" s="27" t="s">
        <v>91</v>
      </c>
      <c r="K11" s="27" t="s">
        <v>57</v>
      </c>
      <c r="L11" s="27" t="s">
        <v>84</v>
      </c>
      <c r="M11" s="27" t="s">
        <v>57</v>
      </c>
      <c r="N11" s="27" t="s">
        <v>91</v>
      </c>
      <c r="O11" s="27" t="s">
        <v>91</v>
      </c>
      <c r="P11" s="27" t="s">
        <v>91</v>
      </c>
      <c r="Q11" s="27" t="s">
        <v>84</v>
      </c>
      <c r="R11" s="27" t="s">
        <v>84</v>
      </c>
      <c r="S11" s="27" t="s">
        <v>57</v>
      </c>
      <c r="T11" s="27"/>
      <c r="U11" s="27"/>
      <c r="V11" s="27"/>
      <c r="W11" s="138">
        <v>407893.0</v>
      </c>
      <c r="X11" s="36">
        <v>8.5</v>
      </c>
      <c r="Y11" s="36">
        <v>2.0</v>
      </c>
      <c r="Z11" s="183">
        <v>45923.0</v>
      </c>
      <c r="AA11" s="28">
        <v>321690.0</v>
      </c>
      <c r="AB11" s="36">
        <v>9.0</v>
      </c>
      <c r="AC11" s="36">
        <v>2.0</v>
      </c>
      <c r="AD11" s="91">
        <v>45937.0</v>
      </c>
      <c r="AE11" s="28">
        <v>321600.0</v>
      </c>
      <c r="AF11" s="36">
        <v>9.5</v>
      </c>
      <c r="AG11" s="36">
        <v>1.2</v>
      </c>
      <c r="AH11" s="36">
        <v>11.11</v>
      </c>
      <c r="AI11" s="28">
        <v>321600.0</v>
      </c>
      <c r="AJ11" s="36">
        <v>9.1</v>
      </c>
      <c r="AL11" s="91">
        <v>46014.0</v>
      </c>
      <c r="AM11" s="28">
        <v>0.3</v>
      </c>
      <c r="AN11" s="36">
        <v>1.1</v>
      </c>
      <c r="AP11" s="36">
        <v>0.7</v>
      </c>
      <c r="AQ11" s="36">
        <v>1.6</v>
      </c>
      <c r="AR11" s="36">
        <v>0.01</v>
      </c>
      <c r="AS11" s="36">
        <v>6.0</v>
      </c>
      <c r="AT11" s="36">
        <v>8.5</v>
      </c>
      <c r="AU11" s="28">
        <f t="shared" ref="AU11:AU14" si="27">SUM(AS11:AT11)</f>
        <v>14.5</v>
      </c>
      <c r="AV11" s="21">
        <f t="shared" ref="AV11:AW11" si="25">SUM(AS11)</f>
        <v>6</v>
      </c>
      <c r="AW11">
        <f t="shared" si="25"/>
        <v>8.5</v>
      </c>
      <c r="AX11">
        <f t="shared" si="7"/>
        <v>10.5</v>
      </c>
      <c r="AY11">
        <f t="shared" si="8"/>
        <v>11</v>
      </c>
      <c r="AZ11">
        <f t="shared" si="9"/>
        <v>10.7</v>
      </c>
      <c r="BA11">
        <f t="shared" si="10"/>
        <v>9.1</v>
      </c>
      <c r="BB11">
        <f t="shared" ref="BB11:BG11" si="26">SUM(AM11)</f>
        <v>0.3</v>
      </c>
      <c r="BC11">
        <f t="shared" si="26"/>
        <v>1.1</v>
      </c>
      <c r="BD11">
        <f t="shared" si="26"/>
        <v>0</v>
      </c>
      <c r="BE11">
        <f t="shared" si="26"/>
        <v>0.7</v>
      </c>
      <c r="BF11">
        <f t="shared" si="26"/>
        <v>1.6</v>
      </c>
      <c r="BG11">
        <f t="shared" si="26"/>
        <v>0.01</v>
      </c>
      <c r="BH11">
        <f t="shared" si="12"/>
        <v>14.5</v>
      </c>
      <c r="BI11" s="4"/>
      <c r="BJ11" s="50">
        <f t="shared" si="13"/>
        <v>74.01</v>
      </c>
      <c r="BK11" s="32">
        <v>1.0</v>
      </c>
    </row>
    <row r="12">
      <c r="A12" s="43">
        <v>409529.0</v>
      </c>
      <c r="B12" s="182" t="s">
        <v>306</v>
      </c>
      <c r="C12" s="24">
        <v>16700.0</v>
      </c>
      <c r="D12" s="25" t="s">
        <v>91</v>
      </c>
      <c r="E12" s="27" t="s">
        <v>84</v>
      </c>
      <c r="F12" s="27" t="s">
        <v>91</v>
      </c>
      <c r="G12" s="27" t="s">
        <v>91</v>
      </c>
      <c r="H12" s="27" t="s">
        <v>91</v>
      </c>
      <c r="I12" s="27" t="s">
        <v>57</v>
      </c>
      <c r="J12" s="27" t="s">
        <v>57</v>
      </c>
      <c r="K12" s="27" t="s">
        <v>57</v>
      </c>
      <c r="L12" s="27" t="s">
        <v>84</v>
      </c>
      <c r="M12" s="27" t="s">
        <v>84</v>
      </c>
      <c r="N12" s="27" t="s">
        <v>91</v>
      </c>
      <c r="O12" s="27" t="s">
        <v>84</v>
      </c>
      <c r="P12" s="27"/>
      <c r="Q12" s="27" t="s">
        <v>91</v>
      </c>
      <c r="R12" s="27" t="s">
        <v>84</v>
      </c>
      <c r="S12" s="27" t="s">
        <v>57</v>
      </c>
      <c r="T12" s="27"/>
      <c r="U12" s="27"/>
      <c r="V12" s="27"/>
      <c r="W12" s="138">
        <v>409529.0</v>
      </c>
      <c r="X12" s="36">
        <v>8.0</v>
      </c>
      <c r="Z12" s="183">
        <v>45951.0</v>
      </c>
      <c r="AA12" s="28">
        <v>321680.0</v>
      </c>
      <c r="AB12" s="36">
        <v>7.8</v>
      </c>
      <c r="AD12" s="91">
        <v>46014.0</v>
      </c>
      <c r="AE12" s="28">
        <v>3216004.0</v>
      </c>
      <c r="AF12" s="36">
        <v>6.0</v>
      </c>
      <c r="AH12" s="91">
        <v>46114.0</v>
      </c>
      <c r="AI12" s="28">
        <v>3216967.0</v>
      </c>
      <c r="AJ12" s="36">
        <v>6.0</v>
      </c>
      <c r="AL12" s="91">
        <v>46066.0</v>
      </c>
      <c r="AM12" s="28"/>
      <c r="AP12" s="36">
        <v>0.1</v>
      </c>
      <c r="AQ12" s="36">
        <v>2.0</v>
      </c>
      <c r="AS12" s="36">
        <v>6.0</v>
      </c>
      <c r="AT12" s="24">
        <v>8.0</v>
      </c>
      <c r="AU12" s="28">
        <f t="shared" si="27"/>
        <v>14</v>
      </c>
      <c r="AV12" s="21">
        <f t="shared" ref="AV12:AW12" si="28">SUM(AS12)</f>
        <v>6</v>
      </c>
      <c r="AW12">
        <f t="shared" si="28"/>
        <v>8</v>
      </c>
      <c r="AX12">
        <f t="shared" si="7"/>
        <v>8</v>
      </c>
      <c r="AY12">
        <f t="shared" si="8"/>
        <v>7.8</v>
      </c>
      <c r="AZ12">
        <f t="shared" si="9"/>
        <v>6</v>
      </c>
      <c r="BA12">
        <f t="shared" si="10"/>
        <v>6</v>
      </c>
      <c r="BB12">
        <f t="shared" ref="BB12:BG12" si="29">SUM(AM12)</f>
        <v>0</v>
      </c>
      <c r="BC12">
        <f t="shared" si="29"/>
        <v>0</v>
      </c>
      <c r="BD12">
        <f t="shared" si="29"/>
        <v>0</v>
      </c>
      <c r="BE12">
        <f t="shared" si="29"/>
        <v>0.1</v>
      </c>
      <c r="BF12">
        <f t="shared" si="29"/>
        <v>2</v>
      </c>
      <c r="BG12">
        <f t="shared" si="29"/>
        <v>0</v>
      </c>
      <c r="BH12">
        <f t="shared" si="12"/>
        <v>14</v>
      </c>
      <c r="BI12" s="24">
        <v>3.0</v>
      </c>
      <c r="BJ12" s="50">
        <f t="shared" si="13"/>
        <v>60.9</v>
      </c>
      <c r="BK12" s="32">
        <v>2.0</v>
      </c>
    </row>
    <row r="13">
      <c r="A13" s="43">
        <v>467434.0</v>
      </c>
      <c r="B13" s="182" t="s">
        <v>307</v>
      </c>
      <c r="C13" s="24">
        <v>16800.0</v>
      </c>
      <c r="D13" s="25" t="s">
        <v>91</v>
      </c>
      <c r="E13" s="27" t="s">
        <v>57</v>
      </c>
      <c r="F13" s="27" t="s">
        <v>84</v>
      </c>
      <c r="G13" s="27" t="s">
        <v>84</v>
      </c>
      <c r="H13" s="27" t="s">
        <v>57</v>
      </c>
      <c r="I13" s="27" t="s">
        <v>91</v>
      </c>
      <c r="J13" s="27" t="s">
        <v>91</v>
      </c>
      <c r="K13" s="27" t="s">
        <v>57</v>
      </c>
      <c r="L13" s="27" t="s">
        <v>84</v>
      </c>
      <c r="M13" s="27" t="s">
        <v>84</v>
      </c>
      <c r="N13" s="27" t="s">
        <v>91</v>
      </c>
      <c r="O13" s="27" t="s">
        <v>91</v>
      </c>
      <c r="P13" s="27" t="s">
        <v>91</v>
      </c>
      <c r="Q13" s="27" t="s">
        <v>84</v>
      </c>
      <c r="R13" s="27" t="s">
        <v>84</v>
      </c>
      <c r="S13" s="27" t="s">
        <v>91</v>
      </c>
      <c r="T13" s="27"/>
      <c r="U13" s="27"/>
      <c r="V13" s="27"/>
      <c r="W13" s="138">
        <v>467434.0</v>
      </c>
      <c r="X13" s="36">
        <v>9.0</v>
      </c>
      <c r="Y13" s="36">
        <v>2.0</v>
      </c>
      <c r="Z13" s="91">
        <v>45916.0</v>
      </c>
      <c r="AA13" s="28">
        <v>321698.0</v>
      </c>
      <c r="AB13" s="36">
        <v>9.5</v>
      </c>
      <c r="AC13" s="36">
        <v>2.0</v>
      </c>
      <c r="AD13" s="91">
        <v>45930.0</v>
      </c>
      <c r="AE13" s="28">
        <v>321604.0</v>
      </c>
      <c r="AF13" s="36">
        <v>9.0</v>
      </c>
      <c r="AG13" s="36">
        <v>1.0</v>
      </c>
      <c r="AH13" s="24">
        <v>11.11</v>
      </c>
      <c r="AI13" s="28">
        <v>321602.0</v>
      </c>
      <c r="AJ13" s="51">
        <v>8.8</v>
      </c>
      <c r="AL13" s="91">
        <v>46007.0</v>
      </c>
      <c r="AM13" s="28">
        <v>0.7</v>
      </c>
      <c r="AP13" s="36">
        <v>0.7</v>
      </c>
      <c r="AQ13" s="36">
        <v>1.6</v>
      </c>
      <c r="AR13" s="36">
        <v>0.01</v>
      </c>
      <c r="AS13" s="36">
        <v>6.0</v>
      </c>
      <c r="AT13" s="24">
        <v>6.0</v>
      </c>
      <c r="AU13" s="28">
        <f t="shared" si="27"/>
        <v>12</v>
      </c>
      <c r="AV13" s="21">
        <f t="shared" ref="AV13:AW13" si="30">SUM(AS13)</f>
        <v>6</v>
      </c>
      <c r="AW13">
        <f t="shared" si="30"/>
        <v>6</v>
      </c>
      <c r="AX13">
        <f t="shared" si="7"/>
        <v>11</v>
      </c>
      <c r="AY13">
        <f t="shared" si="8"/>
        <v>11.5</v>
      </c>
      <c r="AZ13">
        <f t="shared" si="9"/>
        <v>10</v>
      </c>
      <c r="BA13">
        <f t="shared" si="10"/>
        <v>8.8</v>
      </c>
      <c r="BB13">
        <f t="shared" ref="BB13:BG13" si="31">SUM(AM13)</f>
        <v>0.7</v>
      </c>
      <c r="BC13">
        <f t="shared" si="31"/>
        <v>0</v>
      </c>
      <c r="BD13">
        <f t="shared" si="31"/>
        <v>0</v>
      </c>
      <c r="BE13">
        <f t="shared" si="31"/>
        <v>0.7</v>
      </c>
      <c r="BF13">
        <f t="shared" si="31"/>
        <v>1.6</v>
      </c>
      <c r="BG13">
        <f t="shared" si="31"/>
        <v>0.01</v>
      </c>
      <c r="BH13">
        <f t="shared" si="12"/>
        <v>12</v>
      </c>
      <c r="BI13" s="4"/>
      <c r="BJ13" s="50">
        <f t="shared" si="13"/>
        <v>68.31</v>
      </c>
      <c r="BK13" s="32">
        <v>1.0</v>
      </c>
    </row>
    <row r="14">
      <c r="A14" s="43">
        <v>467604.0</v>
      </c>
      <c r="B14" s="182" t="s">
        <v>308</v>
      </c>
      <c r="C14" s="36">
        <v>16850.0</v>
      </c>
      <c r="D14" s="25" t="s">
        <v>91</v>
      </c>
      <c r="E14" s="27" t="s">
        <v>91</v>
      </c>
      <c r="F14" s="27" t="s">
        <v>91</v>
      </c>
      <c r="G14" s="27" t="s">
        <v>57</v>
      </c>
      <c r="H14" s="27" t="s">
        <v>57</v>
      </c>
      <c r="I14" s="27" t="s">
        <v>91</v>
      </c>
      <c r="J14" s="27" t="s">
        <v>91</v>
      </c>
      <c r="K14" s="27" t="s">
        <v>57</v>
      </c>
      <c r="L14" s="27" t="s">
        <v>84</v>
      </c>
      <c r="M14" s="27" t="s">
        <v>91</v>
      </c>
      <c r="N14" s="27" t="s">
        <v>61</v>
      </c>
      <c r="O14" s="27" t="s">
        <v>84</v>
      </c>
      <c r="P14" s="27" t="s">
        <v>57</v>
      </c>
      <c r="Q14" s="27" t="s">
        <v>91</v>
      </c>
      <c r="R14" s="27" t="s">
        <v>84</v>
      </c>
      <c r="S14" s="27" t="s">
        <v>57</v>
      </c>
      <c r="T14" s="27"/>
      <c r="U14" s="27"/>
      <c r="V14" s="27"/>
      <c r="W14" s="138">
        <v>467604.0</v>
      </c>
      <c r="X14" s="36">
        <v>8.0</v>
      </c>
      <c r="Z14" s="91">
        <v>45930.0</v>
      </c>
      <c r="AA14" s="28">
        <v>321609.0</v>
      </c>
      <c r="AB14" s="36">
        <v>8.5</v>
      </c>
      <c r="AD14" s="91">
        <v>45958.0</v>
      </c>
      <c r="AE14" s="28">
        <v>321677.0</v>
      </c>
      <c r="AF14" s="36">
        <v>7.7</v>
      </c>
      <c r="AH14" s="91">
        <v>45993.0</v>
      </c>
      <c r="AI14" s="28">
        <v>3.2160099E7</v>
      </c>
      <c r="AJ14" s="51">
        <v>8.0</v>
      </c>
      <c r="AL14" s="91">
        <v>46014.0</v>
      </c>
      <c r="AM14" s="21"/>
      <c r="AS14" s="36">
        <v>6.0</v>
      </c>
      <c r="AT14" s="24">
        <v>7.75</v>
      </c>
      <c r="AU14" s="28">
        <f t="shared" si="27"/>
        <v>13.75</v>
      </c>
      <c r="AV14" s="21">
        <f t="shared" ref="AV14:AW14" si="32">SUM(AS14)</f>
        <v>6</v>
      </c>
      <c r="AW14">
        <f t="shared" si="32"/>
        <v>7.75</v>
      </c>
      <c r="AX14">
        <f t="shared" si="7"/>
        <v>8</v>
      </c>
      <c r="AY14">
        <f t="shared" si="8"/>
        <v>8.5</v>
      </c>
      <c r="AZ14">
        <f t="shared" si="9"/>
        <v>7.7</v>
      </c>
      <c r="BA14">
        <f t="shared" si="10"/>
        <v>8</v>
      </c>
      <c r="BB14">
        <f t="shared" ref="BB14:BG14" si="33">SUM(AM14)</f>
        <v>0</v>
      </c>
      <c r="BC14">
        <f t="shared" si="33"/>
        <v>0</v>
      </c>
      <c r="BD14">
        <f t="shared" si="33"/>
        <v>0</v>
      </c>
      <c r="BE14">
        <f t="shared" si="33"/>
        <v>0</v>
      </c>
      <c r="BF14">
        <f t="shared" si="33"/>
        <v>0</v>
      </c>
      <c r="BG14">
        <f t="shared" si="33"/>
        <v>0</v>
      </c>
      <c r="BH14">
        <f t="shared" si="12"/>
        <v>13.75</v>
      </c>
      <c r="BI14" s="24">
        <v>1.0</v>
      </c>
      <c r="BJ14" s="50">
        <f t="shared" si="13"/>
        <v>60.7</v>
      </c>
      <c r="BK14" s="32">
        <v>1.0</v>
      </c>
    </row>
    <row r="15">
      <c r="A15" s="43">
        <v>467979.0</v>
      </c>
      <c r="B15" s="55" t="s">
        <v>309</v>
      </c>
      <c r="C15" s="36">
        <v>16900.0</v>
      </c>
      <c r="D15" s="25" t="s">
        <v>91</v>
      </c>
      <c r="E15" s="27" t="s">
        <v>91</v>
      </c>
      <c r="F15" s="27" t="s">
        <v>91</v>
      </c>
      <c r="G15" s="27" t="s">
        <v>91</v>
      </c>
      <c r="H15" s="27" t="s">
        <v>91</v>
      </c>
      <c r="I15" s="27" t="s">
        <v>91</v>
      </c>
      <c r="J15" s="27"/>
      <c r="K15" s="27" t="s">
        <v>91</v>
      </c>
      <c r="L15" s="27" t="s">
        <v>57</v>
      </c>
      <c r="M15" s="27" t="s">
        <v>57</v>
      </c>
      <c r="N15" s="27" t="s">
        <v>61</v>
      </c>
      <c r="O15" s="27" t="s">
        <v>91</v>
      </c>
      <c r="P15" s="27" t="s">
        <v>57</v>
      </c>
      <c r="Q15" s="27" t="s">
        <v>57</v>
      </c>
      <c r="R15" s="27" t="s">
        <v>84</v>
      </c>
      <c r="S15" s="27" t="s">
        <v>84</v>
      </c>
      <c r="T15" s="27"/>
      <c r="U15" s="27"/>
      <c r="V15" s="27"/>
      <c r="W15" s="138">
        <v>467979.0</v>
      </c>
      <c r="X15" s="36">
        <v>6.0</v>
      </c>
      <c r="Z15" s="91">
        <v>46000.0</v>
      </c>
      <c r="AA15" s="28">
        <v>321688.0</v>
      </c>
      <c r="AB15" s="36">
        <v>6.0</v>
      </c>
      <c r="AD15" s="91">
        <v>46063.0</v>
      </c>
      <c r="AE15" s="28">
        <v>311602.0</v>
      </c>
      <c r="AH15" s="184"/>
      <c r="AI15" s="21"/>
      <c r="AJ15" s="185"/>
      <c r="AL15" s="184"/>
      <c r="AM15" s="21"/>
      <c r="AQ15" s="36">
        <v>0.01</v>
      </c>
      <c r="AR15" s="36">
        <v>0.4</v>
      </c>
      <c r="AS15" s="36">
        <v>0.01</v>
      </c>
      <c r="AT15" s="24">
        <v>6.0</v>
      </c>
      <c r="AU15" s="28"/>
      <c r="AV15" s="21">
        <f t="shared" ref="AV15:AW15" si="34">SUM(AS15)</f>
        <v>0.01</v>
      </c>
      <c r="AW15">
        <f t="shared" si="34"/>
        <v>6</v>
      </c>
      <c r="AX15">
        <f t="shared" si="7"/>
        <v>6</v>
      </c>
      <c r="AY15">
        <f t="shared" si="8"/>
        <v>6</v>
      </c>
      <c r="AZ15">
        <f t="shared" si="9"/>
        <v>0</v>
      </c>
      <c r="BA15">
        <f t="shared" si="10"/>
        <v>0</v>
      </c>
      <c r="BB15">
        <f t="shared" ref="BB15:BG15" si="35">SUM(AM15)</f>
        <v>0</v>
      </c>
      <c r="BC15">
        <f t="shared" si="35"/>
        <v>0</v>
      </c>
      <c r="BD15">
        <f t="shared" si="35"/>
        <v>0</v>
      </c>
      <c r="BE15">
        <f t="shared" si="35"/>
        <v>0</v>
      </c>
      <c r="BF15">
        <f t="shared" si="35"/>
        <v>0.01</v>
      </c>
      <c r="BG15">
        <f t="shared" si="35"/>
        <v>0.4</v>
      </c>
      <c r="BH15">
        <f t="shared" si="12"/>
        <v>0</v>
      </c>
      <c r="BI15" s="4"/>
      <c r="BJ15" s="50">
        <f t="shared" si="13"/>
        <v>18.42</v>
      </c>
      <c r="BK15" s="32"/>
    </row>
    <row r="16">
      <c r="A16" s="43">
        <v>407960.0</v>
      </c>
      <c r="B16" s="182" t="s">
        <v>310</v>
      </c>
      <c r="C16" s="36">
        <v>16950.0</v>
      </c>
      <c r="D16" s="25" t="s">
        <v>84</v>
      </c>
      <c r="E16" s="27" t="s">
        <v>91</v>
      </c>
      <c r="F16" s="27" t="s">
        <v>91</v>
      </c>
      <c r="G16" s="27" t="s">
        <v>91</v>
      </c>
      <c r="H16" s="27" t="s">
        <v>57</v>
      </c>
      <c r="I16" s="27" t="s">
        <v>57</v>
      </c>
      <c r="J16" s="27" t="s">
        <v>61</v>
      </c>
      <c r="K16" s="27" t="s">
        <v>57</v>
      </c>
      <c r="L16" s="27" t="s">
        <v>91</v>
      </c>
      <c r="M16" s="27" t="s">
        <v>91</v>
      </c>
      <c r="N16" s="27" t="s">
        <v>61</v>
      </c>
      <c r="O16" s="27" t="s">
        <v>57</v>
      </c>
      <c r="P16" s="27" t="s">
        <v>57</v>
      </c>
      <c r="Q16" s="27" t="s">
        <v>91</v>
      </c>
      <c r="R16" s="27" t="s">
        <v>84</v>
      </c>
      <c r="S16" s="27" t="s">
        <v>57</v>
      </c>
      <c r="T16" s="27"/>
      <c r="U16" s="27"/>
      <c r="V16" s="27"/>
      <c r="W16" s="138">
        <v>407960.0</v>
      </c>
      <c r="X16" s="36">
        <v>8.0</v>
      </c>
      <c r="Z16" s="91">
        <v>45951.0</v>
      </c>
      <c r="AA16" s="28">
        <v>321610.0</v>
      </c>
      <c r="AB16" s="36">
        <v>8.0</v>
      </c>
      <c r="AD16" s="91">
        <v>45993.0</v>
      </c>
      <c r="AE16" s="28">
        <v>321667.0</v>
      </c>
      <c r="AF16" s="36">
        <v>6.0</v>
      </c>
      <c r="AH16" s="91">
        <v>46057.0</v>
      </c>
      <c r="AI16" s="28">
        <v>32165.0</v>
      </c>
      <c r="AJ16" s="51">
        <v>6.0</v>
      </c>
      <c r="AL16" s="91">
        <v>46066.0</v>
      </c>
      <c r="AM16" s="21"/>
      <c r="AS16" s="36">
        <v>6.0</v>
      </c>
      <c r="AT16" s="24">
        <v>6.0</v>
      </c>
      <c r="AU16" s="28">
        <f>SUM(AS16:AT16)+5</f>
        <v>17</v>
      </c>
      <c r="AV16" s="21">
        <f t="shared" ref="AV16:AW16" si="36">SUM(AS16)</f>
        <v>6</v>
      </c>
      <c r="AW16">
        <f t="shared" si="36"/>
        <v>6</v>
      </c>
      <c r="AX16">
        <f t="shared" si="7"/>
        <v>8</v>
      </c>
      <c r="AY16">
        <f t="shared" si="8"/>
        <v>8</v>
      </c>
      <c r="AZ16">
        <f t="shared" si="9"/>
        <v>6</v>
      </c>
      <c r="BA16">
        <f t="shared" si="10"/>
        <v>6</v>
      </c>
      <c r="BB16">
        <f t="shared" ref="BB16:BG16" si="37">SUM(AM16)</f>
        <v>0</v>
      </c>
      <c r="BC16">
        <f t="shared" si="37"/>
        <v>0</v>
      </c>
      <c r="BD16">
        <f t="shared" si="37"/>
        <v>0</v>
      </c>
      <c r="BE16">
        <f t="shared" si="37"/>
        <v>0</v>
      </c>
      <c r="BF16">
        <f t="shared" si="37"/>
        <v>0</v>
      </c>
      <c r="BG16">
        <f t="shared" si="37"/>
        <v>0</v>
      </c>
      <c r="BH16">
        <f t="shared" si="12"/>
        <v>17</v>
      </c>
      <c r="BI16" s="24">
        <v>3.0</v>
      </c>
      <c r="BJ16" s="50">
        <f t="shared" si="13"/>
        <v>60</v>
      </c>
      <c r="BK16" s="32">
        <v>2.0</v>
      </c>
    </row>
    <row r="17">
      <c r="A17" s="43">
        <v>468045.0</v>
      </c>
      <c r="B17" s="182" t="s">
        <v>311</v>
      </c>
      <c r="C17" s="36">
        <v>17950.0</v>
      </c>
      <c r="D17" s="25" t="s">
        <v>91</v>
      </c>
      <c r="E17" s="27" t="s">
        <v>91</v>
      </c>
      <c r="F17" s="27" t="s">
        <v>57</v>
      </c>
      <c r="G17" s="27" t="s">
        <v>57</v>
      </c>
      <c r="H17" s="27" t="s">
        <v>57</v>
      </c>
      <c r="I17" s="27" t="s">
        <v>61</v>
      </c>
      <c r="J17" s="27" t="s">
        <v>91</v>
      </c>
      <c r="K17" s="27" t="s">
        <v>61</v>
      </c>
      <c r="L17" s="27" t="s">
        <v>84</v>
      </c>
      <c r="M17" s="27" t="s">
        <v>91</v>
      </c>
      <c r="N17" s="27" t="s">
        <v>91</v>
      </c>
      <c r="O17" s="27" t="s">
        <v>57</v>
      </c>
      <c r="P17" s="27" t="s">
        <v>61</v>
      </c>
      <c r="Q17" s="27" t="s">
        <v>57</v>
      </c>
      <c r="R17" s="27" t="s">
        <v>84</v>
      </c>
      <c r="S17" s="27" t="s">
        <v>57</v>
      </c>
      <c r="T17" s="27"/>
      <c r="U17" s="27"/>
      <c r="V17" s="27"/>
      <c r="W17" s="138">
        <v>468045.0</v>
      </c>
      <c r="X17" s="36">
        <v>9.2</v>
      </c>
      <c r="Z17" s="91">
        <v>45937.0</v>
      </c>
      <c r="AA17" s="28">
        <v>321661.0</v>
      </c>
      <c r="AB17" s="36">
        <v>8.8</v>
      </c>
      <c r="AD17" s="183">
        <v>45951.0</v>
      </c>
      <c r="AE17" s="28">
        <v>321611.0</v>
      </c>
      <c r="AF17" s="36">
        <v>8.8</v>
      </c>
      <c r="AH17" s="91">
        <v>46000.0</v>
      </c>
      <c r="AI17" s="28">
        <v>321675.0</v>
      </c>
      <c r="AJ17" s="51">
        <v>8.0</v>
      </c>
      <c r="AL17" s="91">
        <v>46014.0</v>
      </c>
      <c r="AM17" s="28">
        <v>0.4</v>
      </c>
      <c r="AN17" s="36">
        <v>1.3</v>
      </c>
      <c r="AQ17" s="36">
        <v>1.6</v>
      </c>
      <c r="AR17" s="36">
        <v>0.01</v>
      </c>
      <c r="AS17" s="36">
        <v>6.0</v>
      </c>
      <c r="AT17" s="24">
        <v>6.0</v>
      </c>
      <c r="AU17" s="28">
        <f>SUM(AS17:AT17)</f>
        <v>12</v>
      </c>
      <c r="AV17" s="21">
        <f t="shared" ref="AV17:AW17" si="38">SUM(AS17)</f>
        <v>6</v>
      </c>
      <c r="AW17">
        <f t="shared" si="38"/>
        <v>6</v>
      </c>
      <c r="AX17">
        <f t="shared" si="7"/>
        <v>9.2</v>
      </c>
      <c r="AY17">
        <f t="shared" si="8"/>
        <v>8.8</v>
      </c>
      <c r="AZ17">
        <f t="shared" si="9"/>
        <v>8.8</v>
      </c>
      <c r="BA17">
        <f t="shared" si="10"/>
        <v>8</v>
      </c>
      <c r="BB17">
        <f t="shared" ref="BB17:BG17" si="39">SUM(AM17)</f>
        <v>0.4</v>
      </c>
      <c r="BC17">
        <f t="shared" si="39"/>
        <v>1.3</v>
      </c>
      <c r="BD17">
        <f t="shared" si="39"/>
        <v>0</v>
      </c>
      <c r="BE17">
        <f t="shared" si="39"/>
        <v>0</v>
      </c>
      <c r="BF17">
        <f t="shared" si="39"/>
        <v>1.6</v>
      </c>
      <c r="BG17">
        <f t="shared" si="39"/>
        <v>0.01</v>
      </c>
      <c r="BH17">
        <f t="shared" si="12"/>
        <v>12</v>
      </c>
      <c r="BI17" s="4"/>
      <c r="BJ17" s="50">
        <f t="shared" si="13"/>
        <v>62.11</v>
      </c>
      <c r="BK17" s="32">
        <v>1.0</v>
      </c>
    </row>
    <row r="18">
      <c r="A18" s="43"/>
      <c r="B18" s="55"/>
      <c r="C18" s="36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43"/>
      <c r="X18" s="36"/>
      <c r="Z18" s="183"/>
      <c r="AA18" s="36"/>
      <c r="AB18" s="36"/>
      <c r="AD18" s="183"/>
      <c r="AE18" s="36"/>
      <c r="AF18" s="36"/>
      <c r="AH18" s="183"/>
      <c r="AI18" s="36"/>
      <c r="AJ18" s="186"/>
      <c r="AL18" s="187"/>
      <c r="AM18" s="36"/>
      <c r="AN18" s="36"/>
      <c r="AQ18" s="36"/>
      <c r="AR18" s="36"/>
      <c r="AS18" s="36"/>
      <c r="AT18" s="36"/>
      <c r="AU18" s="36"/>
      <c r="BJ18" s="39"/>
      <c r="BK18" s="32"/>
    </row>
    <row r="19">
      <c r="A19" s="43"/>
      <c r="B19" s="55"/>
      <c r="C19" s="3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43"/>
      <c r="X19" s="36"/>
      <c r="Z19" s="183"/>
      <c r="AA19" s="36"/>
      <c r="AB19" s="36"/>
      <c r="AD19" s="183"/>
      <c r="AE19" s="36"/>
      <c r="AF19" s="36"/>
      <c r="AH19" s="183"/>
      <c r="AI19" s="36"/>
      <c r="AJ19" s="186"/>
      <c r="AL19" s="187"/>
      <c r="AM19" s="36"/>
      <c r="AN19" s="36"/>
      <c r="AQ19" s="36"/>
      <c r="AR19" s="36"/>
      <c r="AS19" s="36">
        <f t="shared" ref="AS19:AT19" si="40">COUNTA($B$4:$B$17)-COUNTIF(AS4:AS17,"&gt;=6")</f>
        <v>1</v>
      </c>
      <c r="AT19" s="36">
        <f t="shared" si="40"/>
        <v>0</v>
      </c>
      <c r="AU19" s="36"/>
      <c r="BJ19" s="39"/>
      <c r="BK19" s="32"/>
    </row>
    <row r="20">
      <c r="A20" s="188">
        <v>465224.0</v>
      </c>
      <c r="B20" s="69" t="s">
        <v>312</v>
      </c>
      <c r="C20" s="189">
        <v>16000.0</v>
      </c>
      <c r="D20" s="190" t="s">
        <v>91</v>
      </c>
      <c r="E20" s="191" t="s">
        <v>91</v>
      </c>
      <c r="F20" s="191" t="s">
        <v>84</v>
      </c>
      <c r="G20" s="191" t="s">
        <v>84</v>
      </c>
      <c r="H20" s="191" t="s">
        <v>91</v>
      </c>
      <c r="I20" s="191" t="s">
        <v>91</v>
      </c>
      <c r="J20" s="191" t="s">
        <v>91</v>
      </c>
      <c r="K20" s="191" t="s">
        <v>91</v>
      </c>
      <c r="L20" s="191" t="s">
        <v>91</v>
      </c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2">
        <v>465224.0</v>
      </c>
      <c r="X20" s="193"/>
      <c r="Y20" s="193"/>
      <c r="Z20" s="194"/>
      <c r="AA20" s="195"/>
      <c r="AB20" s="193"/>
      <c r="AC20" s="193"/>
      <c r="AD20" s="194"/>
      <c r="AE20" s="195"/>
      <c r="AF20" s="193"/>
      <c r="AG20" s="193"/>
      <c r="AH20" s="194"/>
      <c r="AI20" s="195"/>
      <c r="AJ20" s="196"/>
      <c r="AK20" s="193"/>
      <c r="AL20" s="194"/>
      <c r="AM20" s="195"/>
      <c r="AN20" s="193"/>
      <c r="AO20" s="193"/>
      <c r="AP20" s="193"/>
      <c r="AQ20" s="193"/>
      <c r="AR20" s="193"/>
      <c r="AS20" s="193"/>
      <c r="AT20" s="189"/>
      <c r="AU20" s="197"/>
      <c r="AV20" s="193">
        <f t="shared" ref="AV20:AW20" si="41">SUM(AS20)</f>
        <v>0</v>
      </c>
      <c r="AW20" s="193">
        <f t="shared" si="41"/>
        <v>0</v>
      </c>
      <c r="AX20" s="198">
        <f t="shared" ref="AX20:AX26" si="44">SUM(X20,Y20)</f>
        <v>0</v>
      </c>
      <c r="AY20" s="193">
        <f t="shared" ref="AY20:AY26" si="45">SUM(AB20,AC20)</f>
        <v>0</v>
      </c>
      <c r="AZ20" s="193">
        <f t="shared" ref="AZ20:AZ26" si="46">SUM(AF20,AG20)</f>
        <v>0</v>
      </c>
      <c r="BA20" s="193">
        <f t="shared" ref="BA20:BA26" si="47">SUM(AJ20,AK20)</f>
        <v>0</v>
      </c>
      <c r="BB20" s="193">
        <f t="shared" ref="BB20:BG20" si="42">SUM(AM20)</f>
        <v>0</v>
      </c>
      <c r="BC20" s="193">
        <f t="shared" si="42"/>
        <v>0</v>
      </c>
      <c r="BD20" s="193">
        <f t="shared" si="42"/>
        <v>0</v>
      </c>
      <c r="BE20" s="193">
        <f t="shared" si="42"/>
        <v>0</v>
      </c>
      <c r="BF20" s="193">
        <f t="shared" si="42"/>
        <v>0</v>
      </c>
      <c r="BG20" s="193">
        <f t="shared" si="42"/>
        <v>0</v>
      </c>
      <c r="BH20" s="193">
        <f t="shared" ref="BH20:BH26" si="49">SUM(AU20)</f>
        <v>0</v>
      </c>
      <c r="BI20" s="193"/>
      <c r="BJ20" s="199">
        <f t="shared" ref="BJ20:BJ26" si="50">SUM(AX20:BI20)</f>
        <v>0</v>
      </c>
      <c r="BK20" s="200"/>
    </row>
    <row r="21">
      <c r="A21" s="188">
        <v>465280.0</v>
      </c>
      <c r="B21" s="201" t="s">
        <v>313</v>
      </c>
      <c r="C21" s="189">
        <v>16100.0</v>
      </c>
      <c r="D21" s="190" t="s">
        <v>91</v>
      </c>
      <c r="E21" s="191" t="s">
        <v>91</v>
      </c>
      <c r="F21" s="191" t="s">
        <v>91</v>
      </c>
      <c r="G21" s="191" t="s">
        <v>91</v>
      </c>
      <c r="H21" s="191" t="s">
        <v>91</v>
      </c>
      <c r="I21" s="191" t="s">
        <v>91</v>
      </c>
      <c r="J21" s="191" t="s">
        <v>91</v>
      </c>
      <c r="K21" s="191" t="s">
        <v>91</v>
      </c>
      <c r="L21" s="191" t="s">
        <v>91</v>
      </c>
      <c r="M21" s="191" t="s">
        <v>91</v>
      </c>
      <c r="N21" s="191"/>
      <c r="O21" s="191"/>
      <c r="P21" s="191"/>
      <c r="Q21" s="191"/>
      <c r="R21" s="191"/>
      <c r="S21" s="191"/>
      <c r="T21" s="193"/>
      <c r="U21" s="191"/>
      <c r="V21" s="191"/>
      <c r="W21" s="192">
        <v>465280.0</v>
      </c>
      <c r="X21" s="193"/>
      <c r="Y21" s="193"/>
      <c r="Z21" s="202"/>
      <c r="AA21" s="198"/>
      <c r="AB21" s="193"/>
      <c r="AC21" s="193"/>
      <c r="AD21" s="202"/>
      <c r="AE21" s="198"/>
      <c r="AF21" s="193"/>
      <c r="AG21" s="193"/>
      <c r="AH21" s="202"/>
      <c r="AI21" s="198"/>
      <c r="AJ21" s="203"/>
      <c r="AK21" s="193"/>
      <c r="AL21" s="202"/>
      <c r="AM21" s="195"/>
      <c r="AN21" s="193"/>
      <c r="AO21" s="193"/>
      <c r="AP21" s="193"/>
      <c r="AQ21" s="193"/>
      <c r="AR21" s="193"/>
      <c r="AS21" s="193"/>
      <c r="AT21" s="204"/>
      <c r="AU21" s="197"/>
      <c r="AV21" s="193">
        <f t="shared" ref="AV21:AW21" si="43">SUM(AS21)</f>
        <v>0</v>
      </c>
      <c r="AW21" s="193">
        <f t="shared" si="43"/>
        <v>0</v>
      </c>
      <c r="AX21" s="198">
        <f t="shared" si="44"/>
        <v>0</v>
      </c>
      <c r="AY21" s="193">
        <f t="shared" si="45"/>
        <v>0</v>
      </c>
      <c r="AZ21" s="193">
        <f t="shared" si="46"/>
        <v>0</v>
      </c>
      <c r="BA21" s="193">
        <f t="shared" si="47"/>
        <v>0</v>
      </c>
      <c r="BB21" s="193">
        <f t="shared" ref="BB21:BG21" si="48">SUM(AM21)</f>
        <v>0</v>
      </c>
      <c r="BC21" s="193">
        <f t="shared" si="48"/>
        <v>0</v>
      </c>
      <c r="BD21" s="193">
        <f t="shared" si="48"/>
        <v>0</v>
      </c>
      <c r="BE21" s="193">
        <f t="shared" si="48"/>
        <v>0</v>
      </c>
      <c r="BF21" s="193">
        <f t="shared" si="48"/>
        <v>0</v>
      </c>
      <c r="BG21" s="193">
        <f t="shared" si="48"/>
        <v>0</v>
      </c>
      <c r="BH21" s="193">
        <f t="shared" si="49"/>
        <v>0</v>
      </c>
      <c r="BI21" s="193"/>
      <c r="BJ21" s="199">
        <f t="shared" si="50"/>
        <v>0</v>
      </c>
      <c r="BK21" s="200"/>
    </row>
    <row r="22">
      <c r="A22" s="188">
        <v>368041.0</v>
      </c>
      <c r="B22" s="201" t="s">
        <v>314</v>
      </c>
      <c r="C22" s="189">
        <v>16200.0</v>
      </c>
      <c r="D22" s="190" t="s">
        <v>84</v>
      </c>
      <c r="E22" s="191" t="s">
        <v>91</v>
      </c>
      <c r="F22" s="191" t="s">
        <v>91</v>
      </c>
      <c r="G22" s="191" t="s">
        <v>91</v>
      </c>
      <c r="H22" s="191" t="s">
        <v>91</v>
      </c>
      <c r="I22" s="191" t="s">
        <v>91</v>
      </c>
      <c r="J22" s="191" t="s">
        <v>91</v>
      </c>
      <c r="K22" s="191" t="s">
        <v>91</v>
      </c>
      <c r="L22" s="191" t="s">
        <v>91</v>
      </c>
      <c r="M22" s="191" t="s">
        <v>91</v>
      </c>
      <c r="N22" s="191"/>
      <c r="O22" s="191"/>
      <c r="P22" s="191"/>
      <c r="Q22" s="191"/>
      <c r="R22" s="191"/>
      <c r="S22" s="191"/>
      <c r="T22" s="191"/>
      <c r="U22" s="191"/>
      <c r="V22" s="191"/>
      <c r="W22" s="192">
        <v>368041.0</v>
      </c>
      <c r="X22" s="193"/>
      <c r="Y22" s="193"/>
      <c r="Z22" s="194"/>
      <c r="AA22" s="195"/>
      <c r="AB22" s="193"/>
      <c r="AC22" s="193"/>
      <c r="AD22" s="194"/>
      <c r="AE22" s="195"/>
      <c r="AF22" s="193"/>
      <c r="AG22" s="193"/>
      <c r="AH22" s="194"/>
      <c r="AI22" s="195"/>
      <c r="AJ22" s="203"/>
      <c r="AK22" s="193"/>
      <c r="AL22" s="194"/>
      <c r="AM22" s="195"/>
      <c r="AN22" s="193"/>
      <c r="AO22" s="193"/>
      <c r="AP22" s="193"/>
      <c r="AQ22" s="193"/>
      <c r="AR22" s="193"/>
      <c r="AS22" s="193"/>
      <c r="AT22" s="189"/>
      <c r="AU22" s="197"/>
      <c r="AV22" s="193">
        <f t="shared" ref="AV22:AW22" si="51">SUM(AS22)</f>
        <v>0</v>
      </c>
      <c r="AW22" s="193">
        <f t="shared" si="51"/>
        <v>0</v>
      </c>
      <c r="AX22" s="198">
        <f t="shared" si="44"/>
        <v>0</v>
      </c>
      <c r="AY22" s="193">
        <f t="shared" si="45"/>
        <v>0</v>
      </c>
      <c r="AZ22" s="193">
        <f t="shared" si="46"/>
        <v>0</v>
      </c>
      <c r="BA22" s="193">
        <f t="shared" si="47"/>
        <v>0</v>
      </c>
      <c r="BB22" s="193">
        <f t="shared" ref="BB22:BG22" si="52">SUM(AM22)</f>
        <v>0</v>
      </c>
      <c r="BC22" s="193">
        <f t="shared" si="52"/>
        <v>0</v>
      </c>
      <c r="BD22" s="193">
        <f t="shared" si="52"/>
        <v>0</v>
      </c>
      <c r="BE22" s="193">
        <f t="shared" si="52"/>
        <v>0</v>
      </c>
      <c r="BF22" s="193">
        <f t="shared" si="52"/>
        <v>0</v>
      </c>
      <c r="BG22" s="193">
        <f t="shared" si="52"/>
        <v>0</v>
      </c>
      <c r="BH22" s="193">
        <f t="shared" si="49"/>
        <v>0</v>
      </c>
      <c r="BI22" s="193"/>
      <c r="BJ22" s="199">
        <f t="shared" si="50"/>
        <v>0</v>
      </c>
      <c r="BK22" s="200"/>
    </row>
    <row r="23">
      <c r="A23" s="188">
        <v>466200.0</v>
      </c>
      <c r="B23" s="69" t="s">
        <v>315</v>
      </c>
      <c r="C23" s="189">
        <v>16300.0</v>
      </c>
      <c r="D23" s="190" t="s">
        <v>91</v>
      </c>
      <c r="E23" s="191" t="s">
        <v>91</v>
      </c>
      <c r="F23" s="191" t="s">
        <v>91</v>
      </c>
      <c r="G23" s="191" t="s">
        <v>91</v>
      </c>
      <c r="H23" s="191" t="s">
        <v>91</v>
      </c>
      <c r="I23" s="191" t="s">
        <v>91</v>
      </c>
      <c r="J23" s="191" t="s">
        <v>91</v>
      </c>
      <c r="K23" s="191" t="s">
        <v>91</v>
      </c>
      <c r="L23" s="191" t="s">
        <v>91</v>
      </c>
      <c r="M23" s="191" t="s">
        <v>91</v>
      </c>
      <c r="N23" s="191" t="s">
        <v>91</v>
      </c>
      <c r="O23" s="191" t="s">
        <v>91</v>
      </c>
      <c r="P23" s="191" t="s">
        <v>91</v>
      </c>
      <c r="Q23" s="191" t="s">
        <v>91</v>
      </c>
      <c r="R23" s="191" t="s">
        <v>91</v>
      </c>
      <c r="S23" s="191" t="s">
        <v>91</v>
      </c>
      <c r="T23" s="191"/>
      <c r="U23" s="191"/>
      <c r="V23" s="191"/>
      <c r="W23" s="192">
        <v>466200.0</v>
      </c>
      <c r="X23" s="205"/>
      <c r="Y23" s="205"/>
      <c r="Z23" s="206"/>
      <c r="AA23" s="207"/>
      <c r="AB23" s="205"/>
      <c r="AC23" s="205"/>
      <c r="AD23" s="206"/>
      <c r="AE23" s="207"/>
      <c r="AF23" s="193"/>
      <c r="AG23" s="193"/>
      <c r="AH23" s="194"/>
      <c r="AI23" s="195"/>
      <c r="AJ23" s="203"/>
      <c r="AK23" s="193"/>
      <c r="AL23" s="194"/>
      <c r="AM23" s="198"/>
      <c r="AN23" s="193"/>
      <c r="AO23" s="193"/>
      <c r="AP23" s="193"/>
      <c r="AQ23" s="193"/>
      <c r="AR23" s="193"/>
      <c r="AS23" s="193"/>
      <c r="AT23" s="189"/>
      <c r="AU23" s="197"/>
      <c r="AV23" s="193">
        <f t="shared" ref="AV23:AW23" si="53">SUM(AS23)</f>
        <v>0</v>
      </c>
      <c r="AW23" s="193">
        <f t="shared" si="53"/>
        <v>0</v>
      </c>
      <c r="AX23" s="198">
        <f t="shared" si="44"/>
        <v>0</v>
      </c>
      <c r="AY23" s="193">
        <f t="shared" si="45"/>
        <v>0</v>
      </c>
      <c r="AZ23" s="193">
        <f t="shared" si="46"/>
        <v>0</v>
      </c>
      <c r="BA23" s="193">
        <f t="shared" si="47"/>
        <v>0</v>
      </c>
      <c r="BB23" s="193">
        <f t="shared" ref="BB23:BG23" si="54">SUM(AM23)</f>
        <v>0</v>
      </c>
      <c r="BC23" s="193">
        <f t="shared" si="54"/>
        <v>0</v>
      </c>
      <c r="BD23" s="193">
        <f t="shared" si="54"/>
        <v>0</v>
      </c>
      <c r="BE23" s="193">
        <f t="shared" si="54"/>
        <v>0</v>
      </c>
      <c r="BF23" s="193">
        <f t="shared" si="54"/>
        <v>0</v>
      </c>
      <c r="BG23" s="193">
        <f t="shared" si="54"/>
        <v>0</v>
      </c>
      <c r="BH23" s="193">
        <f t="shared" si="49"/>
        <v>0</v>
      </c>
      <c r="BI23" s="193"/>
      <c r="BJ23" s="199">
        <f t="shared" si="50"/>
        <v>0</v>
      </c>
      <c r="BK23" s="200"/>
    </row>
    <row r="24">
      <c r="A24" s="43">
        <v>409297.0</v>
      </c>
      <c r="B24" s="44" t="s">
        <v>316</v>
      </c>
      <c r="C24" s="24"/>
      <c r="D24" s="25" t="s">
        <v>91</v>
      </c>
      <c r="E24" s="27" t="s">
        <v>91</v>
      </c>
      <c r="F24" s="27" t="s">
        <v>91</v>
      </c>
      <c r="G24" s="27" t="s">
        <v>91</v>
      </c>
      <c r="H24" s="27" t="s">
        <v>91</v>
      </c>
      <c r="I24" s="27" t="s">
        <v>91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142">
        <v>409297.0</v>
      </c>
      <c r="Z24" s="91"/>
      <c r="AA24" s="28"/>
      <c r="AD24" s="91"/>
      <c r="AE24" s="28"/>
      <c r="AH24" s="91"/>
      <c r="AI24" s="28"/>
      <c r="AJ24" s="185"/>
      <c r="AL24" s="91"/>
      <c r="AM24" s="28"/>
      <c r="AT24" s="24"/>
      <c r="AU24" s="30"/>
      <c r="AV24">
        <f t="shared" ref="AV24:AW24" si="55">SUM(AS24)</f>
        <v>0</v>
      </c>
      <c r="AW24">
        <f t="shared" si="55"/>
        <v>0</v>
      </c>
      <c r="AX24" s="21">
        <f t="shared" si="44"/>
        <v>0</v>
      </c>
      <c r="AY24">
        <f t="shared" si="45"/>
        <v>0</v>
      </c>
      <c r="AZ24">
        <f t="shared" si="46"/>
        <v>0</v>
      </c>
      <c r="BA24">
        <f t="shared" si="47"/>
        <v>0</v>
      </c>
      <c r="BB24">
        <f t="shared" ref="BB24:BG24" si="56">SUM(AM24)</f>
        <v>0</v>
      </c>
      <c r="BC24">
        <f t="shared" si="56"/>
        <v>0</v>
      </c>
      <c r="BD24">
        <f t="shared" si="56"/>
        <v>0</v>
      </c>
      <c r="BE24">
        <f t="shared" si="56"/>
        <v>0</v>
      </c>
      <c r="BF24">
        <f t="shared" si="56"/>
        <v>0</v>
      </c>
      <c r="BG24">
        <f t="shared" si="56"/>
        <v>0</v>
      </c>
      <c r="BH24">
        <f t="shared" si="49"/>
        <v>0</v>
      </c>
      <c r="BJ24" s="31">
        <f t="shared" si="50"/>
        <v>0</v>
      </c>
      <c r="BK24" s="32"/>
    </row>
    <row r="25">
      <c r="A25" s="188">
        <v>368732.0</v>
      </c>
      <c r="B25" s="201" t="s">
        <v>317</v>
      </c>
      <c r="C25" s="189">
        <v>16650.0</v>
      </c>
      <c r="D25" s="190" t="s">
        <v>91</v>
      </c>
      <c r="E25" s="191" t="s">
        <v>91</v>
      </c>
      <c r="F25" s="191" t="s">
        <v>91</v>
      </c>
      <c r="G25" s="191" t="s">
        <v>91</v>
      </c>
      <c r="H25" s="191" t="s">
        <v>91</v>
      </c>
      <c r="I25" s="191" t="s">
        <v>91</v>
      </c>
      <c r="J25" s="191" t="s">
        <v>91</v>
      </c>
      <c r="K25" s="191" t="s">
        <v>91</v>
      </c>
      <c r="L25" s="191" t="s">
        <v>91</v>
      </c>
      <c r="M25" s="191" t="s">
        <v>91</v>
      </c>
      <c r="N25" s="191"/>
      <c r="O25" s="191"/>
      <c r="P25" s="191"/>
      <c r="Q25" s="191"/>
      <c r="R25" s="191"/>
      <c r="S25" s="191"/>
      <c r="T25" s="191"/>
      <c r="U25" s="191"/>
      <c r="V25" s="191"/>
      <c r="W25" s="192">
        <v>368732.0</v>
      </c>
      <c r="X25" s="193"/>
      <c r="Y25" s="193"/>
      <c r="Z25" s="194"/>
      <c r="AA25" s="195"/>
      <c r="AB25" s="193"/>
      <c r="AC25" s="193"/>
      <c r="AD25" s="194"/>
      <c r="AE25" s="195"/>
      <c r="AF25" s="193"/>
      <c r="AG25" s="193"/>
      <c r="AH25" s="194"/>
      <c r="AI25" s="195"/>
      <c r="AJ25" s="203"/>
      <c r="AK25" s="193"/>
      <c r="AL25" s="194"/>
      <c r="AM25" s="195"/>
      <c r="AN25" s="193"/>
      <c r="AO25" s="193"/>
      <c r="AP25" s="193"/>
      <c r="AQ25" s="193"/>
      <c r="AR25" s="193"/>
      <c r="AS25" s="193"/>
      <c r="AT25" s="189"/>
      <c r="AU25" s="197"/>
      <c r="AV25" s="193">
        <f t="shared" ref="AV25:AW25" si="57">SUM(AS25)</f>
        <v>0</v>
      </c>
      <c r="AW25" s="193">
        <f t="shared" si="57"/>
        <v>0</v>
      </c>
      <c r="AX25" s="198">
        <f t="shared" si="44"/>
        <v>0</v>
      </c>
      <c r="AY25" s="193">
        <f t="shared" si="45"/>
        <v>0</v>
      </c>
      <c r="AZ25" s="193">
        <f t="shared" si="46"/>
        <v>0</v>
      </c>
      <c r="BA25" s="193">
        <f t="shared" si="47"/>
        <v>0</v>
      </c>
      <c r="BB25" s="193">
        <f t="shared" ref="BB25:BG25" si="58">SUM(AM25)</f>
        <v>0</v>
      </c>
      <c r="BC25" s="193">
        <f t="shared" si="58"/>
        <v>0</v>
      </c>
      <c r="BD25" s="193">
        <f t="shared" si="58"/>
        <v>0</v>
      </c>
      <c r="BE25" s="193">
        <f t="shared" si="58"/>
        <v>0</v>
      </c>
      <c r="BF25" s="193">
        <f t="shared" si="58"/>
        <v>0</v>
      </c>
      <c r="BG25" s="193">
        <f t="shared" si="58"/>
        <v>0</v>
      </c>
      <c r="BH25" s="193">
        <f t="shared" si="49"/>
        <v>0</v>
      </c>
      <c r="BI25" s="193"/>
      <c r="BJ25" s="199">
        <f t="shared" si="50"/>
        <v>0</v>
      </c>
      <c r="BK25" s="200"/>
    </row>
    <row r="26">
      <c r="A26" s="188">
        <v>472464.0</v>
      </c>
      <c r="B26" s="201" t="s">
        <v>318</v>
      </c>
      <c r="C26" s="189">
        <v>16750.0</v>
      </c>
      <c r="D26" s="190" t="s">
        <v>91</v>
      </c>
      <c r="E26" s="191" t="s">
        <v>91</v>
      </c>
      <c r="F26" s="191" t="s">
        <v>91</v>
      </c>
      <c r="G26" s="191" t="s">
        <v>91</v>
      </c>
      <c r="H26" s="191" t="s">
        <v>91</v>
      </c>
      <c r="I26" s="191" t="s">
        <v>91</v>
      </c>
      <c r="J26" s="191" t="s">
        <v>91</v>
      </c>
      <c r="K26" s="191" t="s">
        <v>91</v>
      </c>
      <c r="L26" s="191" t="s">
        <v>91</v>
      </c>
      <c r="M26" s="191" t="s">
        <v>91</v>
      </c>
      <c r="N26" s="191"/>
      <c r="O26" s="191"/>
      <c r="P26" s="191"/>
      <c r="Q26" s="191"/>
      <c r="R26" s="191"/>
      <c r="S26" s="191"/>
      <c r="T26" s="191"/>
      <c r="U26" s="191"/>
      <c r="V26" s="191"/>
      <c r="W26" s="192">
        <v>472464.0</v>
      </c>
      <c r="X26" s="193"/>
      <c r="Y26" s="193"/>
      <c r="Z26" s="202"/>
      <c r="AA26" s="198"/>
      <c r="AB26" s="193"/>
      <c r="AC26" s="193"/>
      <c r="AD26" s="202"/>
      <c r="AE26" s="198"/>
      <c r="AF26" s="193"/>
      <c r="AG26" s="193"/>
      <c r="AH26" s="202"/>
      <c r="AI26" s="198"/>
      <c r="AJ26" s="203"/>
      <c r="AK26" s="193"/>
      <c r="AL26" s="202"/>
      <c r="AM26" s="195">
        <v>0.1</v>
      </c>
      <c r="AN26" s="193"/>
      <c r="AO26" s="193"/>
      <c r="AP26" s="193"/>
      <c r="AQ26" s="193"/>
      <c r="AR26" s="193"/>
      <c r="AS26" s="193"/>
      <c r="AT26" s="204"/>
      <c r="AU26" s="197"/>
      <c r="AV26" s="193">
        <f t="shared" ref="AV26:AW26" si="59">SUM(AS26)</f>
        <v>0</v>
      </c>
      <c r="AW26" s="193">
        <f t="shared" si="59"/>
        <v>0</v>
      </c>
      <c r="AX26" s="198">
        <f t="shared" si="44"/>
        <v>0</v>
      </c>
      <c r="AY26" s="193">
        <f t="shared" si="45"/>
        <v>0</v>
      </c>
      <c r="AZ26" s="193">
        <f t="shared" si="46"/>
        <v>0</v>
      </c>
      <c r="BA26" s="193">
        <f t="shared" si="47"/>
        <v>0</v>
      </c>
      <c r="BB26" s="193">
        <f t="shared" ref="BB26:BG26" si="60">SUM(AM26)</f>
        <v>0.1</v>
      </c>
      <c r="BC26" s="193">
        <f t="shared" si="60"/>
        <v>0</v>
      </c>
      <c r="BD26" s="193">
        <f t="shared" si="60"/>
        <v>0</v>
      </c>
      <c r="BE26" s="193">
        <f t="shared" si="60"/>
        <v>0</v>
      </c>
      <c r="BF26" s="193">
        <f t="shared" si="60"/>
        <v>0</v>
      </c>
      <c r="BG26" s="193">
        <f t="shared" si="60"/>
        <v>0</v>
      </c>
      <c r="BH26" s="193">
        <f t="shared" si="49"/>
        <v>0</v>
      </c>
      <c r="BI26" s="193"/>
      <c r="BJ26" s="199">
        <f t="shared" si="50"/>
        <v>0.1</v>
      </c>
      <c r="BK26" s="200"/>
    </row>
  </sheetData>
  <mergeCells count="48">
    <mergeCell ref="AH2:AH3"/>
    <mergeCell ref="AI2:AI3"/>
    <mergeCell ref="A1:B1"/>
    <mergeCell ref="C1:C3"/>
    <mergeCell ref="D1:V1"/>
    <mergeCell ref="W1:Z1"/>
    <mergeCell ref="AA1:AD1"/>
    <mergeCell ref="AE1:AH1"/>
    <mergeCell ref="AI1:AL1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Z2:Z3"/>
    <mergeCell ref="AA2:AA3"/>
    <mergeCell ref="AD2:AD3"/>
    <mergeCell ref="AE2:AE3"/>
    <mergeCell ref="AR2:AR3"/>
    <mergeCell ref="AS2:AS3"/>
    <mergeCell ref="AT2:AT3"/>
    <mergeCell ref="AU2:AU3"/>
    <mergeCell ref="AV1:BH2"/>
    <mergeCell ref="BJ1:BJ3"/>
    <mergeCell ref="BK1:BK3"/>
    <mergeCell ref="AL2:AL3"/>
    <mergeCell ref="AM2:AM3"/>
    <mergeCell ref="AN2:AN3"/>
    <mergeCell ref="AO2:AO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P2:AP3"/>
    <mergeCell ref="AQ2:AQ3"/>
  </mergeCells>
  <conditionalFormatting sqref="AD20">
    <cfRule type="timePeriod" dxfId="0" priority="1" timePeriod="last7Days"/>
  </conditionalFormatting>
  <conditionalFormatting sqref="AH20">
    <cfRule type="timePeriod" dxfId="0" priority="2" timePeriod="last7Days"/>
  </conditionalFormatting>
  <conditionalFormatting sqref="AH20">
    <cfRule type="timePeriod" dxfId="0" priority="3" timePeriod="last7Days"/>
  </conditionalFormatting>
  <conditionalFormatting sqref="Z20 AD20 AH20">
    <cfRule type="timePeriod" dxfId="0" priority="4" timePeriod="last7Days"/>
  </conditionalFormatting>
  <conditionalFormatting sqref="Z20">
    <cfRule type="timePeriod" dxfId="0" priority="5" timePeriod="last7Days"/>
  </conditionalFormatting>
  <conditionalFormatting sqref="Z20">
    <cfRule type="timePeriod" dxfId="0" priority="6" timePeriod="last7Days"/>
  </conditionalFormatting>
  <conditionalFormatting sqref="AH20">
    <cfRule type="timePeriod" dxfId="0" priority="7" timePeriod="last7Days"/>
  </conditionalFormatting>
  <conditionalFormatting sqref="AV4:BI26">
    <cfRule type="cellIs" dxfId="1" priority="8" operator="lessThan">
      <formula>0.1</formula>
    </cfRule>
  </conditionalFormatting>
  <conditionalFormatting sqref="AV4:BI26">
    <cfRule type="cellIs" dxfId="2" priority="9" operator="greaterThan">
      <formula>0.1</formula>
    </cfRule>
  </conditionalFormatting>
  <conditionalFormatting sqref="BJ4:BK26">
    <cfRule type="cellIs" dxfId="3" priority="10" operator="between">
      <formula>60</formula>
      <formula>68</formula>
    </cfRule>
  </conditionalFormatting>
  <conditionalFormatting sqref="BJ4:BK26">
    <cfRule type="cellIs" dxfId="4" priority="11" operator="between">
      <formula>68</formula>
      <formula>74</formula>
    </cfRule>
  </conditionalFormatting>
  <conditionalFormatting sqref="BJ4:BK26">
    <cfRule type="cellIs" dxfId="2" priority="12" operator="between">
      <formula>74</formula>
      <formula>81</formula>
    </cfRule>
  </conditionalFormatting>
  <conditionalFormatting sqref="BJ4:BK26">
    <cfRule type="cellIs" dxfId="5" priority="13" operator="between">
      <formula>81</formula>
      <formula>90</formula>
    </cfRule>
  </conditionalFormatting>
  <conditionalFormatting sqref="BJ4:BK26">
    <cfRule type="cellIs" dxfId="6" priority="14" operator="greaterThan">
      <formula>90</formula>
    </cfRule>
  </conditionalFormatting>
  <conditionalFormatting sqref="AD20">
    <cfRule type="timePeriod" dxfId="0" priority="15" timePeriod="last7Days"/>
  </conditionalFormatting>
  <conditionalFormatting sqref="G4:G10 G12:G26 M23 P23">
    <cfRule type="containsText" dxfId="7" priority="16" operator="containsText" text="н">
      <formula>NOT(ISERROR(SEARCH(("н"),(G4))))</formula>
    </cfRule>
  </conditionalFormatting>
  <conditionalFormatting sqref="G4:G10 G12:G26 M23 P23">
    <cfRule type="containsText" dxfId="7" priority="17" operator="containsText" text="n">
      <formula>NOT(ISERROR(SEARCH(("n"),(G4))))</formula>
    </cfRule>
  </conditionalFormatting>
  <conditionalFormatting sqref="F4:F10 F12:F26 L23 O23">
    <cfRule type="containsText" dxfId="7" priority="18" operator="containsText" text="н">
      <formula>NOT(ISERROR(SEARCH(("н"),(F4))))</formula>
    </cfRule>
  </conditionalFormatting>
  <conditionalFormatting sqref="F4:F10 F12:F26 L23 O23">
    <cfRule type="containsText" dxfId="7" priority="19" operator="containsText" text="n">
      <formula>NOT(ISERROR(SEARCH(("n"),(F4))))</formula>
    </cfRule>
  </conditionalFormatting>
  <conditionalFormatting sqref="X20:Y20">
    <cfRule type="cellIs" dxfId="8" priority="20" operator="equal">
      <formula>0</formula>
    </cfRule>
  </conditionalFormatting>
  <conditionalFormatting sqref="AB20:AC20">
    <cfRule type="cellIs" dxfId="8" priority="21" operator="equal">
      <formula>0</formula>
    </cfRule>
  </conditionalFormatting>
  <conditionalFormatting sqref="AF20:AG20">
    <cfRule type="cellIs" dxfId="8" priority="22" operator="equal">
      <formula>0</formula>
    </cfRule>
  </conditionalFormatting>
  <conditionalFormatting sqref="AJ20:AK20">
    <cfRule type="cellIs" dxfId="8" priority="23" operator="equal">
      <formula>0</formula>
    </cfRule>
  </conditionalFormatting>
  <conditionalFormatting sqref="AM20:AT20">
    <cfRule type="cellIs" dxfId="8" priority="24" operator="equal">
      <formula>0</formula>
    </cfRule>
  </conditionalFormatting>
  <conditionalFormatting sqref="D1:V26">
    <cfRule type="containsText" dxfId="7" priority="25" operator="containsText" text="н">
      <formula>NOT(ISERROR(SEARCH(("н"),(D1))))</formula>
    </cfRule>
  </conditionalFormatting>
  <conditionalFormatting sqref="D1:V26">
    <cfRule type="containsText" dxfId="7" priority="26" operator="containsText" text="n">
      <formula>NOT(ISERROR(SEARCH(("n"),(D1))))</formula>
    </cfRule>
  </conditionalFormatting>
  <conditionalFormatting sqref="Z20">
    <cfRule type="timePeriod" dxfId="0" priority="27" timePeriod="last7Days"/>
  </conditionalFormatting>
  <conditionalFormatting sqref="AD20">
    <cfRule type="timePeriod" dxfId="0" priority="28" timePeriod="last7Days"/>
  </conditionalFormatting>
  <conditionalFormatting sqref="AH20">
    <cfRule type="timePeriod" dxfId="0" priority="29" timePeriod="last7Days"/>
  </conditionalFormatting>
  <conditionalFormatting sqref="AL20">
    <cfRule type="timePeriod" dxfId="0" priority="30" timePeriod="last7Days"/>
  </conditionalFormatting>
  <conditionalFormatting sqref="BJ1:BK26">
    <cfRule type="cellIs" dxfId="3" priority="31" operator="between">
      <formula>60</formula>
      <formula>68</formula>
    </cfRule>
  </conditionalFormatting>
  <conditionalFormatting sqref="AU4:AU26">
    <cfRule type="cellIs" dxfId="6" priority="32" operator="between">
      <formula>12</formula>
      <formula>1000</formula>
    </cfRule>
  </conditionalFormatting>
  <conditionalFormatting sqref="BJ1:BK26">
    <cfRule type="cellIs" dxfId="4" priority="33" operator="between">
      <formula>68</formula>
      <formula>74</formula>
    </cfRule>
  </conditionalFormatting>
  <conditionalFormatting sqref="BJ1:BK26">
    <cfRule type="cellIs" dxfId="2" priority="34" operator="between">
      <formula>74</formula>
      <formula>81</formula>
    </cfRule>
  </conditionalFormatting>
  <conditionalFormatting sqref="BJ1:BK26">
    <cfRule type="cellIs" dxfId="5" priority="35" operator="between">
      <formula>81</formula>
      <formula>90</formula>
    </cfRule>
  </conditionalFormatting>
  <conditionalFormatting sqref="BJ1:BK26">
    <cfRule type="cellIs" dxfId="6" priority="36" operator="greaterThan">
      <formula>90</formula>
    </cfRule>
  </conditionalFormatting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19" width="2.88"/>
    <col customWidth="1" min="20" max="20" width="5.5"/>
    <col customWidth="1" min="21" max="21" width="5.0"/>
    <col customWidth="1" min="22" max="22" width="3.88"/>
    <col customWidth="1" min="23" max="23" width="4.63"/>
    <col customWidth="1" min="24" max="24" width="6.5"/>
    <col customWidth="1" min="25" max="25" width="5.13"/>
    <col customWidth="1" min="26" max="26" width="4.0"/>
    <col customWidth="1" min="27" max="27" width="5.0"/>
    <col customWidth="1" min="28" max="28" width="6.38"/>
    <col customWidth="1" min="29" max="29" width="5.13"/>
    <col customWidth="1" min="30" max="30" width="4.0"/>
    <col customWidth="1" min="31" max="31" width="5.0"/>
    <col customWidth="1" min="32" max="32" width="7.63"/>
    <col customWidth="1" min="33" max="33" width="5.0"/>
    <col customWidth="1" min="34" max="34" width="4.5"/>
    <col customWidth="1" min="35" max="35" width="5.0"/>
    <col customWidth="1" min="36" max="36" width="5.63"/>
    <col customWidth="1" min="37" max="37" width="5.13"/>
    <col customWidth="1" min="38" max="38" width="5.38"/>
    <col customWidth="1" min="39" max="39" width="5.0"/>
    <col customWidth="1" min="40" max="41" width="5.38"/>
    <col customWidth="1" min="42" max="43" width="5.88"/>
    <col customWidth="1" min="44" max="44" width="5.63"/>
    <col customWidth="1" min="45" max="45" width="4.5"/>
    <col customWidth="1" min="46" max="46" width="4.38"/>
    <col customWidth="1" min="47" max="51" width="4.25"/>
    <col customWidth="1" min="52" max="52" width="4.63"/>
    <col customWidth="1" min="53" max="53" width="4.5"/>
    <col customWidth="1" min="54" max="55" width="4.63"/>
    <col customWidth="1" min="56" max="56" width="4.5"/>
    <col customWidth="1" min="57" max="58" width="4.38"/>
    <col customWidth="1" min="59" max="59" width="6.63"/>
    <col customWidth="1" min="60" max="60" width="3.25"/>
  </cols>
  <sheetData>
    <row r="1">
      <c r="A1" s="1" t="s">
        <v>319</v>
      </c>
      <c r="C1" s="2" t="s">
        <v>1</v>
      </c>
      <c r="D1" s="3" t="s">
        <v>2</v>
      </c>
      <c r="S1" s="4"/>
      <c r="T1" s="5" t="s">
        <v>3</v>
      </c>
      <c r="W1" s="4"/>
      <c r="X1" s="5" t="s">
        <v>4</v>
      </c>
      <c r="AA1" s="4"/>
      <c r="AB1" s="5" t="s">
        <v>5</v>
      </c>
      <c r="AE1" s="4"/>
      <c r="AF1" s="5" t="s">
        <v>6</v>
      </c>
      <c r="AI1" s="4"/>
      <c r="AJ1" s="3" t="s">
        <v>7</v>
      </c>
      <c r="AK1" s="6" t="s">
        <v>8</v>
      </c>
      <c r="AL1" s="6" t="s">
        <v>9</v>
      </c>
      <c r="AM1" s="6" t="s">
        <v>10</v>
      </c>
      <c r="AN1" s="6" t="s">
        <v>11</v>
      </c>
      <c r="AO1" s="6" t="s">
        <v>12</v>
      </c>
      <c r="AP1" s="6" t="s">
        <v>13</v>
      </c>
      <c r="AQ1" s="7" t="s">
        <v>14</v>
      </c>
      <c r="AR1" s="3" t="s">
        <v>15</v>
      </c>
      <c r="AS1" s="6" t="s">
        <v>16</v>
      </c>
      <c r="BF1" s="7"/>
      <c r="BG1" s="41" t="s">
        <v>17</v>
      </c>
      <c r="BH1" s="10" t="s">
        <v>18</v>
      </c>
    </row>
    <row r="2">
      <c r="A2" s="11" t="s">
        <v>19</v>
      </c>
      <c r="B2" s="11" t="s">
        <v>20</v>
      </c>
      <c r="C2" s="4"/>
      <c r="D2" s="12">
        <v>45538.0</v>
      </c>
      <c r="E2" s="12">
        <f t="shared" ref="E2:K2" si="1">D2+14</f>
        <v>45552</v>
      </c>
      <c r="F2" s="12">
        <f t="shared" si="1"/>
        <v>45566</v>
      </c>
      <c r="G2" s="12">
        <f t="shared" si="1"/>
        <v>45580</v>
      </c>
      <c r="H2" s="12">
        <f t="shared" si="1"/>
        <v>45594</v>
      </c>
      <c r="I2" s="12">
        <f t="shared" si="1"/>
        <v>45608</v>
      </c>
      <c r="J2" s="12">
        <f t="shared" si="1"/>
        <v>45622</v>
      </c>
      <c r="K2" s="12">
        <f t="shared" si="1"/>
        <v>45636</v>
      </c>
      <c r="L2" s="13"/>
      <c r="M2" s="98">
        <v>18.11</v>
      </c>
      <c r="N2" s="98">
        <v>25.11</v>
      </c>
      <c r="O2" s="98">
        <v>2.12</v>
      </c>
      <c r="P2" s="98">
        <v>9.12</v>
      </c>
      <c r="Q2" s="13" t="s">
        <v>320</v>
      </c>
      <c r="R2" s="13"/>
      <c r="S2" s="13"/>
      <c r="T2" s="14" t="s">
        <v>21</v>
      </c>
      <c r="U2" s="15" t="s">
        <v>22</v>
      </c>
      <c r="V2" s="15" t="s">
        <v>23</v>
      </c>
      <c r="W2" s="16" t="s">
        <v>24</v>
      </c>
      <c r="X2" s="14" t="s">
        <v>21</v>
      </c>
      <c r="Y2" s="15" t="s">
        <v>22</v>
      </c>
      <c r="Z2" s="15" t="s">
        <v>23</v>
      </c>
      <c r="AA2" s="16" t="s">
        <v>24</v>
      </c>
      <c r="AB2" s="14" t="s">
        <v>21</v>
      </c>
      <c r="AC2" s="15" t="s">
        <v>22</v>
      </c>
      <c r="AD2" s="15" t="s">
        <v>23</v>
      </c>
      <c r="AE2" s="16" t="s">
        <v>24</v>
      </c>
      <c r="AF2" s="14" t="s">
        <v>21</v>
      </c>
      <c r="AG2" s="15" t="s">
        <v>22</v>
      </c>
      <c r="AH2" s="15" t="s">
        <v>23</v>
      </c>
      <c r="AI2" s="16" t="s">
        <v>24</v>
      </c>
      <c r="AJ2" s="17" t="s">
        <v>25</v>
      </c>
      <c r="AK2" s="18" t="s">
        <v>25</v>
      </c>
      <c r="AL2" s="18" t="s">
        <v>25</v>
      </c>
      <c r="AM2" s="18" t="s">
        <v>25</v>
      </c>
      <c r="AN2" s="18" t="s">
        <v>25</v>
      </c>
      <c r="AO2" s="18" t="s">
        <v>25</v>
      </c>
      <c r="AP2" s="15" t="s">
        <v>26</v>
      </c>
      <c r="AQ2" s="19" t="s">
        <v>26</v>
      </c>
      <c r="AR2" s="14" t="s">
        <v>27</v>
      </c>
      <c r="BF2" s="7"/>
      <c r="BG2" s="4"/>
    </row>
    <row r="3">
      <c r="C3" s="4"/>
      <c r="T3" s="21"/>
      <c r="U3" s="15" t="s">
        <v>26</v>
      </c>
      <c r="V3" s="15" t="s">
        <v>28</v>
      </c>
      <c r="W3" s="4"/>
      <c r="X3" s="21"/>
      <c r="Y3" s="15" t="s">
        <v>26</v>
      </c>
      <c r="Z3" s="15" t="s">
        <v>28</v>
      </c>
      <c r="AA3" s="4"/>
      <c r="AB3" s="21"/>
      <c r="AC3" s="15" t="s">
        <v>26</v>
      </c>
      <c r="AD3" s="15" t="s">
        <v>28</v>
      </c>
      <c r="AE3" s="4"/>
      <c r="AF3" s="21"/>
      <c r="AG3" s="15" t="s">
        <v>26</v>
      </c>
      <c r="AH3" s="15" t="s">
        <v>28</v>
      </c>
      <c r="AI3" s="4"/>
      <c r="AJ3" s="21"/>
      <c r="AQ3" s="4"/>
      <c r="AR3" s="21"/>
      <c r="AS3" s="17" t="s">
        <v>29</v>
      </c>
      <c r="AT3" s="18" t="s">
        <v>30</v>
      </c>
      <c r="AU3" s="18" t="s">
        <v>3</v>
      </c>
      <c r="AV3" s="18" t="s">
        <v>4</v>
      </c>
      <c r="AW3" s="18" t="s">
        <v>5</v>
      </c>
      <c r="AX3" s="18" t="s">
        <v>6</v>
      </c>
      <c r="AY3" s="18" t="s">
        <v>7</v>
      </c>
      <c r="AZ3" s="18" t="s">
        <v>8</v>
      </c>
      <c r="BA3" s="18" t="s">
        <v>9</v>
      </c>
      <c r="BB3" s="18" t="s">
        <v>10</v>
      </c>
      <c r="BC3" s="18" t="s">
        <v>11</v>
      </c>
      <c r="BD3" s="18" t="s">
        <v>12</v>
      </c>
      <c r="BE3" s="18" t="s">
        <v>31</v>
      </c>
      <c r="BF3" s="23" t="s">
        <v>23</v>
      </c>
      <c r="BG3" s="4"/>
    </row>
    <row r="4">
      <c r="A4" s="43">
        <v>465294.0</v>
      </c>
      <c r="B4" s="55" t="s">
        <v>321</v>
      </c>
      <c r="C4" s="24"/>
      <c r="D4" s="25" t="s">
        <v>84</v>
      </c>
      <c r="E4" s="27" t="s">
        <v>84</v>
      </c>
      <c r="F4" s="27" t="s">
        <v>91</v>
      </c>
      <c r="G4" s="27" t="s">
        <v>91</v>
      </c>
      <c r="H4" s="27" t="s">
        <v>91</v>
      </c>
      <c r="I4" s="27" t="s">
        <v>91</v>
      </c>
      <c r="J4" s="27" t="s">
        <v>91</v>
      </c>
      <c r="K4" s="27" t="s">
        <v>84</v>
      </c>
      <c r="L4" s="27" t="s">
        <v>84</v>
      </c>
      <c r="M4" s="27" t="s">
        <v>91</v>
      </c>
      <c r="N4" s="27" t="s">
        <v>84</v>
      </c>
      <c r="O4" s="27" t="s">
        <v>84</v>
      </c>
      <c r="P4" s="27" t="s">
        <v>84</v>
      </c>
      <c r="Q4" s="27" t="s">
        <v>84</v>
      </c>
      <c r="R4" s="27"/>
      <c r="S4" s="27"/>
      <c r="T4" s="138">
        <v>465294.0</v>
      </c>
      <c r="U4" s="36">
        <v>9.5</v>
      </c>
      <c r="V4" s="36">
        <v>0.0</v>
      </c>
      <c r="W4" s="75" t="s">
        <v>322</v>
      </c>
      <c r="X4" s="28">
        <v>3444.0</v>
      </c>
      <c r="Y4" s="36">
        <v>9.5</v>
      </c>
      <c r="Z4" s="36">
        <v>0.0</v>
      </c>
      <c r="AA4" s="75" t="s">
        <v>323</v>
      </c>
      <c r="AB4" s="28">
        <v>3999.0</v>
      </c>
      <c r="AC4" s="36">
        <v>9.0</v>
      </c>
      <c r="AD4" s="36">
        <v>0.0</v>
      </c>
      <c r="AE4" s="24" t="s">
        <v>324</v>
      </c>
      <c r="AF4" s="28">
        <v>5267.0</v>
      </c>
      <c r="AG4" s="29">
        <v>8.0</v>
      </c>
      <c r="AH4" s="36">
        <v>0.0</v>
      </c>
      <c r="AI4" s="24" t="s">
        <v>325</v>
      </c>
      <c r="AJ4" s="28">
        <v>0.3</v>
      </c>
      <c r="AP4" s="36">
        <v>6.0</v>
      </c>
      <c r="AQ4" s="24">
        <v>6.0</v>
      </c>
      <c r="AR4" s="28">
        <f t="shared" ref="AR4:AR5" si="4">SUM(AP4:AQ4)</f>
        <v>12</v>
      </c>
      <c r="AS4" s="21">
        <f t="shared" ref="AS4:AT4" si="2">SUM(AP4)</f>
        <v>6</v>
      </c>
      <c r="AT4">
        <f t="shared" si="2"/>
        <v>6</v>
      </c>
      <c r="AU4">
        <f t="shared" ref="AU4:AU16" si="6">SUM(U4,V4)</f>
        <v>9.5</v>
      </c>
      <c r="AV4">
        <f t="shared" ref="AV4:AV16" si="7">SUM(Y4,Z4)</f>
        <v>9.5</v>
      </c>
      <c r="AW4">
        <f t="shared" ref="AW4:AW16" si="8">SUM(AC4,AD4)</f>
        <v>9</v>
      </c>
      <c r="AX4">
        <f t="shared" ref="AX4:AX16" si="9">SUM(AG4,AH4)</f>
        <v>8</v>
      </c>
      <c r="AY4">
        <f t="shared" ref="AY4:BD4" si="3">SUM(AJ4)</f>
        <v>0.3</v>
      </c>
      <c r="AZ4">
        <f t="shared" si="3"/>
        <v>0</v>
      </c>
      <c r="BA4">
        <f t="shared" si="3"/>
        <v>0</v>
      </c>
      <c r="BB4">
        <f t="shared" si="3"/>
        <v>0</v>
      </c>
      <c r="BC4">
        <f t="shared" si="3"/>
        <v>0</v>
      </c>
      <c r="BD4">
        <f t="shared" si="3"/>
        <v>0</v>
      </c>
      <c r="BE4">
        <f t="shared" ref="BE4:BE16" si="11">SUM(AR4)</f>
        <v>12</v>
      </c>
      <c r="BF4" s="4"/>
      <c r="BG4" s="50">
        <f t="shared" ref="BG4:BG16" si="12">SUM(AS4:BF4)</f>
        <v>60.3</v>
      </c>
      <c r="BH4" s="32">
        <v>2.0</v>
      </c>
    </row>
    <row r="5">
      <c r="A5" s="43">
        <v>465887.0</v>
      </c>
      <c r="B5" s="55" t="s">
        <v>326</v>
      </c>
      <c r="C5" s="24"/>
      <c r="D5" s="25" t="s">
        <v>91</v>
      </c>
      <c r="E5" s="27" t="s">
        <v>84</v>
      </c>
      <c r="F5" s="27" t="s">
        <v>91</v>
      </c>
      <c r="G5" s="27" t="s">
        <v>91</v>
      </c>
      <c r="H5" s="27" t="s">
        <v>84</v>
      </c>
      <c r="I5" s="27" t="s">
        <v>91</v>
      </c>
      <c r="J5" s="27" t="s">
        <v>91</v>
      </c>
      <c r="K5" s="27" t="s">
        <v>84</v>
      </c>
      <c r="L5" s="27" t="s">
        <v>84</v>
      </c>
      <c r="M5" s="27" t="s">
        <v>91</v>
      </c>
      <c r="N5" s="27" t="s">
        <v>84</v>
      </c>
      <c r="O5" s="27" t="s">
        <v>91</v>
      </c>
      <c r="P5" s="27" t="s">
        <v>91</v>
      </c>
      <c r="Q5" s="27" t="s">
        <v>84</v>
      </c>
      <c r="R5" s="27"/>
      <c r="S5" s="27"/>
      <c r="T5" s="138">
        <v>465887.0</v>
      </c>
      <c r="U5" s="36">
        <v>10.0</v>
      </c>
      <c r="V5" s="36">
        <v>0.0</v>
      </c>
      <c r="W5" s="24" t="s">
        <v>327</v>
      </c>
      <c r="X5" s="28">
        <v>2209.0</v>
      </c>
      <c r="Y5" s="36">
        <v>10.0</v>
      </c>
      <c r="Z5" s="36">
        <v>1.0</v>
      </c>
      <c r="AA5" s="75" t="s">
        <v>322</v>
      </c>
      <c r="AB5" s="28">
        <v>3910.0</v>
      </c>
      <c r="AC5" s="36">
        <v>10.0</v>
      </c>
      <c r="AD5" s="36">
        <v>2.0</v>
      </c>
      <c r="AE5" s="24" t="s">
        <v>328</v>
      </c>
      <c r="AF5" s="28">
        <v>8324.0</v>
      </c>
      <c r="AG5" s="36">
        <v>10.0</v>
      </c>
      <c r="AH5" s="36">
        <v>2.0</v>
      </c>
      <c r="AI5" s="33">
        <v>45912.0</v>
      </c>
      <c r="AJ5" s="28">
        <v>0.01</v>
      </c>
      <c r="AK5" s="36">
        <v>0.4</v>
      </c>
      <c r="AL5" s="36">
        <v>1.2</v>
      </c>
      <c r="AN5" s="36">
        <v>1.6</v>
      </c>
      <c r="AO5" s="36">
        <v>0.01</v>
      </c>
      <c r="AP5" s="36">
        <v>7.0</v>
      </c>
      <c r="AQ5" s="24">
        <v>6.0</v>
      </c>
      <c r="AR5" s="28">
        <f t="shared" si="4"/>
        <v>13</v>
      </c>
      <c r="AS5" s="21">
        <f t="shared" ref="AS5:AT5" si="5">SUM(AP5)</f>
        <v>7</v>
      </c>
      <c r="AT5">
        <f t="shared" si="5"/>
        <v>6</v>
      </c>
      <c r="AU5">
        <f t="shared" si="6"/>
        <v>10</v>
      </c>
      <c r="AV5">
        <f t="shared" si="7"/>
        <v>11</v>
      </c>
      <c r="AW5">
        <f t="shared" si="8"/>
        <v>12</v>
      </c>
      <c r="AX5">
        <f t="shared" si="9"/>
        <v>12</v>
      </c>
      <c r="AY5">
        <f t="shared" ref="AY5:BD5" si="10">SUM(AJ5)</f>
        <v>0.01</v>
      </c>
      <c r="AZ5">
        <f t="shared" si="10"/>
        <v>0.4</v>
      </c>
      <c r="BA5">
        <f t="shared" si="10"/>
        <v>1.2</v>
      </c>
      <c r="BB5">
        <f t="shared" si="10"/>
        <v>0</v>
      </c>
      <c r="BC5">
        <f t="shared" si="10"/>
        <v>1.6</v>
      </c>
      <c r="BD5">
        <f t="shared" si="10"/>
        <v>0.01</v>
      </c>
      <c r="BE5">
        <f t="shared" si="11"/>
        <v>13</v>
      </c>
      <c r="BF5" s="4"/>
      <c r="BG5" s="50">
        <f t="shared" si="12"/>
        <v>74.22</v>
      </c>
      <c r="BH5" s="32">
        <v>1.0</v>
      </c>
    </row>
    <row r="6">
      <c r="A6" s="43">
        <v>489406.0</v>
      </c>
      <c r="B6" s="208" t="s">
        <v>329</v>
      </c>
      <c r="C6" s="24"/>
      <c r="D6" s="25" t="s">
        <v>84</v>
      </c>
      <c r="E6" s="27" t="s">
        <v>84</v>
      </c>
      <c r="F6" s="27" t="s">
        <v>84</v>
      </c>
      <c r="G6" s="27" t="s">
        <v>84</v>
      </c>
      <c r="H6" s="27" t="s">
        <v>91</v>
      </c>
      <c r="I6" s="27" t="s">
        <v>84</v>
      </c>
      <c r="J6" s="27" t="s">
        <v>84</v>
      </c>
      <c r="K6" s="27" t="s">
        <v>84</v>
      </c>
      <c r="L6" s="27" t="s">
        <v>91</v>
      </c>
      <c r="M6" s="27" t="s">
        <v>91</v>
      </c>
      <c r="N6" s="27" t="s">
        <v>91</v>
      </c>
      <c r="O6" s="27" t="s">
        <v>91</v>
      </c>
      <c r="P6" s="27" t="s">
        <v>84</v>
      </c>
      <c r="Q6" s="27" t="s">
        <v>84</v>
      </c>
      <c r="R6" s="27"/>
      <c r="S6" s="27"/>
      <c r="T6" s="138">
        <v>489406.0</v>
      </c>
      <c r="U6" s="36">
        <v>10.0</v>
      </c>
      <c r="V6" s="36">
        <v>1.1</v>
      </c>
      <c r="W6" s="24" t="s">
        <v>150</v>
      </c>
      <c r="X6" s="28">
        <v>2108.0</v>
      </c>
      <c r="Y6" s="36">
        <v>10.0</v>
      </c>
      <c r="Z6" s="36">
        <v>2.0</v>
      </c>
      <c r="AA6" s="75" t="s">
        <v>330</v>
      </c>
      <c r="AB6" s="28">
        <v>3338.0</v>
      </c>
      <c r="AC6" s="36">
        <v>10.0</v>
      </c>
      <c r="AD6" s="36">
        <v>2.0</v>
      </c>
      <c r="AE6" s="24" t="s">
        <v>328</v>
      </c>
      <c r="AF6" s="28">
        <v>2312.0</v>
      </c>
      <c r="AG6" s="36">
        <v>10.0</v>
      </c>
      <c r="AH6" s="36">
        <v>2.0</v>
      </c>
      <c r="AI6" s="33">
        <v>45912.0</v>
      </c>
      <c r="AJ6" s="28">
        <v>1.3</v>
      </c>
      <c r="AK6" s="36">
        <v>0.3</v>
      </c>
      <c r="AL6" s="36">
        <v>0.01</v>
      </c>
      <c r="AM6" s="36">
        <v>1.7</v>
      </c>
      <c r="AN6" s="36">
        <v>1.2</v>
      </c>
      <c r="AO6" s="36">
        <v>0.4</v>
      </c>
      <c r="AP6" s="36">
        <v>6.0</v>
      </c>
      <c r="AQ6" s="24">
        <v>7.5</v>
      </c>
      <c r="AR6" s="28">
        <f>SUM(AP6:AQ6)+1</f>
        <v>14.5</v>
      </c>
      <c r="AS6" s="21">
        <f t="shared" ref="AS6:AT6" si="13">SUM(AP6)</f>
        <v>6</v>
      </c>
      <c r="AT6">
        <f t="shared" si="13"/>
        <v>7.5</v>
      </c>
      <c r="AU6">
        <f t="shared" si="6"/>
        <v>11.1</v>
      </c>
      <c r="AV6">
        <f t="shared" si="7"/>
        <v>12</v>
      </c>
      <c r="AW6">
        <f t="shared" si="8"/>
        <v>12</v>
      </c>
      <c r="AX6">
        <f t="shared" si="9"/>
        <v>12</v>
      </c>
      <c r="AY6">
        <f t="shared" ref="AY6:BD6" si="14">SUM(AJ6)</f>
        <v>1.3</v>
      </c>
      <c r="AZ6">
        <f t="shared" si="14"/>
        <v>0.3</v>
      </c>
      <c r="BA6">
        <f t="shared" si="14"/>
        <v>0.01</v>
      </c>
      <c r="BB6">
        <f t="shared" si="14"/>
        <v>1.7</v>
      </c>
      <c r="BC6">
        <f t="shared" si="14"/>
        <v>1.2</v>
      </c>
      <c r="BD6">
        <f t="shared" si="14"/>
        <v>0.4</v>
      </c>
      <c r="BE6">
        <f t="shared" si="11"/>
        <v>14.5</v>
      </c>
      <c r="BF6" s="24">
        <v>3.0</v>
      </c>
      <c r="BG6" s="50">
        <f t="shared" si="12"/>
        <v>83.01</v>
      </c>
      <c r="BH6" s="32">
        <v>1.0</v>
      </c>
    </row>
    <row r="7">
      <c r="A7" s="36">
        <v>408762.0</v>
      </c>
      <c r="B7" s="36" t="s">
        <v>331</v>
      </c>
      <c r="C7" s="4"/>
      <c r="D7" s="25" t="s">
        <v>91</v>
      </c>
      <c r="E7" s="27" t="s">
        <v>91</v>
      </c>
      <c r="F7" s="27" t="s">
        <v>84</v>
      </c>
      <c r="G7" s="27" t="s">
        <v>84</v>
      </c>
      <c r="H7" s="27" t="s">
        <v>91</v>
      </c>
      <c r="I7" s="27" t="s">
        <v>84</v>
      </c>
      <c r="J7" s="27" t="s">
        <v>91</v>
      </c>
      <c r="K7" s="27" t="s">
        <v>91</v>
      </c>
      <c r="L7" s="27" t="s">
        <v>91</v>
      </c>
      <c r="M7" s="27" t="s">
        <v>91</v>
      </c>
      <c r="N7" s="27" t="s">
        <v>91</v>
      </c>
      <c r="O7" s="27" t="s">
        <v>91</v>
      </c>
      <c r="P7" s="27" t="s">
        <v>91</v>
      </c>
      <c r="Q7" s="27" t="s">
        <v>91</v>
      </c>
      <c r="R7" s="27"/>
      <c r="S7" s="27"/>
      <c r="T7" s="28">
        <v>408762.0</v>
      </c>
      <c r="W7" s="38"/>
      <c r="X7" s="21"/>
      <c r="AA7" s="38"/>
      <c r="AB7" s="21"/>
      <c r="AE7" s="38"/>
      <c r="AF7" s="21"/>
      <c r="AI7" s="38"/>
      <c r="AJ7" s="21"/>
      <c r="AK7" s="36">
        <v>0.5</v>
      </c>
      <c r="AL7" s="36">
        <v>0.5</v>
      </c>
      <c r="AM7" s="36">
        <v>0.8</v>
      </c>
      <c r="AN7" s="36">
        <v>1.2</v>
      </c>
      <c r="AO7" s="36">
        <v>1.2</v>
      </c>
      <c r="AP7" s="36">
        <v>6.0</v>
      </c>
      <c r="AQ7" s="24">
        <v>6.0</v>
      </c>
      <c r="AR7" s="28"/>
      <c r="AS7" s="21">
        <f t="shared" ref="AS7:AT7" si="15">SUM(AP7)</f>
        <v>6</v>
      </c>
      <c r="AT7">
        <f t="shared" si="15"/>
        <v>6</v>
      </c>
      <c r="AU7">
        <f t="shared" si="6"/>
        <v>0</v>
      </c>
      <c r="AV7">
        <f t="shared" si="7"/>
        <v>0</v>
      </c>
      <c r="AW7">
        <f t="shared" si="8"/>
        <v>0</v>
      </c>
      <c r="AX7">
        <f t="shared" si="9"/>
        <v>0</v>
      </c>
      <c r="AY7">
        <f t="shared" ref="AY7:BD7" si="16">SUM(AJ7)</f>
        <v>0</v>
      </c>
      <c r="AZ7">
        <f t="shared" si="16"/>
        <v>0.5</v>
      </c>
      <c r="BA7">
        <f t="shared" si="16"/>
        <v>0.5</v>
      </c>
      <c r="BB7">
        <f t="shared" si="16"/>
        <v>0.8</v>
      </c>
      <c r="BC7">
        <f t="shared" si="16"/>
        <v>1.2</v>
      </c>
      <c r="BD7">
        <f t="shared" si="16"/>
        <v>1.2</v>
      </c>
      <c r="BE7">
        <f t="shared" si="11"/>
        <v>0</v>
      </c>
      <c r="BF7" s="4"/>
      <c r="BG7" s="50">
        <f t="shared" si="12"/>
        <v>16.2</v>
      </c>
      <c r="BH7" s="32"/>
    </row>
    <row r="8">
      <c r="A8" s="43">
        <v>466207.0</v>
      </c>
      <c r="B8" s="55" t="s">
        <v>332</v>
      </c>
      <c r="C8" s="24"/>
      <c r="D8" s="25" t="s">
        <v>91</v>
      </c>
      <c r="E8" s="27" t="s">
        <v>84</v>
      </c>
      <c r="F8" s="27" t="s">
        <v>84</v>
      </c>
      <c r="G8" s="27" t="s">
        <v>91</v>
      </c>
      <c r="H8" s="27" t="s">
        <v>84</v>
      </c>
      <c r="I8" s="27" t="s">
        <v>91</v>
      </c>
      <c r="J8" s="27" t="s">
        <v>84</v>
      </c>
      <c r="K8" s="27" t="s">
        <v>91</v>
      </c>
      <c r="L8" s="27" t="s">
        <v>84</v>
      </c>
      <c r="M8" s="27" t="s">
        <v>91</v>
      </c>
      <c r="N8" s="27" t="s">
        <v>84</v>
      </c>
      <c r="O8" s="27" t="s">
        <v>91</v>
      </c>
      <c r="P8" s="27" t="s">
        <v>91</v>
      </c>
      <c r="Q8" s="27" t="s">
        <v>84</v>
      </c>
      <c r="R8" s="27"/>
      <c r="S8" s="27"/>
      <c r="T8" s="138">
        <v>466207.0</v>
      </c>
      <c r="U8" s="36">
        <v>10.0</v>
      </c>
      <c r="V8" s="36">
        <v>1.0</v>
      </c>
      <c r="W8" s="24" t="s">
        <v>333</v>
      </c>
      <c r="X8" s="28">
        <v>3217.0</v>
      </c>
      <c r="Y8" s="36">
        <v>10.0</v>
      </c>
      <c r="Z8" s="36">
        <v>0.0</v>
      </c>
      <c r="AA8" s="24" t="s">
        <v>327</v>
      </c>
      <c r="AB8" s="28">
        <v>3108.0</v>
      </c>
      <c r="AC8" s="36">
        <v>10.0</v>
      </c>
      <c r="AD8" s="36">
        <v>0.0</v>
      </c>
      <c r="AE8" s="24" t="s">
        <v>137</v>
      </c>
      <c r="AF8" s="28">
        <v>1232.0</v>
      </c>
      <c r="AG8" s="36">
        <v>10.0</v>
      </c>
      <c r="AH8" s="36">
        <v>2.0</v>
      </c>
      <c r="AI8" s="24" t="s">
        <v>328</v>
      </c>
      <c r="AJ8" s="28">
        <v>0.2</v>
      </c>
      <c r="AK8" s="36">
        <v>1.0</v>
      </c>
      <c r="AL8" s="36">
        <v>0.2</v>
      </c>
      <c r="AM8" s="36">
        <v>0.4</v>
      </c>
      <c r="AN8" s="36">
        <v>1.6</v>
      </c>
      <c r="AO8" s="36">
        <v>1.6</v>
      </c>
      <c r="AP8" s="36">
        <v>6.0</v>
      </c>
      <c r="AQ8" s="24">
        <v>8.08</v>
      </c>
      <c r="AR8" s="28">
        <f t="shared" ref="AR8:AR16" si="19">SUM(AP8:AQ8)</f>
        <v>14.08</v>
      </c>
      <c r="AS8" s="21">
        <f t="shared" ref="AS8:AT8" si="17">SUM(AP8)</f>
        <v>6</v>
      </c>
      <c r="AT8">
        <f t="shared" si="17"/>
        <v>8.08</v>
      </c>
      <c r="AU8">
        <f t="shared" si="6"/>
        <v>11</v>
      </c>
      <c r="AV8">
        <f t="shared" si="7"/>
        <v>10</v>
      </c>
      <c r="AW8">
        <f t="shared" si="8"/>
        <v>10</v>
      </c>
      <c r="AX8">
        <f t="shared" si="9"/>
        <v>12</v>
      </c>
      <c r="AY8">
        <f t="shared" ref="AY8:BD8" si="18">SUM(AJ8)</f>
        <v>0.2</v>
      </c>
      <c r="AZ8">
        <f t="shared" si="18"/>
        <v>1</v>
      </c>
      <c r="BA8">
        <f t="shared" si="18"/>
        <v>0.2</v>
      </c>
      <c r="BB8">
        <f t="shared" si="18"/>
        <v>0.4</v>
      </c>
      <c r="BC8">
        <f t="shared" si="18"/>
        <v>1.6</v>
      </c>
      <c r="BD8">
        <f t="shared" si="18"/>
        <v>1.6</v>
      </c>
      <c r="BE8">
        <f t="shared" si="11"/>
        <v>14.08</v>
      </c>
      <c r="BF8" s="4"/>
      <c r="BG8" s="50">
        <f t="shared" si="12"/>
        <v>76.16</v>
      </c>
      <c r="BH8" s="32">
        <v>1.0</v>
      </c>
    </row>
    <row r="9">
      <c r="A9" s="43">
        <v>466380.0</v>
      </c>
      <c r="B9" s="55" t="s">
        <v>334</v>
      </c>
      <c r="C9" s="24"/>
      <c r="D9" s="25" t="s">
        <v>84</v>
      </c>
      <c r="E9" s="27" t="s">
        <v>84</v>
      </c>
      <c r="F9" s="27" t="s">
        <v>91</v>
      </c>
      <c r="G9" s="27" t="s">
        <v>91</v>
      </c>
      <c r="H9" s="27" t="s">
        <v>84</v>
      </c>
      <c r="I9" s="27" t="s">
        <v>84</v>
      </c>
      <c r="J9" s="27" t="s">
        <v>91</v>
      </c>
      <c r="K9" s="27" t="s">
        <v>84</v>
      </c>
      <c r="L9" s="27" t="s">
        <v>84</v>
      </c>
      <c r="M9" s="27" t="s">
        <v>91</v>
      </c>
      <c r="N9" s="27" t="s">
        <v>84</v>
      </c>
      <c r="O9" s="27" t="s">
        <v>84</v>
      </c>
      <c r="P9" s="27" t="s">
        <v>91</v>
      </c>
      <c r="Q9" s="27" t="s">
        <v>84</v>
      </c>
      <c r="R9" s="27"/>
      <c r="S9" s="27"/>
      <c r="T9" s="138">
        <v>466380.0</v>
      </c>
      <c r="U9" s="36">
        <v>10.0</v>
      </c>
      <c r="V9" s="36">
        <v>0.0</v>
      </c>
      <c r="W9" s="75" t="s">
        <v>330</v>
      </c>
      <c r="X9" s="28">
        <v>3393.0</v>
      </c>
      <c r="Y9" s="36">
        <v>10.0</v>
      </c>
      <c r="Z9" s="36">
        <v>1.0</v>
      </c>
      <c r="AA9" s="75" t="s">
        <v>322</v>
      </c>
      <c r="AB9" s="28">
        <v>3844.0</v>
      </c>
      <c r="AC9" s="36">
        <v>10.0</v>
      </c>
      <c r="AD9" s="36">
        <v>2.0</v>
      </c>
      <c r="AE9" s="75" t="s">
        <v>323</v>
      </c>
      <c r="AF9" s="28">
        <v>7543.0</v>
      </c>
      <c r="AG9" s="36">
        <v>10.0</v>
      </c>
      <c r="AH9" s="36">
        <v>1.0</v>
      </c>
      <c r="AI9" s="24" t="s">
        <v>324</v>
      </c>
      <c r="AJ9" s="28"/>
      <c r="AP9" s="36">
        <v>6.0</v>
      </c>
      <c r="AQ9" s="24">
        <v>9.25</v>
      </c>
      <c r="AR9" s="28">
        <f t="shared" si="19"/>
        <v>15.25</v>
      </c>
      <c r="AS9" s="21">
        <f t="shared" ref="AS9:AT9" si="20">SUM(AP9)</f>
        <v>6</v>
      </c>
      <c r="AT9">
        <f t="shared" si="20"/>
        <v>9.25</v>
      </c>
      <c r="AU9">
        <f t="shared" si="6"/>
        <v>10</v>
      </c>
      <c r="AV9">
        <f t="shared" si="7"/>
        <v>11</v>
      </c>
      <c r="AW9">
        <f t="shared" si="8"/>
        <v>12</v>
      </c>
      <c r="AX9">
        <f t="shared" si="9"/>
        <v>11</v>
      </c>
      <c r="AY9">
        <f t="shared" ref="AY9:BD9" si="21">SUM(AJ9)</f>
        <v>0</v>
      </c>
      <c r="AZ9">
        <f t="shared" si="21"/>
        <v>0</v>
      </c>
      <c r="BA9">
        <f t="shared" si="21"/>
        <v>0</v>
      </c>
      <c r="BB9">
        <f t="shared" si="21"/>
        <v>0</v>
      </c>
      <c r="BC9">
        <f t="shared" si="21"/>
        <v>0</v>
      </c>
      <c r="BD9">
        <f t="shared" si="21"/>
        <v>0</v>
      </c>
      <c r="BE9">
        <f t="shared" si="11"/>
        <v>15.25</v>
      </c>
      <c r="BF9" s="4"/>
      <c r="BG9" s="50">
        <f t="shared" si="12"/>
        <v>74.5</v>
      </c>
      <c r="BH9" s="32">
        <v>1.0</v>
      </c>
    </row>
    <row r="10">
      <c r="A10" s="43">
        <v>489568.0</v>
      </c>
      <c r="B10" s="209" t="s">
        <v>335</v>
      </c>
      <c r="C10" s="24"/>
      <c r="D10" s="25" t="s">
        <v>84</v>
      </c>
      <c r="E10" s="27" t="s">
        <v>84</v>
      </c>
      <c r="F10" s="27" t="s">
        <v>84</v>
      </c>
      <c r="G10" s="27" t="s">
        <v>84</v>
      </c>
      <c r="H10" s="27" t="s">
        <v>91</v>
      </c>
      <c r="I10" s="27" t="s">
        <v>91</v>
      </c>
      <c r="J10" s="27" t="s">
        <v>84</v>
      </c>
      <c r="K10" s="27" t="s">
        <v>84</v>
      </c>
      <c r="L10" s="27" t="s">
        <v>91</v>
      </c>
      <c r="M10" s="27" t="s">
        <v>91</v>
      </c>
      <c r="N10" s="27" t="s">
        <v>91</v>
      </c>
      <c r="O10" s="27" t="s">
        <v>91</v>
      </c>
      <c r="P10" s="27" t="s">
        <v>91</v>
      </c>
      <c r="Q10" s="27" t="s">
        <v>84</v>
      </c>
      <c r="R10" s="27"/>
      <c r="S10" s="27"/>
      <c r="T10" s="138">
        <v>489568.0</v>
      </c>
      <c r="U10" s="36">
        <v>10.0</v>
      </c>
      <c r="V10" s="36">
        <v>1.0</v>
      </c>
      <c r="W10" s="24" t="s">
        <v>336</v>
      </c>
      <c r="X10" s="28">
        <v>2007.0</v>
      </c>
      <c r="Y10" s="36">
        <v>10.0</v>
      </c>
      <c r="Z10" s="36">
        <v>2.0</v>
      </c>
      <c r="AA10" s="24" t="s">
        <v>137</v>
      </c>
      <c r="AB10" s="28">
        <v>3299.0</v>
      </c>
      <c r="AC10" s="36">
        <v>10.0</v>
      </c>
      <c r="AD10" s="36">
        <v>2.0</v>
      </c>
      <c r="AE10" s="75" t="s">
        <v>322</v>
      </c>
      <c r="AF10" s="28">
        <v>3215.0</v>
      </c>
      <c r="AG10" s="36">
        <v>10.0</v>
      </c>
      <c r="AH10" s="36">
        <v>1.0</v>
      </c>
      <c r="AI10" s="24" t="s">
        <v>337</v>
      </c>
      <c r="AJ10" s="28">
        <v>0.3</v>
      </c>
      <c r="AL10" s="36">
        <v>0.01</v>
      </c>
      <c r="AM10" s="36">
        <v>1.8</v>
      </c>
      <c r="AN10" s="36">
        <v>1.6</v>
      </c>
      <c r="AO10" s="36">
        <v>0.4</v>
      </c>
      <c r="AP10" s="36">
        <v>7.5</v>
      </c>
      <c r="AQ10" s="24">
        <v>8.25</v>
      </c>
      <c r="AR10" s="28">
        <f t="shared" si="19"/>
        <v>15.75</v>
      </c>
      <c r="AS10" s="21">
        <f t="shared" ref="AS10:AT10" si="22">SUM(AP10)</f>
        <v>7.5</v>
      </c>
      <c r="AT10">
        <f t="shared" si="22"/>
        <v>8.25</v>
      </c>
      <c r="AU10">
        <f t="shared" si="6"/>
        <v>11</v>
      </c>
      <c r="AV10">
        <f t="shared" si="7"/>
        <v>12</v>
      </c>
      <c r="AW10">
        <f t="shared" si="8"/>
        <v>12</v>
      </c>
      <c r="AX10">
        <f t="shared" si="9"/>
        <v>11</v>
      </c>
      <c r="AY10">
        <f t="shared" ref="AY10:BD10" si="23">SUM(AJ10)</f>
        <v>0.3</v>
      </c>
      <c r="AZ10">
        <f t="shared" si="23"/>
        <v>0</v>
      </c>
      <c r="BA10">
        <f t="shared" si="23"/>
        <v>0.01</v>
      </c>
      <c r="BB10">
        <f t="shared" si="23"/>
        <v>1.8</v>
      </c>
      <c r="BC10">
        <f t="shared" si="23"/>
        <v>1.6</v>
      </c>
      <c r="BD10">
        <f t="shared" si="23"/>
        <v>0.4</v>
      </c>
      <c r="BE10">
        <f t="shared" si="11"/>
        <v>15.75</v>
      </c>
      <c r="BF10" s="24">
        <v>2.0</v>
      </c>
      <c r="BG10" s="50">
        <f t="shared" si="12"/>
        <v>83.61</v>
      </c>
      <c r="BH10" s="32">
        <v>1.0</v>
      </c>
    </row>
    <row r="11">
      <c r="A11" s="43">
        <v>466823.0</v>
      </c>
      <c r="B11" s="55" t="s">
        <v>338</v>
      </c>
      <c r="C11" s="24"/>
      <c r="D11" s="25" t="s">
        <v>84</v>
      </c>
      <c r="E11" s="27" t="s">
        <v>84</v>
      </c>
      <c r="F11" s="27" t="s">
        <v>84</v>
      </c>
      <c r="G11" s="27" t="s">
        <v>84</v>
      </c>
      <c r="H11" s="27" t="s">
        <v>84</v>
      </c>
      <c r="I11" s="27" t="s">
        <v>84</v>
      </c>
      <c r="J11" s="27" t="s">
        <v>91</v>
      </c>
      <c r="K11" s="27" t="s">
        <v>84</v>
      </c>
      <c r="L11" s="27" t="s">
        <v>84</v>
      </c>
      <c r="M11" s="27" t="s">
        <v>91</v>
      </c>
      <c r="N11" s="27" t="s">
        <v>84</v>
      </c>
      <c r="O11" s="27" t="s">
        <v>84</v>
      </c>
      <c r="P11" s="27" t="s">
        <v>91</v>
      </c>
      <c r="Q11" s="27" t="s">
        <v>84</v>
      </c>
      <c r="R11" s="27"/>
      <c r="S11" s="27"/>
      <c r="T11" s="138">
        <v>466823.0</v>
      </c>
      <c r="U11" s="36">
        <v>10.0</v>
      </c>
      <c r="V11" s="36">
        <v>0.0</v>
      </c>
      <c r="W11" s="75" t="s">
        <v>330</v>
      </c>
      <c r="X11" s="28">
        <v>2492.0</v>
      </c>
      <c r="Y11" s="36">
        <v>10.0</v>
      </c>
      <c r="Z11" s="36">
        <v>1.0</v>
      </c>
      <c r="AA11" s="75" t="s">
        <v>322</v>
      </c>
      <c r="AB11" s="28">
        <v>3678.0</v>
      </c>
      <c r="AC11" s="36">
        <v>10.0</v>
      </c>
      <c r="AD11" s="36">
        <v>2.0</v>
      </c>
      <c r="AE11" s="75" t="s">
        <v>323</v>
      </c>
      <c r="AF11" s="28">
        <v>6431.0</v>
      </c>
      <c r="AG11" s="36">
        <v>10.0</v>
      </c>
      <c r="AH11" s="36">
        <v>2.0</v>
      </c>
      <c r="AI11" s="24" t="s">
        <v>324</v>
      </c>
      <c r="AJ11" s="28"/>
      <c r="AN11" s="36">
        <v>1.6</v>
      </c>
      <c r="AO11" s="36">
        <v>0.4</v>
      </c>
      <c r="AP11" s="36">
        <v>7.5</v>
      </c>
      <c r="AQ11" s="24">
        <v>7.25</v>
      </c>
      <c r="AR11" s="28">
        <f t="shared" si="19"/>
        <v>14.75</v>
      </c>
      <c r="AS11" s="21">
        <f t="shared" ref="AS11:AT11" si="24">SUM(AP11)</f>
        <v>7.5</v>
      </c>
      <c r="AT11">
        <f t="shared" si="24"/>
        <v>7.25</v>
      </c>
      <c r="AU11">
        <f t="shared" si="6"/>
        <v>10</v>
      </c>
      <c r="AV11">
        <f t="shared" si="7"/>
        <v>11</v>
      </c>
      <c r="AW11">
        <f t="shared" si="8"/>
        <v>12</v>
      </c>
      <c r="AX11">
        <f t="shared" si="9"/>
        <v>12</v>
      </c>
      <c r="AY11">
        <f t="shared" ref="AY11:BD11" si="25">SUM(AJ11)</f>
        <v>0</v>
      </c>
      <c r="AZ11">
        <f t="shared" si="25"/>
        <v>0</v>
      </c>
      <c r="BA11">
        <f t="shared" si="25"/>
        <v>0</v>
      </c>
      <c r="BB11">
        <f t="shared" si="25"/>
        <v>0</v>
      </c>
      <c r="BC11">
        <f t="shared" si="25"/>
        <v>1.6</v>
      </c>
      <c r="BD11">
        <f t="shared" si="25"/>
        <v>0.4</v>
      </c>
      <c r="BE11">
        <f t="shared" si="11"/>
        <v>14.75</v>
      </c>
      <c r="BF11" s="4"/>
      <c r="BG11" s="50">
        <f t="shared" si="12"/>
        <v>76.5</v>
      </c>
      <c r="BH11" s="32">
        <v>1.0</v>
      </c>
    </row>
    <row r="12">
      <c r="A12" s="43">
        <v>466985.0</v>
      </c>
      <c r="B12" s="210" t="s">
        <v>339</v>
      </c>
      <c r="D12" s="25" t="s">
        <v>84</v>
      </c>
      <c r="E12" s="27" t="s">
        <v>84</v>
      </c>
      <c r="F12" s="27" t="s">
        <v>84</v>
      </c>
      <c r="G12" s="27" t="s">
        <v>84</v>
      </c>
      <c r="H12" s="27" t="s">
        <v>84</v>
      </c>
      <c r="I12" s="27" t="s">
        <v>84</v>
      </c>
      <c r="J12" s="27" t="s">
        <v>84</v>
      </c>
      <c r="K12" s="27" t="s">
        <v>84</v>
      </c>
      <c r="L12" s="27" t="s">
        <v>91</v>
      </c>
      <c r="M12" s="27" t="s">
        <v>91</v>
      </c>
      <c r="N12" s="27" t="s">
        <v>91</v>
      </c>
      <c r="O12" s="27" t="s">
        <v>91</v>
      </c>
      <c r="P12" s="27" t="s">
        <v>84</v>
      </c>
      <c r="Q12" s="27" t="s">
        <v>84</v>
      </c>
      <c r="R12" s="27"/>
      <c r="S12" s="27"/>
      <c r="T12" s="138">
        <v>466985.0</v>
      </c>
      <c r="U12" s="36">
        <v>10.0</v>
      </c>
      <c r="V12" s="36">
        <v>2.0</v>
      </c>
      <c r="W12" s="82" t="s">
        <v>340</v>
      </c>
      <c r="X12" s="28">
        <v>1705.0</v>
      </c>
      <c r="Y12" s="36">
        <v>10.0</v>
      </c>
      <c r="Z12" s="36">
        <v>1.0</v>
      </c>
      <c r="AA12" s="36" t="s">
        <v>150</v>
      </c>
      <c r="AB12" s="28">
        <v>3009.0</v>
      </c>
      <c r="AC12" s="36">
        <v>10.0</v>
      </c>
      <c r="AD12" s="36">
        <v>1.0</v>
      </c>
      <c r="AE12" s="36" t="s">
        <v>327</v>
      </c>
      <c r="AF12" s="28">
        <v>6436.0</v>
      </c>
      <c r="AG12" s="36">
        <v>10.0</v>
      </c>
      <c r="AH12" s="36">
        <v>2.0</v>
      </c>
      <c r="AI12" s="85">
        <v>45912.0</v>
      </c>
      <c r="AJ12" s="28">
        <v>1.3</v>
      </c>
      <c r="AK12" s="36">
        <v>0.7</v>
      </c>
      <c r="AO12" s="36">
        <v>1.8</v>
      </c>
      <c r="AP12" s="36">
        <v>6.0</v>
      </c>
      <c r="AQ12" s="36">
        <v>8.5</v>
      </c>
      <c r="AR12" s="28">
        <f t="shared" si="19"/>
        <v>14.5</v>
      </c>
      <c r="AS12" s="21">
        <f t="shared" ref="AS12:AT12" si="26">SUM(AP12)</f>
        <v>6</v>
      </c>
      <c r="AT12">
        <f t="shared" si="26"/>
        <v>8.5</v>
      </c>
      <c r="AU12">
        <f t="shared" si="6"/>
        <v>12</v>
      </c>
      <c r="AV12">
        <f t="shared" si="7"/>
        <v>11</v>
      </c>
      <c r="AW12">
        <f t="shared" si="8"/>
        <v>11</v>
      </c>
      <c r="AX12">
        <f t="shared" si="9"/>
        <v>12</v>
      </c>
      <c r="AY12">
        <f t="shared" ref="AY12:BD12" si="27">SUM(AJ12)</f>
        <v>1.3</v>
      </c>
      <c r="AZ12">
        <f t="shared" si="27"/>
        <v>0.7</v>
      </c>
      <c r="BA12">
        <f t="shared" si="27"/>
        <v>0</v>
      </c>
      <c r="BB12">
        <f t="shared" si="27"/>
        <v>0</v>
      </c>
      <c r="BC12">
        <f t="shared" si="27"/>
        <v>0</v>
      </c>
      <c r="BD12">
        <f t="shared" si="27"/>
        <v>1.8</v>
      </c>
      <c r="BE12">
        <f t="shared" si="11"/>
        <v>14.5</v>
      </c>
      <c r="BF12" s="4"/>
      <c r="BG12" s="50">
        <f t="shared" si="12"/>
        <v>78.8</v>
      </c>
      <c r="BH12" s="32">
        <v>1.0</v>
      </c>
    </row>
    <row r="13">
      <c r="A13" s="43">
        <v>467353.0</v>
      </c>
      <c r="B13" s="55" t="s">
        <v>341</v>
      </c>
      <c r="D13" s="25" t="s">
        <v>84</v>
      </c>
      <c r="E13" s="27" t="s">
        <v>84</v>
      </c>
      <c r="F13" s="27" t="s">
        <v>91</v>
      </c>
      <c r="G13" s="27" t="s">
        <v>91</v>
      </c>
      <c r="H13" s="27" t="s">
        <v>84</v>
      </c>
      <c r="I13" s="27" t="s">
        <v>91</v>
      </c>
      <c r="J13" s="27" t="s">
        <v>91</v>
      </c>
      <c r="K13" s="27" t="s">
        <v>84</v>
      </c>
      <c r="L13" s="27" t="s">
        <v>91</v>
      </c>
      <c r="M13" s="27" t="s">
        <v>84</v>
      </c>
      <c r="N13" s="27" t="s">
        <v>91</v>
      </c>
      <c r="O13" s="27" t="s">
        <v>91</v>
      </c>
      <c r="P13" s="27" t="s">
        <v>91</v>
      </c>
      <c r="Q13" s="27" t="s">
        <v>84</v>
      </c>
      <c r="R13" s="27"/>
      <c r="S13" s="27"/>
      <c r="T13" s="138">
        <v>467353.0</v>
      </c>
      <c r="U13" s="36">
        <v>10.0</v>
      </c>
      <c r="V13" s="36">
        <v>1.0</v>
      </c>
      <c r="W13" s="36" t="s">
        <v>327</v>
      </c>
      <c r="X13" s="28">
        <v>2314.0</v>
      </c>
      <c r="Y13" s="36">
        <v>10.0</v>
      </c>
      <c r="Z13" s="36">
        <v>0.0</v>
      </c>
      <c r="AA13" s="82" t="s">
        <v>322</v>
      </c>
      <c r="AB13" s="28">
        <v>3711.0</v>
      </c>
      <c r="AC13" s="36">
        <v>10.0</v>
      </c>
      <c r="AD13" s="36">
        <v>2.0</v>
      </c>
      <c r="AE13" s="36" t="s">
        <v>342</v>
      </c>
      <c r="AF13" s="28">
        <v>6757.0</v>
      </c>
      <c r="AG13" s="36">
        <v>10.0</v>
      </c>
      <c r="AH13" s="36">
        <v>2.0</v>
      </c>
      <c r="AI13" s="85">
        <v>45912.0</v>
      </c>
      <c r="AJ13" s="28">
        <v>1.9</v>
      </c>
      <c r="AK13" s="36">
        <v>1.4</v>
      </c>
      <c r="AL13" s="36">
        <v>0.5</v>
      </c>
      <c r="AM13" s="36">
        <v>0.8</v>
      </c>
      <c r="AN13" s="36">
        <v>1.6</v>
      </c>
      <c r="AO13" s="36">
        <v>1.2</v>
      </c>
      <c r="AP13" s="36">
        <v>7.5</v>
      </c>
      <c r="AQ13" s="36">
        <v>8.75</v>
      </c>
      <c r="AR13" s="28">
        <f t="shared" si="19"/>
        <v>16.25</v>
      </c>
      <c r="AS13" s="21">
        <f t="shared" ref="AS13:AT13" si="28">SUM(AP13)</f>
        <v>7.5</v>
      </c>
      <c r="AT13">
        <f t="shared" si="28"/>
        <v>8.75</v>
      </c>
      <c r="AU13">
        <f t="shared" si="6"/>
        <v>11</v>
      </c>
      <c r="AV13">
        <f t="shared" si="7"/>
        <v>10</v>
      </c>
      <c r="AW13">
        <f t="shared" si="8"/>
        <v>12</v>
      </c>
      <c r="AX13">
        <f t="shared" si="9"/>
        <v>12</v>
      </c>
      <c r="AY13">
        <f t="shared" ref="AY13:BD13" si="29">SUM(AJ13)</f>
        <v>1.9</v>
      </c>
      <c r="AZ13">
        <f t="shared" si="29"/>
        <v>1.4</v>
      </c>
      <c r="BA13">
        <f t="shared" si="29"/>
        <v>0.5</v>
      </c>
      <c r="BB13">
        <f t="shared" si="29"/>
        <v>0.8</v>
      </c>
      <c r="BC13">
        <f t="shared" si="29"/>
        <v>1.6</v>
      </c>
      <c r="BD13">
        <f t="shared" si="29"/>
        <v>1.2</v>
      </c>
      <c r="BE13">
        <f t="shared" si="11"/>
        <v>16.25</v>
      </c>
      <c r="BF13" s="4"/>
      <c r="BG13" s="50">
        <f t="shared" si="12"/>
        <v>84.9</v>
      </c>
      <c r="BH13" s="32">
        <v>1.0</v>
      </c>
    </row>
    <row r="14">
      <c r="A14" s="43">
        <v>467467.0</v>
      </c>
      <c r="B14" s="55" t="s">
        <v>343</v>
      </c>
      <c r="D14" s="25" t="s">
        <v>84</v>
      </c>
      <c r="E14" s="27" t="s">
        <v>84</v>
      </c>
      <c r="F14" s="27" t="s">
        <v>84</v>
      </c>
      <c r="G14" s="27" t="s">
        <v>91</v>
      </c>
      <c r="H14" s="27" t="s">
        <v>84</v>
      </c>
      <c r="I14" s="27" t="s">
        <v>91</v>
      </c>
      <c r="J14" s="27" t="s">
        <v>84</v>
      </c>
      <c r="K14" s="27" t="s">
        <v>91</v>
      </c>
      <c r="L14" s="27" t="s">
        <v>91</v>
      </c>
      <c r="M14" s="27" t="s">
        <v>91</v>
      </c>
      <c r="N14" s="27" t="s">
        <v>91</v>
      </c>
      <c r="O14" s="27" t="s">
        <v>91</v>
      </c>
      <c r="P14" s="27" t="s">
        <v>84</v>
      </c>
      <c r="Q14" s="27" t="s">
        <v>84</v>
      </c>
      <c r="R14" s="27"/>
      <c r="S14" s="27"/>
      <c r="T14" s="138">
        <v>467467.0</v>
      </c>
      <c r="U14" s="36">
        <v>10.0</v>
      </c>
      <c r="V14" s="36">
        <v>2.0</v>
      </c>
      <c r="W14" s="36" t="s">
        <v>333</v>
      </c>
      <c r="X14" s="28">
        <v>1805.0</v>
      </c>
      <c r="Y14" s="36">
        <v>10.0</v>
      </c>
      <c r="Z14" s="36">
        <v>1.0</v>
      </c>
      <c r="AA14" s="36" t="s">
        <v>150</v>
      </c>
      <c r="AB14" s="28">
        <v>3207.0</v>
      </c>
      <c r="AC14" s="36">
        <v>10.0</v>
      </c>
      <c r="AD14" s="36">
        <v>2.0</v>
      </c>
      <c r="AE14" s="36" t="s">
        <v>137</v>
      </c>
      <c r="AF14" s="28">
        <v>3214.0</v>
      </c>
      <c r="AG14" s="36">
        <v>10.0</v>
      </c>
      <c r="AH14" s="36">
        <v>2.0</v>
      </c>
      <c r="AI14" s="85">
        <v>45912.0</v>
      </c>
      <c r="AJ14" s="28">
        <v>0.3</v>
      </c>
      <c r="AK14" s="36">
        <v>1.1</v>
      </c>
      <c r="AN14" s="36">
        <v>0.8</v>
      </c>
      <c r="AO14" s="36">
        <v>0.4</v>
      </c>
      <c r="AP14" s="36">
        <v>7.5</v>
      </c>
      <c r="AQ14" s="36">
        <v>6.0</v>
      </c>
      <c r="AR14" s="28">
        <f t="shared" si="19"/>
        <v>13.5</v>
      </c>
      <c r="AS14" s="21">
        <f t="shared" ref="AS14:AT14" si="30">SUM(AP14)</f>
        <v>7.5</v>
      </c>
      <c r="AT14">
        <f t="shared" si="30"/>
        <v>6</v>
      </c>
      <c r="AU14">
        <f t="shared" si="6"/>
        <v>12</v>
      </c>
      <c r="AV14">
        <f t="shared" si="7"/>
        <v>11</v>
      </c>
      <c r="AW14">
        <f t="shared" si="8"/>
        <v>12</v>
      </c>
      <c r="AX14">
        <f t="shared" si="9"/>
        <v>12</v>
      </c>
      <c r="AY14">
        <f t="shared" ref="AY14:BD14" si="31">SUM(AJ14)</f>
        <v>0.3</v>
      </c>
      <c r="AZ14">
        <f t="shared" si="31"/>
        <v>1.1</v>
      </c>
      <c r="BA14">
        <f t="shared" si="31"/>
        <v>0</v>
      </c>
      <c r="BB14">
        <f t="shared" si="31"/>
        <v>0</v>
      </c>
      <c r="BC14">
        <f t="shared" si="31"/>
        <v>0.8</v>
      </c>
      <c r="BD14">
        <f t="shared" si="31"/>
        <v>0.4</v>
      </c>
      <c r="BE14">
        <f t="shared" si="11"/>
        <v>13.5</v>
      </c>
      <c r="BF14" s="4"/>
      <c r="BG14" s="50">
        <f t="shared" si="12"/>
        <v>76.6</v>
      </c>
      <c r="BH14" s="32">
        <v>1.0</v>
      </c>
    </row>
    <row r="15">
      <c r="A15" s="43">
        <v>467647.0</v>
      </c>
      <c r="B15" s="55" t="s">
        <v>344</v>
      </c>
      <c r="C15" s="24"/>
      <c r="D15" s="25" t="s">
        <v>84</v>
      </c>
      <c r="E15" s="27" t="s">
        <v>91</v>
      </c>
      <c r="F15" s="27" t="s">
        <v>84</v>
      </c>
      <c r="G15" s="27" t="s">
        <v>84</v>
      </c>
      <c r="H15" s="27" t="s">
        <v>84</v>
      </c>
      <c r="I15" s="27" t="s">
        <v>84</v>
      </c>
      <c r="J15" s="27" t="s">
        <v>91</v>
      </c>
      <c r="K15" s="27" t="s">
        <v>84</v>
      </c>
      <c r="L15" s="27" t="s">
        <v>84</v>
      </c>
      <c r="M15" s="27" t="s">
        <v>84</v>
      </c>
      <c r="N15" s="27" t="s">
        <v>84</v>
      </c>
      <c r="O15" s="27" t="s">
        <v>91</v>
      </c>
      <c r="P15" s="27" t="s">
        <v>84</v>
      </c>
      <c r="Q15" s="27" t="s">
        <v>84</v>
      </c>
      <c r="R15" s="27"/>
      <c r="S15" s="27"/>
      <c r="T15" s="138">
        <v>467647.0</v>
      </c>
      <c r="U15" s="36">
        <v>10.0</v>
      </c>
      <c r="V15" s="36">
        <v>1.0</v>
      </c>
      <c r="W15" s="75" t="s">
        <v>330</v>
      </c>
      <c r="X15" s="28">
        <v>2509.0</v>
      </c>
      <c r="Y15" s="36">
        <v>10.0</v>
      </c>
      <c r="Z15" s="36">
        <v>0.0</v>
      </c>
      <c r="AA15" s="75" t="s">
        <v>322</v>
      </c>
      <c r="AB15" s="28">
        <v>3422.0</v>
      </c>
      <c r="AC15" s="36">
        <v>10.0</v>
      </c>
      <c r="AD15" s="36">
        <v>2.0</v>
      </c>
      <c r="AE15" s="24" t="s">
        <v>328</v>
      </c>
      <c r="AF15" s="28">
        <v>9798.0</v>
      </c>
      <c r="AG15" s="36">
        <v>10.0</v>
      </c>
      <c r="AH15" s="36">
        <v>2.0</v>
      </c>
      <c r="AI15" s="24" t="s">
        <v>345</v>
      </c>
      <c r="AJ15" s="28">
        <v>1.1</v>
      </c>
      <c r="AL15" s="36">
        <v>0.5</v>
      </c>
      <c r="AP15" s="36">
        <v>7.5</v>
      </c>
      <c r="AQ15" s="24">
        <v>6.75</v>
      </c>
      <c r="AR15" s="28">
        <f t="shared" si="19"/>
        <v>14.25</v>
      </c>
      <c r="AS15" s="21">
        <f t="shared" ref="AS15:AT15" si="32">SUM(AP15)</f>
        <v>7.5</v>
      </c>
      <c r="AT15">
        <f t="shared" si="32"/>
        <v>6.75</v>
      </c>
      <c r="AU15">
        <f t="shared" si="6"/>
        <v>11</v>
      </c>
      <c r="AV15">
        <f t="shared" si="7"/>
        <v>10</v>
      </c>
      <c r="AW15">
        <f t="shared" si="8"/>
        <v>12</v>
      </c>
      <c r="AX15">
        <f t="shared" si="9"/>
        <v>12</v>
      </c>
      <c r="AY15">
        <f t="shared" ref="AY15:BD15" si="33">SUM(AJ15)</f>
        <v>1.1</v>
      </c>
      <c r="AZ15">
        <f t="shared" si="33"/>
        <v>0</v>
      </c>
      <c r="BA15">
        <f t="shared" si="33"/>
        <v>0.5</v>
      </c>
      <c r="BB15">
        <f t="shared" si="33"/>
        <v>0</v>
      </c>
      <c r="BC15">
        <f t="shared" si="33"/>
        <v>0</v>
      </c>
      <c r="BD15">
        <f t="shared" si="33"/>
        <v>0</v>
      </c>
      <c r="BE15">
        <f t="shared" si="11"/>
        <v>14.25</v>
      </c>
      <c r="BF15" s="4"/>
      <c r="BG15" s="50">
        <f t="shared" si="12"/>
        <v>75.1</v>
      </c>
      <c r="BH15" s="32">
        <v>1.0</v>
      </c>
    </row>
    <row r="16">
      <c r="A16" s="43">
        <v>467969.0</v>
      </c>
      <c r="B16" s="55" t="s">
        <v>346</v>
      </c>
      <c r="C16" s="24"/>
      <c r="D16" s="25" t="s">
        <v>84</v>
      </c>
      <c r="E16" s="27" t="s">
        <v>84</v>
      </c>
      <c r="F16" s="27" t="s">
        <v>84</v>
      </c>
      <c r="G16" s="27" t="s">
        <v>84</v>
      </c>
      <c r="H16" s="27" t="s">
        <v>84</v>
      </c>
      <c r="I16" s="27" t="s">
        <v>91</v>
      </c>
      <c r="J16" s="27" t="s">
        <v>84</v>
      </c>
      <c r="K16" s="27" t="s">
        <v>84</v>
      </c>
      <c r="L16" s="27" t="s">
        <v>91</v>
      </c>
      <c r="M16" s="27" t="s">
        <v>84</v>
      </c>
      <c r="N16" s="27" t="s">
        <v>91</v>
      </c>
      <c r="O16" s="27" t="s">
        <v>91</v>
      </c>
      <c r="P16" s="27" t="s">
        <v>84</v>
      </c>
      <c r="Q16" s="27" t="s">
        <v>84</v>
      </c>
      <c r="R16" s="27"/>
      <c r="S16" s="27"/>
      <c r="T16" s="138">
        <v>467969.0</v>
      </c>
      <c r="U16" s="36">
        <v>10.0</v>
      </c>
      <c r="V16" s="36">
        <v>1.0</v>
      </c>
      <c r="W16" s="24" t="s">
        <v>150</v>
      </c>
      <c r="X16" s="28">
        <v>1906.0</v>
      </c>
      <c r="Y16" s="36">
        <v>10.0</v>
      </c>
      <c r="Z16" s="36">
        <v>1.0</v>
      </c>
      <c r="AA16" s="75" t="s">
        <v>322</v>
      </c>
      <c r="AB16" s="28">
        <v>3515.0</v>
      </c>
      <c r="AC16" s="36">
        <v>10.0</v>
      </c>
      <c r="AD16" s="36">
        <v>2.0</v>
      </c>
      <c r="AE16" s="24" t="s">
        <v>342</v>
      </c>
      <c r="AF16" s="28">
        <v>7657.0</v>
      </c>
      <c r="AG16" s="36">
        <v>10.0</v>
      </c>
      <c r="AH16" s="36">
        <v>2.0</v>
      </c>
      <c r="AI16" s="33">
        <v>45912.0</v>
      </c>
      <c r="AJ16" s="28">
        <v>1.5</v>
      </c>
      <c r="AK16" s="36">
        <v>1.2</v>
      </c>
      <c r="AL16" s="36">
        <v>0.8</v>
      </c>
      <c r="AM16" s="36">
        <v>0.4</v>
      </c>
      <c r="AN16" s="36">
        <v>1.2</v>
      </c>
      <c r="AO16" s="36">
        <v>1.2</v>
      </c>
      <c r="AP16" s="36">
        <v>8.0</v>
      </c>
      <c r="AQ16" s="24">
        <v>6.25</v>
      </c>
      <c r="AR16" s="28">
        <f t="shared" si="19"/>
        <v>14.25</v>
      </c>
      <c r="AS16" s="21">
        <f t="shared" ref="AS16:AT16" si="34">SUM(AP16)</f>
        <v>8</v>
      </c>
      <c r="AT16">
        <f t="shared" si="34"/>
        <v>6.25</v>
      </c>
      <c r="AU16">
        <f t="shared" si="6"/>
        <v>11</v>
      </c>
      <c r="AV16">
        <f t="shared" si="7"/>
        <v>11</v>
      </c>
      <c r="AW16">
        <f t="shared" si="8"/>
        <v>12</v>
      </c>
      <c r="AX16">
        <f t="shared" si="9"/>
        <v>12</v>
      </c>
      <c r="AY16">
        <f t="shared" ref="AY16:BD16" si="35">SUM(AJ16)</f>
        <v>1.5</v>
      </c>
      <c r="AZ16">
        <f t="shared" si="35"/>
        <v>1.2</v>
      </c>
      <c r="BA16">
        <f t="shared" si="35"/>
        <v>0.8</v>
      </c>
      <c r="BB16">
        <f t="shared" si="35"/>
        <v>0.4</v>
      </c>
      <c r="BC16">
        <f t="shared" si="35"/>
        <v>1.2</v>
      </c>
      <c r="BD16">
        <f t="shared" si="35"/>
        <v>1.2</v>
      </c>
      <c r="BE16">
        <f t="shared" si="11"/>
        <v>14.25</v>
      </c>
      <c r="BF16" s="24">
        <v>3.0</v>
      </c>
      <c r="BG16" s="50">
        <f t="shared" si="12"/>
        <v>83.8</v>
      </c>
      <c r="BH16" s="32">
        <v>1.0</v>
      </c>
    </row>
    <row r="17">
      <c r="A17" s="36"/>
      <c r="T17" s="36"/>
      <c r="U17" s="36"/>
      <c r="V17" s="36"/>
      <c r="W17" s="37"/>
      <c r="Z17" s="36"/>
      <c r="AA17" s="37"/>
      <c r="AC17" s="36"/>
      <c r="AD17" s="36"/>
      <c r="AE17" s="37"/>
      <c r="AG17" s="36"/>
      <c r="AH17" s="36"/>
      <c r="AI17" s="36"/>
      <c r="AJ17" s="36"/>
      <c r="AP17" s="36">
        <f t="shared" ref="AP17:AQ17" si="36">COUNTA($B$4:$B$16)-COUNTIF(AP4:AP16,"&gt;=6")</f>
        <v>0</v>
      </c>
      <c r="AQ17" s="36">
        <f t="shared" si="36"/>
        <v>0</v>
      </c>
      <c r="BG17" s="39"/>
      <c r="BH17" s="32"/>
    </row>
    <row r="18">
      <c r="A18" s="43">
        <v>471872.0</v>
      </c>
      <c r="B18" s="69" t="s">
        <v>347</v>
      </c>
      <c r="C18" s="24"/>
      <c r="D18" s="25" t="s">
        <v>84</v>
      </c>
      <c r="E18" s="27" t="s">
        <v>91</v>
      </c>
      <c r="F18" s="27" t="s">
        <v>91</v>
      </c>
      <c r="G18" s="27" t="s">
        <v>91</v>
      </c>
      <c r="H18" s="27" t="s">
        <v>91</v>
      </c>
      <c r="I18" s="27" t="s">
        <v>91</v>
      </c>
      <c r="J18" s="27" t="s">
        <v>91</v>
      </c>
      <c r="K18" s="27" t="s">
        <v>91</v>
      </c>
      <c r="L18" s="27" t="s">
        <v>91</v>
      </c>
      <c r="M18" s="27" t="s">
        <v>91</v>
      </c>
      <c r="N18" s="27" t="s">
        <v>91</v>
      </c>
      <c r="O18" s="27" t="s">
        <v>91</v>
      </c>
      <c r="P18" s="27" t="s">
        <v>91</v>
      </c>
      <c r="Q18" s="27" t="s">
        <v>91</v>
      </c>
      <c r="R18" s="27"/>
      <c r="S18" s="27"/>
      <c r="T18" s="138">
        <v>471872.0</v>
      </c>
      <c r="W18" s="24"/>
      <c r="X18" s="28"/>
      <c r="AA18" s="67"/>
      <c r="AB18" s="28"/>
      <c r="AE18" s="24"/>
      <c r="AF18" s="28"/>
      <c r="AI18" s="68"/>
      <c r="AJ18" s="28"/>
      <c r="AQ18" s="24"/>
      <c r="AR18" s="30"/>
      <c r="AS18">
        <f t="shared" ref="AS18:AT18" si="37">SUM(AP18)</f>
        <v>0</v>
      </c>
      <c r="AT18">
        <f t="shared" si="37"/>
        <v>0</v>
      </c>
      <c r="AU18" s="21">
        <f t="shared" ref="AU18:AU20" si="40">SUM(U18,V18)</f>
        <v>0</v>
      </c>
      <c r="AV18">
        <f t="shared" ref="AV18:AV20" si="41">SUM(Y18,Z18)</f>
        <v>0</v>
      </c>
      <c r="AW18">
        <f t="shared" ref="AW18:AW20" si="42">SUM(AC18,AD18)</f>
        <v>0</v>
      </c>
      <c r="AX18">
        <f t="shared" ref="AX18:AX20" si="43">SUM(AG18,AH18)</f>
        <v>0</v>
      </c>
      <c r="AY18">
        <f t="shared" ref="AY18:BD18" si="38">SUM(AJ18)</f>
        <v>0</v>
      </c>
      <c r="AZ18">
        <f t="shared" si="38"/>
        <v>0</v>
      </c>
      <c r="BA18">
        <f t="shared" si="38"/>
        <v>0</v>
      </c>
      <c r="BB18">
        <f t="shared" si="38"/>
        <v>0</v>
      </c>
      <c r="BC18">
        <f t="shared" si="38"/>
        <v>0</v>
      </c>
      <c r="BD18">
        <f t="shared" si="38"/>
        <v>0</v>
      </c>
      <c r="BE18">
        <f t="shared" ref="BE18:BE20" si="45">SUM(AR18)</f>
        <v>0</v>
      </c>
      <c r="BG18" s="31">
        <f t="shared" ref="BG18:BG20" si="46">SUM(AU18:BF18)</f>
        <v>0</v>
      </c>
      <c r="BH18" s="32"/>
    </row>
    <row r="19">
      <c r="A19" s="43">
        <v>466593.0</v>
      </c>
      <c r="B19" s="69" t="s">
        <v>348</v>
      </c>
      <c r="C19" s="4"/>
      <c r="D19" s="25" t="s">
        <v>91</v>
      </c>
      <c r="E19" s="27" t="s">
        <v>91</v>
      </c>
      <c r="F19" s="27" t="s">
        <v>91</v>
      </c>
      <c r="G19" s="27" t="s">
        <v>91</v>
      </c>
      <c r="H19" s="27" t="s">
        <v>91</v>
      </c>
      <c r="I19" s="27" t="s">
        <v>91</v>
      </c>
      <c r="J19" s="27" t="s">
        <v>91</v>
      </c>
      <c r="K19" s="27" t="s">
        <v>91</v>
      </c>
      <c r="L19" s="27" t="s">
        <v>91</v>
      </c>
      <c r="M19" s="27" t="s">
        <v>91</v>
      </c>
      <c r="N19" s="27" t="s">
        <v>91</v>
      </c>
      <c r="O19" s="27" t="s">
        <v>91</v>
      </c>
      <c r="P19" s="27" t="s">
        <v>91</v>
      </c>
      <c r="Q19" s="27" t="s">
        <v>84</v>
      </c>
      <c r="R19" s="27"/>
      <c r="S19" s="27"/>
      <c r="T19" s="138">
        <v>466593.0</v>
      </c>
      <c r="U19" s="58"/>
      <c r="V19" s="58"/>
      <c r="W19" s="132"/>
      <c r="X19" s="60"/>
      <c r="Y19" s="58"/>
      <c r="Z19" s="58"/>
      <c r="AA19" s="132"/>
      <c r="AB19" s="60"/>
      <c r="AE19" s="24"/>
      <c r="AF19" s="28"/>
      <c r="AI19" s="63"/>
      <c r="AJ19" s="21"/>
      <c r="AQ19" s="24"/>
      <c r="AR19" s="30"/>
      <c r="AS19">
        <f t="shared" ref="AS19:AT19" si="39">SUM(AP19)</f>
        <v>0</v>
      </c>
      <c r="AT19">
        <f t="shared" si="39"/>
        <v>0</v>
      </c>
      <c r="AU19" s="21">
        <f t="shared" si="40"/>
        <v>0</v>
      </c>
      <c r="AV19">
        <f t="shared" si="41"/>
        <v>0</v>
      </c>
      <c r="AW19">
        <f t="shared" si="42"/>
        <v>0</v>
      </c>
      <c r="AX19">
        <f t="shared" si="43"/>
        <v>0</v>
      </c>
      <c r="AY19">
        <f t="shared" ref="AY19:BD19" si="44">SUM(AJ19)</f>
        <v>0</v>
      </c>
      <c r="AZ19">
        <f t="shared" si="44"/>
        <v>0</v>
      </c>
      <c r="BA19">
        <f t="shared" si="44"/>
        <v>0</v>
      </c>
      <c r="BB19">
        <f t="shared" si="44"/>
        <v>0</v>
      </c>
      <c r="BC19">
        <f t="shared" si="44"/>
        <v>0</v>
      </c>
      <c r="BD19">
        <f t="shared" si="44"/>
        <v>0</v>
      </c>
      <c r="BE19">
        <f t="shared" si="45"/>
        <v>0</v>
      </c>
      <c r="BG19" s="31">
        <f t="shared" si="46"/>
        <v>0</v>
      </c>
      <c r="BH19" s="32"/>
    </row>
    <row r="20">
      <c r="A20" s="43">
        <v>466930.0</v>
      </c>
      <c r="B20" s="69" t="s">
        <v>349</v>
      </c>
      <c r="C20" s="24"/>
      <c r="D20" s="25" t="s">
        <v>91</v>
      </c>
      <c r="E20" s="27" t="s">
        <v>91</v>
      </c>
      <c r="F20" s="27" t="s">
        <v>91</v>
      </c>
      <c r="G20" s="27" t="s">
        <v>91</v>
      </c>
      <c r="H20" s="27" t="s">
        <v>91</v>
      </c>
      <c r="I20" s="27" t="s">
        <v>91</v>
      </c>
      <c r="J20" s="27" t="s">
        <v>91</v>
      </c>
      <c r="K20" s="27" t="s">
        <v>91</v>
      </c>
      <c r="L20" s="27" t="s">
        <v>91</v>
      </c>
      <c r="M20" s="27" t="s">
        <v>91</v>
      </c>
      <c r="N20" s="27" t="s">
        <v>91</v>
      </c>
      <c r="O20" s="27" t="s">
        <v>91</v>
      </c>
      <c r="P20" s="27" t="s">
        <v>91</v>
      </c>
      <c r="Q20" s="27" t="s">
        <v>91</v>
      </c>
      <c r="R20" s="27"/>
      <c r="S20" s="27"/>
      <c r="T20" s="138">
        <v>466930.0</v>
      </c>
      <c r="W20" s="33"/>
      <c r="X20" s="28"/>
      <c r="AA20" s="68"/>
      <c r="AB20" s="28"/>
      <c r="AE20" s="63"/>
      <c r="AF20" s="28"/>
      <c r="AI20" s="24"/>
      <c r="AJ20" s="28"/>
      <c r="AL20" s="36">
        <v>1.0</v>
      </c>
      <c r="AQ20" s="24"/>
      <c r="AR20" s="30"/>
      <c r="AS20">
        <f t="shared" ref="AS20:AT20" si="47">SUM(AP20)</f>
        <v>0</v>
      </c>
      <c r="AT20">
        <f t="shared" si="47"/>
        <v>0</v>
      </c>
      <c r="AU20" s="21">
        <f t="shared" si="40"/>
        <v>0</v>
      </c>
      <c r="AV20">
        <f t="shared" si="41"/>
        <v>0</v>
      </c>
      <c r="AW20">
        <f t="shared" si="42"/>
        <v>0</v>
      </c>
      <c r="AX20">
        <f t="shared" si="43"/>
        <v>0</v>
      </c>
      <c r="AY20">
        <f t="shared" ref="AY20:BD20" si="48">SUM(AJ20)</f>
        <v>0</v>
      </c>
      <c r="AZ20">
        <f t="shared" si="48"/>
        <v>0</v>
      </c>
      <c r="BA20">
        <f t="shared" si="48"/>
        <v>1</v>
      </c>
      <c r="BB20">
        <f t="shared" si="48"/>
        <v>0</v>
      </c>
      <c r="BC20">
        <f t="shared" si="48"/>
        <v>0</v>
      </c>
      <c r="BD20">
        <f t="shared" si="48"/>
        <v>0</v>
      </c>
      <c r="BE20">
        <f t="shared" si="45"/>
        <v>0</v>
      </c>
      <c r="BG20" s="31">
        <f t="shared" si="46"/>
        <v>1</v>
      </c>
      <c r="BH20" s="32"/>
    </row>
  </sheetData>
  <mergeCells count="45">
    <mergeCell ref="N2:N3"/>
    <mergeCell ref="O2:O3"/>
    <mergeCell ref="P2:P3"/>
    <mergeCell ref="Q2:Q3"/>
    <mergeCell ref="R2:R3"/>
    <mergeCell ref="S2:S3"/>
    <mergeCell ref="T2:T3"/>
    <mergeCell ref="W2:W3"/>
    <mergeCell ref="X2:X3"/>
    <mergeCell ref="AA2:AA3"/>
    <mergeCell ref="AB2:AB3"/>
    <mergeCell ref="AE2:AE3"/>
    <mergeCell ref="AF2:AF3"/>
    <mergeCell ref="AI2:AI3"/>
    <mergeCell ref="A1:B1"/>
    <mergeCell ref="C1:C3"/>
    <mergeCell ref="D1:S1"/>
    <mergeCell ref="T1:W1"/>
    <mergeCell ref="X1:AA1"/>
    <mergeCell ref="AB1:AE1"/>
    <mergeCell ref="AF1:AI1"/>
    <mergeCell ref="AP2:AP3"/>
    <mergeCell ref="AQ2:AQ3"/>
    <mergeCell ref="AS1:BE2"/>
    <mergeCell ref="BG1:BG3"/>
    <mergeCell ref="BH1:BH3"/>
    <mergeCell ref="AJ2:AJ3"/>
    <mergeCell ref="AK2:AK3"/>
    <mergeCell ref="AL2:AL3"/>
    <mergeCell ref="AM2:AM3"/>
    <mergeCell ref="AR2:AR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N2:AN3"/>
    <mergeCell ref="AO2:AO3"/>
  </mergeCells>
  <conditionalFormatting sqref="AA4">
    <cfRule type="timePeriod" dxfId="0" priority="1" timePeriod="last7Days"/>
  </conditionalFormatting>
  <conditionalFormatting sqref="AE4">
    <cfRule type="timePeriod" dxfId="0" priority="2" timePeriod="last7Days"/>
  </conditionalFormatting>
  <conditionalFormatting sqref="AE4">
    <cfRule type="timePeriod" dxfId="0" priority="3" timePeriod="last7Days"/>
  </conditionalFormatting>
  <conditionalFormatting sqref="W4 AA4 AE4">
    <cfRule type="timePeriod" dxfId="0" priority="4" timePeriod="last7Days"/>
  </conditionalFormatting>
  <conditionalFormatting sqref="W4">
    <cfRule type="timePeriod" dxfId="0" priority="5" timePeriod="last7Days"/>
  </conditionalFormatting>
  <conditionalFormatting sqref="W4">
    <cfRule type="timePeriod" dxfId="0" priority="6" timePeriod="last7Days"/>
  </conditionalFormatting>
  <conditionalFormatting sqref="AE4">
    <cfRule type="timePeriod" dxfId="0" priority="7" timePeriod="last7Days"/>
  </conditionalFormatting>
  <conditionalFormatting sqref="AS4:BF20">
    <cfRule type="cellIs" dxfId="1" priority="8" operator="lessThan">
      <formula>0.1</formula>
    </cfRule>
  </conditionalFormatting>
  <conditionalFormatting sqref="AS4:BF20">
    <cfRule type="cellIs" dxfId="2" priority="9" operator="greaterThan">
      <formula>0.1</formula>
    </cfRule>
  </conditionalFormatting>
  <conditionalFormatting sqref="BG4:BH20">
    <cfRule type="cellIs" dxfId="3" priority="10" operator="between">
      <formula>60</formula>
      <formula>68</formula>
    </cfRule>
  </conditionalFormatting>
  <conditionalFormatting sqref="BG4:BH20">
    <cfRule type="cellIs" dxfId="4" priority="11" operator="between">
      <formula>68</formula>
      <formula>74</formula>
    </cfRule>
  </conditionalFormatting>
  <conditionalFormatting sqref="BG4:BH20">
    <cfRule type="cellIs" dxfId="2" priority="12" operator="between">
      <formula>74</formula>
      <formula>81</formula>
    </cfRule>
  </conditionalFormatting>
  <conditionalFormatting sqref="BG4:BH20">
    <cfRule type="cellIs" dxfId="5" priority="13" operator="between">
      <formula>81</formula>
      <formula>90</formula>
    </cfRule>
  </conditionalFormatting>
  <conditionalFormatting sqref="BG4:BH20">
    <cfRule type="cellIs" dxfId="6" priority="14" operator="greaterThan">
      <formula>90</formula>
    </cfRule>
  </conditionalFormatting>
  <conditionalFormatting sqref="AA4">
    <cfRule type="timePeriod" dxfId="0" priority="15" timePeriod="last7Days"/>
  </conditionalFormatting>
  <conditionalFormatting sqref="G4:G13 G15:G16 G18:G20">
    <cfRule type="containsText" dxfId="7" priority="16" operator="containsText" text="н">
      <formula>NOT(ISERROR(SEARCH(("н"),(G4))))</formula>
    </cfRule>
  </conditionalFormatting>
  <conditionalFormatting sqref="G4:G13 G15:G16 G18:G20">
    <cfRule type="containsText" dxfId="7" priority="17" operator="containsText" text="n">
      <formula>NOT(ISERROR(SEARCH(("n"),(G4))))</formula>
    </cfRule>
  </conditionalFormatting>
  <conditionalFormatting sqref="F4:F13 F15:F16 F18:F20">
    <cfRule type="containsText" dxfId="7" priority="18" operator="containsText" text="н">
      <formula>NOT(ISERROR(SEARCH(("н"),(F4))))</formula>
    </cfRule>
  </conditionalFormatting>
  <conditionalFormatting sqref="F4:F13 F15:F16 F18:F20">
    <cfRule type="containsText" dxfId="7" priority="19" operator="containsText" text="n">
      <formula>NOT(ISERROR(SEARCH(("n"),(F4))))</formula>
    </cfRule>
  </conditionalFormatting>
  <conditionalFormatting sqref="U4">
    <cfRule type="cellIs" dxfId="8" priority="20" operator="equal">
      <formula>0</formula>
    </cfRule>
  </conditionalFormatting>
  <conditionalFormatting sqref="Y4:Z4">
    <cfRule type="cellIs" dxfId="8" priority="21" operator="equal">
      <formula>0</formula>
    </cfRule>
  </conditionalFormatting>
  <conditionalFormatting sqref="AC4">
    <cfRule type="cellIs" dxfId="8" priority="22" operator="equal">
      <formula>0</formula>
    </cfRule>
  </conditionalFormatting>
  <conditionalFormatting sqref="AG4">
    <cfRule type="cellIs" dxfId="8" priority="23" operator="equal">
      <formula>0</formula>
    </cfRule>
  </conditionalFormatting>
  <conditionalFormatting sqref="AJ4:AQ4">
    <cfRule type="cellIs" dxfId="8" priority="24" operator="equal">
      <formula>0</formula>
    </cfRule>
  </conditionalFormatting>
  <conditionalFormatting sqref="D1:S20">
    <cfRule type="containsText" dxfId="7" priority="25" operator="containsText" text="н">
      <formula>NOT(ISERROR(SEARCH(("н"),(D1))))</formula>
    </cfRule>
  </conditionalFormatting>
  <conditionalFormatting sqref="D1:S20">
    <cfRule type="containsText" dxfId="7" priority="26" operator="containsText" text="n">
      <formula>NOT(ISERROR(SEARCH(("n"),(D1))))</formula>
    </cfRule>
  </conditionalFormatting>
  <conditionalFormatting sqref="W4">
    <cfRule type="timePeriod" dxfId="0" priority="27" timePeriod="last7Days"/>
  </conditionalFormatting>
  <conditionalFormatting sqref="AA4">
    <cfRule type="timePeriod" dxfId="0" priority="28" timePeriod="last7Days"/>
  </conditionalFormatting>
  <conditionalFormatting sqref="AE4">
    <cfRule type="timePeriod" dxfId="0" priority="29" timePeriod="last7Days"/>
  </conditionalFormatting>
  <conditionalFormatting sqref="AI4">
    <cfRule type="timePeriod" dxfId="0" priority="30" timePeriod="last7Days"/>
  </conditionalFormatting>
  <conditionalFormatting sqref="BG1:BH20">
    <cfRule type="cellIs" dxfId="3" priority="31" operator="between">
      <formula>60</formula>
      <formula>68</formula>
    </cfRule>
  </conditionalFormatting>
  <conditionalFormatting sqref="AR4:AR20">
    <cfRule type="cellIs" dxfId="6" priority="32" operator="between">
      <formula>12</formula>
      <formula>1000</formula>
    </cfRule>
  </conditionalFormatting>
  <conditionalFormatting sqref="BG1:BH20">
    <cfRule type="cellIs" dxfId="4" priority="33" operator="between">
      <formula>68</formula>
      <formula>74</formula>
    </cfRule>
  </conditionalFormatting>
  <conditionalFormatting sqref="BG1:BH20">
    <cfRule type="cellIs" dxfId="2" priority="34" operator="between">
      <formula>74</formula>
      <formula>81</formula>
    </cfRule>
  </conditionalFormatting>
  <conditionalFormatting sqref="BG1:BH20">
    <cfRule type="cellIs" dxfId="5" priority="35" operator="between">
      <formula>81</formula>
      <formula>90</formula>
    </cfRule>
  </conditionalFormatting>
  <conditionalFormatting sqref="BG1:BH20">
    <cfRule type="cellIs" dxfId="6" priority="36" operator="greaterThan">
      <formula>90</formula>
    </cfRule>
  </conditionalFormatting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19" width="2.88"/>
    <col customWidth="1" min="20" max="20" width="6.63"/>
    <col customWidth="1" min="21" max="21" width="5.0"/>
    <col customWidth="1" min="22" max="22" width="3.88"/>
    <col customWidth="1" min="23" max="23" width="5.25"/>
    <col customWidth="1" min="24" max="24" width="6.5"/>
    <col customWidth="1" min="25" max="25" width="5.13"/>
    <col customWidth="1" min="26" max="26" width="4.0"/>
    <col customWidth="1" min="27" max="27" width="5.0"/>
    <col customWidth="1" min="28" max="28" width="6.38"/>
    <col customWidth="1" min="29" max="29" width="5.13"/>
    <col customWidth="1" min="30" max="30" width="4.0"/>
    <col customWidth="1" min="31" max="31" width="5.0"/>
    <col customWidth="1" min="32" max="32" width="7.63"/>
    <col customWidth="1" min="33" max="33" width="5.0"/>
    <col customWidth="1" min="34" max="34" width="4.5"/>
    <col customWidth="1" min="35" max="35" width="5.0"/>
    <col customWidth="1" min="36" max="36" width="5.63"/>
    <col customWidth="1" min="37" max="37" width="5.13"/>
    <col customWidth="1" min="38" max="38" width="5.38"/>
    <col customWidth="1" min="39" max="39" width="5.0"/>
    <col customWidth="1" min="40" max="41" width="5.38"/>
    <col customWidth="1" min="42" max="43" width="5.88"/>
    <col customWidth="1" min="44" max="44" width="5.63"/>
    <col customWidth="1" min="45" max="45" width="4.5"/>
    <col customWidth="1" min="46" max="46" width="4.38"/>
    <col customWidth="1" min="47" max="51" width="4.25"/>
    <col customWidth="1" min="52" max="52" width="4.63"/>
    <col customWidth="1" min="53" max="53" width="4.5"/>
    <col customWidth="1" min="54" max="55" width="4.63"/>
    <col customWidth="1" min="56" max="56" width="4.5"/>
    <col customWidth="1" min="57" max="58" width="4.38"/>
    <col customWidth="1" min="59" max="59" width="6.63"/>
    <col customWidth="1" min="60" max="60" width="3.25"/>
  </cols>
  <sheetData>
    <row r="1">
      <c r="A1" s="1"/>
      <c r="C1" s="2" t="s">
        <v>1</v>
      </c>
      <c r="D1" s="3" t="s">
        <v>2</v>
      </c>
      <c r="S1" s="4"/>
      <c r="T1" s="5" t="s">
        <v>3</v>
      </c>
      <c r="W1" s="4"/>
      <c r="X1" s="5" t="s">
        <v>4</v>
      </c>
      <c r="AA1" s="4"/>
      <c r="AB1" s="5" t="s">
        <v>5</v>
      </c>
      <c r="AE1" s="4"/>
      <c r="AF1" s="5" t="s">
        <v>6</v>
      </c>
      <c r="AI1" s="4"/>
      <c r="AJ1" s="3" t="s">
        <v>7</v>
      </c>
      <c r="AK1" s="6" t="s">
        <v>8</v>
      </c>
      <c r="AL1" s="6" t="s">
        <v>9</v>
      </c>
      <c r="AM1" s="6" t="s">
        <v>10</v>
      </c>
      <c r="AN1" s="6" t="s">
        <v>11</v>
      </c>
      <c r="AO1" s="6" t="s">
        <v>12</v>
      </c>
      <c r="AP1" s="6" t="s">
        <v>13</v>
      </c>
      <c r="AQ1" s="7" t="s">
        <v>14</v>
      </c>
      <c r="AR1" s="3" t="s">
        <v>15</v>
      </c>
      <c r="AS1" s="6" t="s">
        <v>16</v>
      </c>
      <c r="BF1" s="7"/>
      <c r="BG1" s="41" t="s">
        <v>17</v>
      </c>
      <c r="BH1" s="10" t="s">
        <v>18</v>
      </c>
    </row>
    <row r="2">
      <c r="A2" s="11" t="s">
        <v>19</v>
      </c>
      <c r="B2" s="11" t="s">
        <v>20</v>
      </c>
      <c r="C2" s="4"/>
      <c r="D2" s="12">
        <v>45547.0</v>
      </c>
      <c r="E2" s="12">
        <f t="shared" ref="E2:S2" si="1">D2+7</f>
        <v>45554</v>
      </c>
      <c r="F2" s="12">
        <f t="shared" si="1"/>
        <v>45561</v>
      </c>
      <c r="G2" s="12">
        <f t="shared" si="1"/>
        <v>45568</v>
      </c>
      <c r="H2" s="12">
        <f t="shared" si="1"/>
        <v>45575</v>
      </c>
      <c r="I2" s="12">
        <f t="shared" si="1"/>
        <v>45582</v>
      </c>
      <c r="J2" s="12">
        <f t="shared" si="1"/>
        <v>45589</v>
      </c>
      <c r="K2" s="12">
        <f t="shared" si="1"/>
        <v>45596</v>
      </c>
      <c r="L2" s="12">
        <f t="shared" si="1"/>
        <v>45603</v>
      </c>
      <c r="M2" s="12">
        <f t="shared" si="1"/>
        <v>45610</v>
      </c>
      <c r="N2" s="12">
        <f t="shared" si="1"/>
        <v>45617</v>
      </c>
      <c r="O2" s="12">
        <f t="shared" si="1"/>
        <v>45624</v>
      </c>
      <c r="P2" s="12">
        <f t="shared" si="1"/>
        <v>45631</v>
      </c>
      <c r="Q2" s="12">
        <f t="shared" si="1"/>
        <v>45638</v>
      </c>
      <c r="R2" s="12">
        <f t="shared" si="1"/>
        <v>45645</v>
      </c>
      <c r="S2" s="12">
        <f t="shared" si="1"/>
        <v>45652</v>
      </c>
      <c r="T2" s="14" t="s">
        <v>21</v>
      </c>
      <c r="U2" s="15" t="s">
        <v>22</v>
      </c>
      <c r="V2" s="15" t="s">
        <v>23</v>
      </c>
      <c r="W2" s="16" t="s">
        <v>24</v>
      </c>
      <c r="X2" s="14" t="s">
        <v>21</v>
      </c>
      <c r="Y2" s="15" t="s">
        <v>22</v>
      </c>
      <c r="Z2" s="15" t="s">
        <v>23</v>
      </c>
      <c r="AA2" s="16" t="s">
        <v>24</v>
      </c>
      <c r="AB2" s="14" t="s">
        <v>21</v>
      </c>
      <c r="AC2" s="15" t="s">
        <v>22</v>
      </c>
      <c r="AD2" s="15" t="s">
        <v>23</v>
      </c>
      <c r="AE2" s="16" t="s">
        <v>24</v>
      </c>
      <c r="AF2" s="14" t="s">
        <v>21</v>
      </c>
      <c r="AG2" s="15" t="s">
        <v>22</v>
      </c>
      <c r="AH2" s="15" t="s">
        <v>23</v>
      </c>
      <c r="AI2" s="16" t="s">
        <v>24</v>
      </c>
      <c r="AJ2" s="17" t="s">
        <v>25</v>
      </c>
      <c r="AK2" s="18" t="s">
        <v>25</v>
      </c>
      <c r="AL2" s="18" t="s">
        <v>25</v>
      </c>
      <c r="AM2" s="18" t="s">
        <v>25</v>
      </c>
      <c r="AN2" s="18" t="s">
        <v>25</v>
      </c>
      <c r="AO2" s="18" t="s">
        <v>25</v>
      </c>
      <c r="AP2" s="15" t="s">
        <v>26</v>
      </c>
      <c r="AQ2" s="19" t="s">
        <v>26</v>
      </c>
      <c r="AR2" s="14" t="s">
        <v>27</v>
      </c>
      <c r="BF2" s="7"/>
      <c r="BG2" s="4"/>
    </row>
    <row r="3">
      <c r="C3" s="4"/>
      <c r="T3" s="21"/>
      <c r="U3" s="15" t="s">
        <v>26</v>
      </c>
      <c r="V3" s="15" t="s">
        <v>28</v>
      </c>
      <c r="W3" s="4"/>
      <c r="X3" s="21"/>
      <c r="Y3" s="15" t="s">
        <v>26</v>
      </c>
      <c r="Z3" s="15" t="s">
        <v>28</v>
      </c>
      <c r="AA3" s="4"/>
      <c r="AB3" s="21"/>
      <c r="AC3" s="15" t="s">
        <v>26</v>
      </c>
      <c r="AD3" s="15" t="s">
        <v>28</v>
      </c>
      <c r="AE3" s="4"/>
      <c r="AF3" s="21"/>
      <c r="AG3" s="15" t="s">
        <v>26</v>
      </c>
      <c r="AH3" s="15" t="s">
        <v>28</v>
      </c>
      <c r="AI3" s="4"/>
      <c r="AJ3" s="21"/>
      <c r="AQ3" s="4"/>
      <c r="AR3" s="21"/>
      <c r="AS3" s="17" t="s">
        <v>29</v>
      </c>
      <c r="AT3" s="18" t="s">
        <v>30</v>
      </c>
      <c r="AU3" s="18" t="s">
        <v>3</v>
      </c>
      <c r="AV3" s="18" t="s">
        <v>4</v>
      </c>
      <c r="AW3" s="18" t="s">
        <v>5</v>
      </c>
      <c r="AX3" s="18" t="s">
        <v>6</v>
      </c>
      <c r="AY3" s="18" t="s">
        <v>7</v>
      </c>
      <c r="AZ3" s="18" t="s">
        <v>8</v>
      </c>
      <c r="BA3" s="18" t="s">
        <v>9</v>
      </c>
      <c r="BB3" s="18" t="s">
        <v>10</v>
      </c>
      <c r="BC3" s="18" t="s">
        <v>11</v>
      </c>
      <c r="BD3" s="18" t="s">
        <v>12</v>
      </c>
      <c r="BE3" s="18" t="s">
        <v>31</v>
      </c>
      <c r="BF3" s="23" t="s">
        <v>23</v>
      </c>
      <c r="BG3" s="4"/>
    </row>
    <row r="4">
      <c r="A4" s="43">
        <v>465382.0</v>
      </c>
      <c r="B4" s="55" t="s">
        <v>350</v>
      </c>
      <c r="C4" s="24">
        <v>18000.0</v>
      </c>
      <c r="D4" s="25" t="s">
        <v>55</v>
      </c>
      <c r="E4" s="27" t="s">
        <v>55</v>
      </c>
      <c r="F4" s="27" t="s">
        <v>211</v>
      </c>
      <c r="G4" s="27" t="s">
        <v>211</v>
      </c>
      <c r="H4" s="27" t="s">
        <v>211</v>
      </c>
      <c r="I4" s="27" t="s">
        <v>211</v>
      </c>
      <c r="J4" s="27" t="s">
        <v>211</v>
      </c>
      <c r="K4" s="27" t="s">
        <v>211</v>
      </c>
      <c r="L4" s="27" t="s">
        <v>56</v>
      </c>
      <c r="M4" s="27" t="s">
        <v>55</v>
      </c>
      <c r="N4" s="27" t="s">
        <v>211</v>
      </c>
      <c r="O4" s="27" t="s">
        <v>211</v>
      </c>
      <c r="P4" s="27" t="s">
        <v>55</v>
      </c>
      <c r="Q4" s="27" t="s">
        <v>56</v>
      </c>
      <c r="R4" s="27" t="s">
        <v>55</v>
      </c>
      <c r="S4" s="211" t="s">
        <v>211</v>
      </c>
      <c r="T4" s="43">
        <v>465382.0</v>
      </c>
      <c r="U4" s="36">
        <v>9.7</v>
      </c>
      <c r="W4" s="212">
        <v>45940.0</v>
      </c>
      <c r="X4" s="28">
        <v>23462.0</v>
      </c>
      <c r="Y4" s="36">
        <v>9.4</v>
      </c>
      <c r="AA4" s="212">
        <v>45961.0</v>
      </c>
      <c r="AB4" s="28">
        <v>18342.0</v>
      </c>
      <c r="AC4" s="36">
        <v>9.7</v>
      </c>
      <c r="AE4" s="24">
        <v>28.11</v>
      </c>
      <c r="AF4" s="28">
        <v>18045.0</v>
      </c>
      <c r="AG4" s="29">
        <v>9.8</v>
      </c>
      <c r="AH4" s="36">
        <v>1.0</v>
      </c>
      <c r="AI4" s="24">
        <v>26.12</v>
      </c>
      <c r="AJ4" s="28">
        <v>1.3</v>
      </c>
      <c r="AK4" s="36">
        <v>0.7</v>
      </c>
      <c r="AM4" s="36">
        <v>0.4</v>
      </c>
      <c r="AO4" s="36">
        <v>1.2</v>
      </c>
      <c r="AP4" s="36">
        <v>9.0</v>
      </c>
      <c r="AQ4" s="24">
        <v>8.08</v>
      </c>
      <c r="AR4" s="28">
        <f>SUM(AP4:AQ4)</f>
        <v>17.08</v>
      </c>
      <c r="AS4" s="21">
        <f t="shared" ref="AS4:AT4" si="2">SUM(AP4)</f>
        <v>9</v>
      </c>
      <c r="AT4">
        <f t="shared" si="2"/>
        <v>8.08</v>
      </c>
      <c r="AU4">
        <f t="shared" ref="AU4:AU14" si="5">SUM(U4,V4)</f>
        <v>9.7</v>
      </c>
      <c r="AV4">
        <f t="shared" ref="AV4:AV14" si="6">SUM(Y4,Z4)</f>
        <v>9.4</v>
      </c>
      <c r="AW4">
        <f t="shared" ref="AW4:AW14" si="7">SUM(AC4,AD4)</f>
        <v>9.7</v>
      </c>
      <c r="AX4">
        <f t="shared" ref="AX4:AX14" si="8">SUM(AG4,AH4)</f>
        <v>10.8</v>
      </c>
      <c r="AY4">
        <f t="shared" ref="AY4:BD4" si="3">SUM(AJ4)</f>
        <v>1.3</v>
      </c>
      <c r="AZ4">
        <f t="shared" si="3"/>
        <v>0.7</v>
      </c>
      <c r="BA4">
        <f t="shared" si="3"/>
        <v>0</v>
      </c>
      <c r="BB4">
        <f t="shared" si="3"/>
        <v>0.4</v>
      </c>
      <c r="BC4">
        <f t="shared" si="3"/>
        <v>0</v>
      </c>
      <c r="BD4">
        <f t="shared" si="3"/>
        <v>1.2</v>
      </c>
      <c r="BE4">
        <f t="shared" ref="BE4:BE14" si="10">SUM(AR4)</f>
        <v>17.08</v>
      </c>
      <c r="BF4" s="4"/>
      <c r="BG4" s="50">
        <f t="shared" ref="BG4:BG14" si="11">SUM(AS4:BF4)</f>
        <v>77.36</v>
      </c>
      <c r="BH4" s="32">
        <v>1.0</v>
      </c>
    </row>
    <row r="5">
      <c r="A5" s="49">
        <v>465745.0</v>
      </c>
      <c r="B5" s="55" t="s">
        <v>351</v>
      </c>
      <c r="C5" s="24">
        <v>18010.0</v>
      </c>
      <c r="D5" s="25" t="s">
        <v>211</v>
      </c>
      <c r="E5" s="27" t="s">
        <v>211</v>
      </c>
      <c r="F5" s="27" t="s">
        <v>211</v>
      </c>
      <c r="G5" s="27" t="s">
        <v>211</v>
      </c>
      <c r="H5" s="27" t="s">
        <v>211</v>
      </c>
      <c r="I5" s="27" t="s">
        <v>55</v>
      </c>
      <c r="J5" s="27" t="s">
        <v>211</v>
      </c>
      <c r="K5" s="27" t="s">
        <v>211</v>
      </c>
      <c r="L5" s="27" t="s">
        <v>211</v>
      </c>
      <c r="M5" s="27" t="s">
        <v>56</v>
      </c>
      <c r="N5" s="27" t="s">
        <v>211</v>
      </c>
      <c r="O5" s="27" t="s">
        <v>211</v>
      </c>
      <c r="P5" s="27" t="s">
        <v>211</v>
      </c>
      <c r="Q5" s="27" t="s">
        <v>55</v>
      </c>
      <c r="R5" s="27" t="s">
        <v>55</v>
      </c>
      <c r="S5" s="211" t="s">
        <v>56</v>
      </c>
      <c r="T5" s="43">
        <v>465745.0</v>
      </c>
      <c r="U5" s="36">
        <v>10.0</v>
      </c>
      <c r="V5" s="36">
        <v>2.0</v>
      </c>
      <c r="W5" s="212">
        <v>45926.0</v>
      </c>
      <c r="X5" s="28">
        <v>45682.0</v>
      </c>
      <c r="Y5" s="36">
        <v>9.9</v>
      </c>
      <c r="Z5" s="36">
        <v>2.0</v>
      </c>
      <c r="AA5" s="212">
        <v>45940.0</v>
      </c>
      <c r="AB5" s="28">
        <v>4573.0</v>
      </c>
      <c r="AC5" s="36">
        <v>9.8</v>
      </c>
      <c r="AD5" s="36">
        <v>2.0</v>
      </c>
      <c r="AE5" s="212">
        <v>45961.0</v>
      </c>
      <c r="AF5" s="28">
        <v>184372.0</v>
      </c>
      <c r="AG5" s="36">
        <v>10.0</v>
      </c>
      <c r="AH5" s="36">
        <v>2.0</v>
      </c>
      <c r="AI5" s="24">
        <v>5.12</v>
      </c>
      <c r="AJ5" s="28">
        <v>1.2</v>
      </c>
      <c r="AK5" s="36">
        <v>1.5</v>
      </c>
      <c r="AL5" s="36">
        <v>1.2</v>
      </c>
      <c r="AM5" s="36">
        <v>1.4</v>
      </c>
      <c r="AN5" s="36">
        <v>1.2</v>
      </c>
      <c r="AO5" s="36">
        <v>0.4</v>
      </c>
      <c r="AP5" s="36">
        <v>9.0</v>
      </c>
      <c r="AQ5" s="24">
        <v>7.0</v>
      </c>
      <c r="AR5" s="28">
        <f>SUM(AP5:AQ5)+1</f>
        <v>17</v>
      </c>
      <c r="AS5" s="21">
        <f t="shared" ref="AS5:AT5" si="4">SUM(AP5)</f>
        <v>9</v>
      </c>
      <c r="AT5">
        <f t="shared" si="4"/>
        <v>7</v>
      </c>
      <c r="AU5">
        <f t="shared" si="5"/>
        <v>12</v>
      </c>
      <c r="AV5">
        <f t="shared" si="6"/>
        <v>11.9</v>
      </c>
      <c r="AW5">
        <f t="shared" si="7"/>
        <v>11.8</v>
      </c>
      <c r="AX5">
        <f t="shared" si="8"/>
        <v>12</v>
      </c>
      <c r="AY5">
        <f t="shared" ref="AY5:BD5" si="9">SUM(AJ5)</f>
        <v>1.2</v>
      </c>
      <c r="AZ5">
        <f t="shared" si="9"/>
        <v>1.5</v>
      </c>
      <c r="BA5">
        <f t="shared" si="9"/>
        <v>1.2</v>
      </c>
      <c r="BB5">
        <f t="shared" si="9"/>
        <v>1.4</v>
      </c>
      <c r="BC5">
        <f t="shared" si="9"/>
        <v>1.2</v>
      </c>
      <c r="BD5">
        <f t="shared" si="9"/>
        <v>0.4</v>
      </c>
      <c r="BE5">
        <f t="shared" si="10"/>
        <v>17</v>
      </c>
      <c r="BF5" s="24">
        <v>3.0</v>
      </c>
      <c r="BG5" s="50">
        <f t="shared" si="11"/>
        <v>90.6</v>
      </c>
      <c r="BH5" s="32">
        <v>1.0</v>
      </c>
    </row>
    <row r="6">
      <c r="A6" s="43">
        <v>466339.0</v>
      </c>
      <c r="B6" s="55" t="s">
        <v>352</v>
      </c>
      <c r="C6" s="24">
        <v>18020.0</v>
      </c>
      <c r="D6" s="25" t="s">
        <v>55</v>
      </c>
      <c r="E6" s="27" t="s">
        <v>56</v>
      </c>
      <c r="F6" s="27" t="s">
        <v>56</v>
      </c>
      <c r="G6" s="27" t="s">
        <v>211</v>
      </c>
      <c r="H6" s="27" t="s">
        <v>55</v>
      </c>
      <c r="I6" s="27" t="s">
        <v>55</v>
      </c>
      <c r="J6" s="27" t="s">
        <v>55</v>
      </c>
      <c r="K6" s="27" t="s">
        <v>211</v>
      </c>
      <c r="L6" s="27" t="s">
        <v>211</v>
      </c>
      <c r="M6" s="27" t="s">
        <v>56</v>
      </c>
      <c r="N6" s="27" t="s">
        <v>56</v>
      </c>
      <c r="O6" s="27" t="s">
        <v>56</v>
      </c>
      <c r="P6" s="27" t="s">
        <v>55</v>
      </c>
      <c r="Q6" s="27" t="s">
        <v>211</v>
      </c>
      <c r="R6" s="27" t="s">
        <v>211</v>
      </c>
      <c r="S6" s="211" t="s">
        <v>211</v>
      </c>
      <c r="T6" s="43">
        <v>466339.0</v>
      </c>
      <c r="U6" s="36">
        <v>6.0</v>
      </c>
      <c r="W6" s="212">
        <v>45968.0</v>
      </c>
      <c r="X6" s="28">
        <v>18322.0</v>
      </c>
      <c r="Y6" s="36">
        <v>6.0</v>
      </c>
      <c r="AA6" s="24">
        <v>11.02</v>
      </c>
      <c r="AB6" s="28">
        <v>18002.0</v>
      </c>
      <c r="AC6" s="36">
        <v>6.0</v>
      </c>
      <c r="AE6" s="24">
        <v>17.02</v>
      </c>
      <c r="AF6" s="28">
        <v>18347.0</v>
      </c>
      <c r="AG6" s="36">
        <v>6.0</v>
      </c>
      <c r="AI6" s="24">
        <v>24.02</v>
      </c>
      <c r="AJ6" s="28">
        <v>0.3</v>
      </c>
      <c r="AN6" s="36">
        <v>0.4</v>
      </c>
      <c r="AP6" s="36">
        <v>6.0</v>
      </c>
      <c r="AQ6" s="24">
        <v>6.08</v>
      </c>
      <c r="AR6" s="28">
        <f>SUM(AP6:AQ6)</f>
        <v>12.08</v>
      </c>
      <c r="AS6" s="21">
        <f t="shared" ref="AS6:AT6" si="12">SUM(AP6)</f>
        <v>6</v>
      </c>
      <c r="AT6">
        <f t="shared" si="12"/>
        <v>6.08</v>
      </c>
      <c r="AU6">
        <f t="shared" si="5"/>
        <v>6</v>
      </c>
      <c r="AV6">
        <f t="shared" si="6"/>
        <v>6</v>
      </c>
      <c r="AW6">
        <f t="shared" si="7"/>
        <v>6</v>
      </c>
      <c r="AX6">
        <f t="shared" si="8"/>
        <v>6</v>
      </c>
      <c r="AY6">
        <f t="shared" ref="AY6:BD6" si="13">SUM(AJ6)</f>
        <v>0.3</v>
      </c>
      <c r="AZ6">
        <f t="shared" si="13"/>
        <v>0</v>
      </c>
      <c r="BA6">
        <f t="shared" si="13"/>
        <v>0</v>
      </c>
      <c r="BB6">
        <f t="shared" si="13"/>
        <v>0</v>
      </c>
      <c r="BC6">
        <f t="shared" si="13"/>
        <v>0.4</v>
      </c>
      <c r="BD6">
        <f t="shared" si="13"/>
        <v>0</v>
      </c>
      <c r="BE6">
        <f t="shared" si="10"/>
        <v>12.08</v>
      </c>
      <c r="BF6" s="4"/>
      <c r="BG6" s="50">
        <f t="shared" si="11"/>
        <v>48.86</v>
      </c>
      <c r="BH6" s="32">
        <v>2.0</v>
      </c>
    </row>
    <row r="7">
      <c r="A7" s="43">
        <v>413777.0</v>
      </c>
      <c r="B7" s="55" t="s">
        <v>353</v>
      </c>
      <c r="C7" s="36"/>
      <c r="D7" s="213" t="s">
        <v>56</v>
      </c>
      <c r="E7" s="27" t="s">
        <v>56</v>
      </c>
      <c r="F7" s="27" t="s">
        <v>56</v>
      </c>
      <c r="G7" s="27" t="s">
        <v>56</v>
      </c>
      <c r="H7" s="27" t="s">
        <v>56</v>
      </c>
      <c r="I7" s="27" t="s">
        <v>56</v>
      </c>
      <c r="J7" s="27" t="s">
        <v>56</v>
      </c>
      <c r="K7" s="27" t="s">
        <v>56</v>
      </c>
      <c r="L7" s="27" t="s">
        <v>56</v>
      </c>
      <c r="M7" s="27" t="s">
        <v>56</v>
      </c>
      <c r="N7" s="27" t="s">
        <v>56</v>
      </c>
      <c r="O7" s="27" t="s">
        <v>56</v>
      </c>
      <c r="P7" s="27" t="s">
        <v>56</v>
      </c>
      <c r="Q7" s="27" t="s">
        <v>56</v>
      </c>
      <c r="R7" s="27" t="s">
        <v>56</v>
      </c>
      <c r="S7" s="211" t="s">
        <v>56</v>
      </c>
      <c r="T7" s="43"/>
      <c r="W7" s="212"/>
      <c r="X7" s="28"/>
      <c r="AA7" s="212"/>
      <c r="AB7" s="28"/>
      <c r="AE7" s="212"/>
      <c r="AF7" s="28"/>
      <c r="AI7" s="212"/>
      <c r="AJ7" s="28"/>
      <c r="AQ7" s="24"/>
      <c r="AR7" s="28"/>
      <c r="AS7" s="21">
        <f t="shared" ref="AS7:AT7" si="14">SUM(AP7)</f>
        <v>0</v>
      </c>
      <c r="AT7">
        <f t="shared" si="14"/>
        <v>0</v>
      </c>
      <c r="AU7">
        <f t="shared" si="5"/>
        <v>0</v>
      </c>
      <c r="AV7">
        <f t="shared" si="6"/>
        <v>0</v>
      </c>
      <c r="AW7">
        <f t="shared" si="7"/>
        <v>0</v>
      </c>
      <c r="AX7">
        <f t="shared" si="8"/>
        <v>0</v>
      </c>
      <c r="AY7">
        <f t="shared" ref="AY7:BD7" si="15">SUM(AJ7)</f>
        <v>0</v>
      </c>
      <c r="AZ7">
        <f t="shared" si="15"/>
        <v>0</v>
      </c>
      <c r="BA7">
        <f t="shared" si="15"/>
        <v>0</v>
      </c>
      <c r="BB7">
        <f t="shared" si="15"/>
        <v>0</v>
      </c>
      <c r="BC7">
        <f t="shared" si="15"/>
        <v>0</v>
      </c>
      <c r="BD7">
        <f t="shared" si="15"/>
        <v>0</v>
      </c>
      <c r="BE7">
        <f t="shared" si="10"/>
        <v>0</v>
      </c>
      <c r="BF7" s="4"/>
      <c r="BG7" s="50">
        <f t="shared" si="11"/>
        <v>0</v>
      </c>
      <c r="BH7" s="32"/>
    </row>
    <row r="8">
      <c r="A8" s="43">
        <v>466595.0</v>
      </c>
      <c r="B8" s="55" t="s">
        <v>354</v>
      </c>
      <c r="C8" s="24">
        <v>18030.0</v>
      </c>
      <c r="D8" s="25" t="s">
        <v>55</v>
      </c>
      <c r="E8" s="27" t="s">
        <v>211</v>
      </c>
      <c r="F8" s="27" t="s">
        <v>211</v>
      </c>
      <c r="G8" s="27" t="s">
        <v>211</v>
      </c>
      <c r="H8" s="27" t="s">
        <v>56</v>
      </c>
      <c r="I8" s="27" t="s">
        <v>211</v>
      </c>
      <c r="J8" s="27" t="s">
        <v>56</v>
      </c>
      <c r="K8" s="27" t="s">
        <v>55</v>
      </c>
      <c r="L8" s="27" t="s">
        <v>211</v>
      </c>
      <c r="M8" s="27" t="s">
        <v>211</v>
      </c>
      <c r="N8" s="27" t="s">
        <v>56</v>
      </c>
      <c r="O8" s="27" t="s">
        <v>56</v>
      </c>
      <c r="P8" s="27" t="s">
        <v>211</v>
      </c>
      <c r="Q8" s="27" t="s">
        <v>211</v>
      </c>
      <c r="R8" s="27" t="s">
        <v>55</v>
      </c>
      <c r="S8" s="211" t="s">
        <v>56</v>
      </c>
      <c r="T8" s="43">
        <v>466595.0</v>
      </c>
      <c r="U8" s="36">
        <v>9.0</v>
      </c>
      <c r="V8" s="36">
        <v>1.0</v>
      </c>
      <c r="W8" s="212">
        <v>45933.0</v>
      </c>
      <c r="X8" s="28">
        <v>18546.0</v>
      </c>
      <c r="Y8" s="36">
        <v>9.0</v>
      </c>
      <c r="Z8" s="36">
        <v>2.0</v>
      </c>
      <c r="AA8" s="212">
        <v>45947.0</v>
      </c>
      <c r="AB8" s="28">
        <v>18765.0</v>
      </c>
      <c r="AC8" s="36">
        <v>9.9</v>
      </c>
      <c r="AD8" s="36">
        <v>2.0</v>
      </c>
      <c r="AE8" s="212">
        <v>45975.0</v>
      </c>
      <c r="AF8" s="28">
        <v>23557.0</v>
      </c>
      <c r="AG8" s="36">
        <v>9.4</v>
      </c>
      <c r="AH8" s="36">
        <v>2.0</v>
      </c>
      <c r="AI8" s="24">
        <v>12.12</v>
      </c>
      <c r="AJ8" s="28">
        <v>1.3</v>
      </c>
      <c r="AM8" s="36">
        <v>1.7</v>
      </c>
      <c r="AN8" s="36">
        <v>1.2</v>
      </c>
      <c r="AO8" s="36">
        <v>1.2</v>
      </c>
      <c r="AP8" s="36">
        <v>8.0</v>
      </c>
      <c r="AQ8" s="24">
        <v>7.75</v>
      </c>
      <c r="AR8" s="28">
        <f>SUM(AP8:AQ8)+1</f>
        <v>16.75</v>
      </c>
      <c r="AS8" s="21">
        <f t="shared" ref="AS8:AT8" si="16">SUM(AP8)</f>
        <v>8</v>
      </c>
      <c r="AT8">
        <f t="shared" si="16"/>
        <v>7.75</v>
      </c>
      <c r="AU8">
        <f t="shared" si="5"/>
        <v>10</v>
      </c>
      <c r="AV8">
        <f t="shared" si="6"/>
        <v>11</v>
      </c>
      <c r="AW8">
        <f t="shared" si="7"/>
        <v>11.9</v>
      </c>
      <c r="AX8">
        <f t="shared" si="8"/>
        <v>11.4</v>
      </c>
      <c r="AY8">
        <f t="shared" ref="AY8:BD8" si="17">SUM(AJ8)</f>
        <v>1.3</v>
      </c>
      <c r="AZ8">
        <f t="shared" si="17"/>
        <v>0</v>
      </c>
      <c r="BA8">
        <f t="shared" si="17"/>
        <v>0</v>
      </c>
      <c r="BB8">
        <f t="shared" si="17"/>
        <v>1.7</v>
      </c>
      <c r="BC8">
        <f t="shared" si="17"/>
        <v>1.2</v>
      </c>
      <c r="BD8">
        <f t="shared" si="17"/>
        <v>1.2</v>
      </c>
      <c r="BE8">
        <f t="shared" si="10"/>
        <v>16.75</v>
      </c>
      <c r="BF8" s="24">
        <v>1.0</v>
      </c>
      <c r="BG8" s="50">
        <f t="shared" si="11"/>
        <v>83.2</v>
      </c>
      <c r="BH8" s="32">
        <v>1.0</v>
      </c>
    </row>
    <row r="9">
      <c r="A9" s="36">
        <v>307361.0</v>
      </c>
      <c r="B9" s="36" t="s">
        <v>355</v>
      </c>
      <c r="C9" s="24">
        <v>18100.0</v>
      </c>
      <c r="D9" s="25" t="s">
        <v>55</v>
      </c>
      <c r="E9" s="27" t="s">
        <v>56</v>
      </c>
      <c r="F9" s="27" t="s">
        <v>56</v>
      </c>
      <c r="G9" s="27" t="s">
        <v>56</v>
      </c>
      <c r="H9" s="27" t="s">
        <v>211</v>
      </c>
      <c r="I9" s="27" t="s">
        <v>56</v>
      </c>
      <c r="J9" s="27" t="s">
        <v>55</v>
      </c>
      <c r="K9" s="27" t="s">
        <v>56</v>
      </c>
      <c r="L9" s="27" t="s">
        <v>56</v>
      </c>
      <c r="M9" s="27" t="s">
        <v>56</v>
      </c>
      <c r="N9" s="27" t="s">
        <v>56</v>
      </c>
      <c r="O9" s="27" t="s">
        <v>56</v>
      </c>
      <c r="P9" s="27" t="s">
        <v>56</v>
      </c>
      <c r="Q9" s="27" t="s">
        <v>56</v>
      </c>
      <c r="R9" s="27" t="s">
        <v>56</v>
      </c>
      <c r="S9" s="211" t="s">
        <v>56</v>
      </c>
      <c r="T9" s="36">
        <v>200451.0</v>
      </c>
      <c r="W9" s="212"/>
      <c r="X9" s="28"/>
      <c r="AA9" s="212"/>
      <c r="AB9" s="28"/>
      <c r="AE9" s="212"/>
      <c r="AF9" s="28"/>
      <c r="AI9" s="212"/>
      <c r="AJ9" s="28"/>
      <c r="AQ9" s="24"/>
      <c r="AR9" s="28"/>
      <c r="AS9" s="21">
        <f t="shared" ref="AS9:AT9" si="18">SUM(AP9)</f>
        <v>0</v>
      </c>
      <c r="AT9">
        <f t="shared" si="18"/>
        <v>0</v>
      </c>
      <c r="AU9">
        <f t="shared" si="5"/>
        <v>0</v>
      </c>
      <c r="AV9">
        <f t="shared" si="6"/>
        <v>0</v>
      </c>
      <c r="AW9">
        <f t="shared" si="7"/>
        <v>0</v>
      </c>
      <c r="AX9">
        <f t="shared" si="8"/>
        <v>0</v>
      </c>
      <c r="AY9">
        <f t="shared" ref="AY9:BD9" si="19">SUM(AJ9)</f>
        <v>0</v>
      </c>
      <c r="AZ9">
        <f t="shared" si="19"/>
        <v>0</v>
      </c>
      <c r="BA9">
        <f t="shared" si="19"/>
        <v>0</v>
      </c>
      <c r="BB9">
        <f t="shared" si="19"/>
        <v>0</v>
      </c>
      <c r="BC9">
        <f t="shared" si="19"/>
        <v>0</v>
      </c>
      <c r="BD9">
        <f t="shared" si="19"/>
        <v>0</v>
      </c>
      <c r="BE9">
        <f t="shared" si="10"/>
        <v>0</v>
      </c>
      <c r="BF9" s="4"/>
      <c r="BG9" s="50">
        <f t="shared" si="11"/>
        <v>0</v>
      </c>
      <c r="BH9" s="32"/>
    </row>
    <row r="10">
      <c r="A10" s="43">
        <v>348809.0</v>
      </c>
      <c r="B10" s="55" t="s">
        <v>356</v>
      </c>
      <c r="C10" s="24">
        <v>18050.0</v>
      </c>
      <c r="D10" s="25" t="s">
        <v>56</v>
      </c>
      <c r="E10" s="27" t="s">
        <v>56</v>
      </c>
      <c r="F10" s="27" t="s">
        <v>55</v>
      </c>
      <c r="G10" s="27" t="s">
        <v>56</v>
      </c>
      <c r="H10" s="27" t="s">
        <v>55</v>
      </c>
      <c r="I10" s="27" t="s">
        <v>211</v>
      </c>
      <c r="J10" s="27" t="s">
        <v>211</v>
      </c>
      <c r="K10" s="27" t="s">
        <v>211</v>
      </c>
      <c r="L10" s="27" t="s">
        <v>211</v>
      </c>
      <c r="M10" s="27" t="s">
        <v>55</v>
      </c>
      <c r="N10" s="27" t="s">
        <v>211</v>
      </c>
      <c r="O10" s="27" t="s">
        <v>211</v>
      </c>
      <c r="P10" s="27" t="s">
        <v>211</v>
      </c>
      <c r="Q10" s="27" t="s">
        <v>211</v>
      </c>
      <c r="R10" s="27" t="s">
        <v>55</v>
      </c>
      <c r="S10" s="211" t="s">
        <v>211</v>
      </c>
      <c r="T10" s="43">
        <v>348809.0</v>
      </c>
      <c r="U10" s="36">
        <v>6.0</v>
      </c>
      <c r="W10" s="212">
        <v>45968.0</v>
      </c>
      <c r="X10" s="28">
        <v>18643.0</v>
      </c>
      <c r="Y10" s="36">
        <v>6.0</v>
      </c>
      <c r="AA10" s="24">
        <v>12.12</v>
      </c>
      <c r="AB10" s="28">
        <v>18543.0</v>
      </c>
      <c r="AE10" s="212"/>
      <c r="AF10" s="28"/>
      <c r="AI10" s="212"/>
      <c r="AJ10" s="28"/>
      <c r="AM10" s="36">
        <v>0.6</v>
      </c>
      <c r="AO10" s="36">
        <v>0.4</v>
      </c>
      <c r="AP10" s="36">
        <v>6.0</v>
      </c>
      <c r="AQ10" s="24">
        <v>6.0</v>
      </c>
      <c r="AR10" s="28"/>
      <c r="AS10" s="21">
        <f t="shared" ref="AS10:AT10" si="20">SUM(AP10)</f>
        <v>6</v>
      </c>
      <c r="AT10">
        <f t="shared" si="20"/>
        <v>6</v>
      </c>
      <c r="AU10">
        <f t="shared" si="5"/>
        <v>6</v>
      </c>
      <c r="AV10">
        <f t="shared" si="6"/>
        <v>6</v>
      </c>
      <c r="AW10">
        <f t="shared" si="7"/>
        <v>0</v>
      </c>
      <c r="AX10">
        <f t="shared" si="8"/>
        <v>0</v>
      </c>
      <c r="AY10">
        <f t="shared" ref="AY10:BD10" si="21">SUM(AJ10)</f>
        <v>0</v>
      </c>
      <c r="AZ10">
        <f t="shared" si="21"/>
        <v>0</v>
      </c>
      <c r="BA10">
        <f t="shared" si="21"/>
        <v>0</v>
      </c>
      <c r="BB10">
        <f t="shared" si="21"/>
        <v>0.6</v>
      </c>
      <c r="BC10">
        <f t="shared" si="21"/>
        <v>0</v>
      </c>
      <c r="BD10">
        <f t="shared" si="21"/>
        <v>0.4</v>
      </c>
      <c r="BE10">
        <f t="shared" si="10"/>
        <v>0</v>
      </c>
      <c r="BF10" s="4"/>
      <c r="BG10" s="50">
        <f t="shared" si="11"/>
        <v>25</v>
      </c>
      <c r="BH10" s="32"/>
    </row>
    <row r="11">
      <c r="A11" s="43">
        <v>489583.0</v>
      </c>
      <c r="B11" s="55" t="s">
        <v>357</v>
      </c>
      <c r="C11" s="24">
        <v>18060.0</v>
      </c>
      <c r="D11" s="25" t="s">
        <v>56</v>
      </c>
      <c r="E11" s="27" t="s">
        <v>55</v>
      </c>
      <c r="F11" s="27" t="s">
        <v>56</v>
      </c>
      <c r="G11" s="27" t="s">
        <v>211</v>
      </c>
      <c r="H11" s="27" t="s">
        <v>55</v>
      </c>
      <c r="I11" s="27" t="s">
        <v>55</v>
      </c>
      <c r="J11" s="27" t="s">
        <v>55</v>
      </c>
      <c r="K11" s="27" t="s">
        <v>55</v>
      </c>
      <c r="L11" s="27" t="s">
        <v>56</v>
      </c>
      <c r="M11" s="27" t="s">
        <v>56</v>
      </c>
      <c r="N11" s="27" t="s">
        <v>211</v>
      </c>
      <c r="O11" s="27" t="s">
        <v>211</v>
      </c>
      <c r="P11" s="27" t="s">
        <v>211</v>
      </c>
      <c r="Q11" s="27" t="s">
        <v>56</v>
      </c>
      <c r="R11" s="27" t="s">
        <v>55</v>
      </c>
      <c r="S11" s="211" t="s">
        <v>56</v>
      </c>
      <c r="T11" s="43">
        <v>489583.0</v>
      </c>
      <c r="U11" s="36">
        <v>6.0</v>
      </c>
      <c r="W11" s="24">
        <v>5.12</v>
      </c>
      <c r="X11" s="28">
        <v>18909.0</v>
      </c>
      <c r="AA11" s="212"/>
      <c r="AB11" s="28"/>
      <c r="AE11" s="212"/>
      <c r="AF11" s="28"/>
      <c r="AI11" s="212"/>
      <c r="AJ11" s="28"/>
      <c r="AP11" s="36">
        <v>6.5</v>
      </c>
      <c r="AQ11" s="24">
        <v>0.01</v>
      </c>
      <c r="AR11" s="28"/>
      <c r="AS11" s="21">
        <f t="shared" ref="AS11:AT11" si="22">SUM(AP11)</f>
        <v>6.5</v>
      </c>
      <c r="AT11">
        <f t="shared" si="22"/>
        <v>0.01</v>
      </c>
      <c r="AU11">
        <f t="shared" si="5"/>
        <v>6</v>
      </c>
      <c r="AV11">
        <f t="shared" si="6"/>
        <v>0</v>
      </c>
      <c r="AW11">
        <f t="shared" si="7"/>
        <v>0</v>
      </c>
      <c r="AX11">
        <f t="shared" si="8"/>
        <v>0</v>
      </c>
      <c r="AY11">
        <f t="shared" ref="AY11:BD11" si="23">SUM(AJ11)</f>
        <v>0</v>
      </c>
      <c r="AZ11">
        <f t="shared" si="23"/>
        <v>0</v>
      </c>
      <c r="BA11">
        <f t="shared" si="23"/>
        <v>0</v>
      </c>
      <c r="BB11">
        <f t="shared" si="23"/>
        <v>0</v>
      </c>
      <c r="BC11">
        <f t="shared" si="23"/>
        <v>0</v>
      </c>
      <c r="BD11">
        <f t="shared" si="23"/>
        <v>0</v>
      </c>
      <c r="BE11">
        <f t="shared" si="10"/>
        <v>0</v>
      </c>
      <c r="BF11" s="4"/>
      <c r="BG11" s="50">
        <f t="shared" si="11"/>
        <v>12.51</v>
      </c>
      <c r="BH11" s="32"/>
    </row>
    <row r="12">
      <c r="A12" s="43">
        <v>467092.0</v>
      </c>
      <c r="B12" s="55" t="s">
        <v>358</v>
      </c>
      <c r="C12" s="24">
        <v>18070.0</v>
      </c>
      <c r="D12" s="25" t="s">
        <v>55</v>
      </c>
      <c r="E12" s="27" t="s">
        <v>55</v>
      </c>
      <c r="F12" s="27" t="s">
        <v>211</v>
      </c>
      <c r="G12" s="27" t="s">
        <v>55</v>
      </c>
      <c r="H12" s="27" t="s">
        <v>55</v>
      </c>
      <c r="I12" s="27" t="s">
        <v>211</v>
      </c>
      <c r="J12" s="27" t="s">
        <v>211</v>
      </c>
      <c r="K12" s="27" t="s">
        <v>211</v>
      </c>
      <c r="L12" s="27" t="s">
        <v>211</v>
      </c>
      <c r="M12" s="27" t="s">
        <v>55</v>
      </c>
      <c r="N12" s="27" t="s">
        <v>211</v>
      </c>
      <c r="O12" s="27" t="s">
        <v>55</v>
      </c>
      <c r="P12" s="27" t="s">
        <v>211</v>
      </c>
      <c r="Q12" s="27" t="s">
        <v>211</v>
      </c>
      <c r="R12" s="27" t="s">
        <v>55</v>
      </c>
      <c r="S12" s="211" t="s">
        <v>211</v>
      </c>
      <c r="T12" s="43">
        <v>467092.0</v>
      </c>
      <c r="U12" s="36">
        <v>7.7</v>
      </c>
      <c r="V12" s="36">
        <v>0.0</v>
      </c>
      <c r="W12" s="212">
        <v>45961.0</v>
      </c>
      <c r="X12" s="28">
        <v>18324.0</v>
      </c>
      <c r="Y12" s="36">
        <v>8.5</v>
      </c>
      <c r="AA12" s="24">
        <v>12.12</v>
      </c>
      <c r="AB12" s="28">
        <v>18423.0</v>
      </c>
      <c r="AC12" s="36">
        <v>6.0</v>
      </c>
      <c r="AD12" s="36" t="s">
        <v>359</v>
      </c>
      <c r="AE12" s="24">
        <v>11.02</v>
      </c>
      <c r="AF12" s="28">
        <v>18033.0</v>
      </c>
      <c r="AG12" s="36">
        <v>6.0</v>
      </c>
      <c r="AI12" s="24">
        <v>17.02</v>
      </c>
      <c r="AJ12" s="28">
        <v>0.9</v>
      </c>
      <c r="AK12" s="36">
        <v>1.7</v>
      </c>
      <c r="AL12" s="36">
        <v>0.7</v>
      </c>
      <c r="AM12" s="36">
        <v>1.3</v>
      </c>
      <c r="AN12" s="36">
        <v>1.2</v>
      </c>
      <c r="AO12" s="36">
        <v>0.01</v>
      </c>
      <c r="AP12" s="36">
        <v>6.0</v>
      </c>
      <c r="AQ12" s="24">
        <v>6.0</v>
      </c>
      <c r="AR12" s="28">
        <f>SUM(AP12:AQ12)+1</f>
        <v>13</v>
      </c>
      <c r="AS12" s="21">
        <f t="shared" ref="AS12:AT12" si="24">SUM(AP12)</f>
        <v>6</v>
      </c>
      <c r="AT12">
        <f t="shared" si="24"/>
        <v>6</v>
      </c>
      <c r="AU12">
        <f t="shared" si="5"/>
        <v>7.7</v>
      </c>
      <c r="AV12">
        <f t="shared" si="6"/>
        <v>8.5</v>
      </c>
      <c r="AW12">
        <f t="shared" si="7"/>
        <v>6</v>
      </c>
      <c r="AX12">
        <f t="shared" si="8"/>
        <v>6</v>
      </c>
      <c r="AY12">
        <f t="shared" ref="AY12:BD12" si="25">SUM(AJ12)</f>
        <v>0.9</v>
      </c>
      <c r="AZ12">
        <f t="shared" si="25"/>
        <v>1.7</v>
      </c>
      <c r="BA12">
        <f t="shared" si="25"/>
        <v>0.7</v>
      </c>
      <c r="BB12">
        <f t="shared" si="25"/>
        <v>1.3</v>
      </c>
      <c r="BC12">
        <f t="shared" si="25"/>
        <v>1.2</v>
      </c>
      <c r="BD12">
        <f t="shared" si="25"/>
        <v>0.01</v>
      </c>
      <c r="BE12">
        <f t="shared" si="10"/>
        <v>13</v>
      </c>
      <c r="BF12" s="24">
        <v>1.0</v>
      </c>
      <c r="BG12" s="50">
        <f t="shared" si="11"/>
        <v>60.01</v>
      </c>
      <c r="BH12" s="32">
        <v>2.0</v>
      </c>
    </row>
    <row r="13">
      <c r="A13" s="43">
        <v>409606.0</v>
      </c>
      <c r="B13" s="55" t="s">
        <v>360</v>
      </c>
      <c r="C13" s="36"/>
      <c r="D13" s="213" t="s">
        <v>56</v>
      </c>
      <c r="E13" s="27" t="s">
        <v>56</v>
      </c>
      <c r="F13" s="27" t="s">
        <v>56</v>
      </c>
      <c r="G13" s="27" t="s">
        <v>56</v>
      </c>
      <c r="H13" s="27" t="s">
        <v>56</v>
      </c>
      <c r="I13" s="27" t="s">
        <v>56</v>
      </c>
      <c r="J13" s="27" t="s">
        <v>56</v>
      </c>
      <c r="K13" s="27" t="s">
        <v>56</v>
      </c>
      <c r="L13" s="27" t="s">
        <v>56</v>
      </c>
      <c r="M13" s="27" t="s">
        <v>56</v>
      </c>
      <c r="N13" s="27" t="s">
        <v>56</v>
      </c>
      <c r="O13" s="27" t="s">
        <v>56</v>
      </c>
      <c r="P13" s="27" t="s">
        <v>56</v>
      </c>
      <c r="Q13" s="27" t="s">
        <v>56</v>
      </c>
      <c r="R13" s="27" t="s">
        <v>56</v>
      </c>
      <c r="S13" s="211" t="s">
        <v>56</v>
      </c>
      <c r="T13" s="43"/>
      <c r="U13" s="36"/>
      <c r="V13" s="36"/>
      <c r="W13" s="214"/>
      <c r="X13" s="28"/>
      <c r="AA13" s="214"/>
      <c r="AB13" s="28"/>
      <c r="AE13" s="214"/>
      <c r="AF13" s="28"/>
      <c r="AI13" s="214"/>
      <c r="AJ13" s="28"/>
      <c r="AQ13" s="36"/>
      <c r="AR13" s="28"/>
      <c r="AS13" s="21">
        <f t="shared" ref="AS13:AT13" si="26">SUM(AP13)</f>
        <v>0</v>
      </c>
      <c r="AT13">
        <f t="shared" si="26"/>
        <v>0</v>
      </c>
      <c r="AU13">
        <f t="shared" si="5"/>
        <v>0</v>
      </c>
      <c r="AV13">
        <f t="shared" si="6"/>
        <v>0</v>
      </c>
      <c r="AW13">
        <f t="shared" si="7"/>
        <v>0</v>
      </c>
      <c r="AX13">
        <f t="shared" si="8"/>
        <v>0</v>
      </c>
      <c r="AY13">
        <f t="shared" ref="AY13:BD13" si="27">SUM(AJ13)</f>
        <v>0</v>
      </c>
      <c r="AZ13">
        <f t="shared" si="27"/>
        <v>0</v>
      </c>
      <c r="BA13">
        <f t="shared" si="27"/>
        <v>0</v>
      </c>
      <c r="BB13">
        <f t="shared" si="27"/>
        <v>0</v>
      </c>
      <c r="BC13">
        <f t="shared" si="27"/>
        <v>0</v>
      </c>
      <c r="BD13">
        <f t="shared" si="27"/>
        <v>0</v>
      </c>
      <c r="BE13">
        <f t="shared" si="10"/>
        <v>0</v>
      </c>
      <c r="BF13" s="4"/>
      <c r="BG13" s="50">
        <f t="shared" si="11"/>
        <v>0</v>
      </c>
      <c r="BH13" s="32"/>
    </row>
    <row r="14">
      <c r="A14" s="43">
        <v>468018.0</v>
      </c>
      <c r="B14" s="55" t="s">
        <v>361</v>
      </c>
      <c r="C14" s="24">
        <v>18090.0</v>
      </c>
      <c r="D14" s="25" t="s">
        <v>55</v>
      </c>
      <c r="E14" s="27" t="s">
        <v>56</v>
      </c>
      <c r="F14" s="27" t="s">
        <v>211</v>
      </c>
      <c r="G14" s="27" t="s">
        <v>55</v>
      </c>
      <c r="H14" s="27" t="s">
        <v>55</v>
      </c>
      <c r="I14" s="27" t="s">
        <v>211</v>
      </c>
      <c r="J14" s="27" t="s">
        <v>211</v>
      </c>
      <c r="K14" s="27" t="s">
        <v>211</v>
      </c>
      <c r="L14" s="27" t="s">
        <v>211</v>
      </c>
      <c r="M14" s="27" t="s">
        <v>55</v>
      </c>
      <c r="N14" s="27" t="s">
        <v>211</v>
      </c>
      <c r="O14" s="27" t="s">
        <v>211</v>
      </c>
      <c r="P14" s="27" t="s">
        <v>55</v>
      </c>
      <c r="Q14" s="27" t="s">
        <v>56</v>
      </c>
      <c r="R14" s="27" t="s">
        <v>55</v>
      </c>
      <c r="S14" s="211" t="s">
        <v>211</v>
      </c>
      <c r="T14" s="43">
        <v>468018.0</v>
      </c>
      <c r="U14" s="36">
        <v>6.9</v>
      </c>
      <c r="W14" s="212">
        <v>45961.0</v>
      </c>
      <c r="X14" s="28">
        <v>18340.0</v>
      </c>
      <c r="Y14" s="36">
        <v>6.0</v>
      </c>
      <c r="AA14" s="24">
        <v>28.0</v>
      </c>
      <c r="AB14" s="28">
        <v>18765.0</v>
      </c>
      <c r="AC14" s="36">
        <v>7.5</v>
      </c>
      <c r="AE14" s="24">
        <v>11.02</v>
      </c>
      <c r="AF14" s="28">
        <v>18434.0</v>
      </c>
      <c r="AG14" s="36">
        <v>6.0</v>
      </c>
      <c r="AI14" s="24">
        <v>17.02</v>
      </c>
      <c r="AJ14" s="28">
        <v>0.4</v>
      </c>
      <c r="AM14" s="36">
        <v>0.7</v>
      </c>
      <c r="AP14" s="36">
        <v>6.0</v>
      </c>
      <c r="AQ14" s="24">
        <v>6.0</v>
      </c>
      <c r="AR14" s="28">
        <f>SUM(AP14:AQ14)+6</f>
        <v>18</v>
      </c>
      <c r="AS14" s="21">
        <f t="shared" ref="AS14:AT14" si="28">SUM(AP14)</f>
        <v>6</v>
      </c>
      <c r="AT14">
        <f t="shared" si="28"/>
        <v>6</v>
      </c>
      <c r="AU14">
        <f t="shared" si="5"/>
        <v>6.9</v>
      </c>
      <c r="AV14">
        <f t="shared" si="6"/>
        <v>6</v>
      </c>
      <c r="AW14">
        <f t="shared" si="7"/>
        <v>7.5</v>
      </c>
      <c r="AX14">
        <f t="shared" si="8"/>
        <v>6</v>
      </c>
      <c r="AY14">
        <f t="shared" ref="AY14:BD14" si="29">SUM(AJ14)</f>
        <v>0.4</v>
      </c>
      <c r="AZ14">
        <f t="shared" si="29"/>
        <v>0</v>
      </c>
      <c r="BA14">
        <f t="shared" si="29"/>
        <v>0</v>
      </c>
      <c r="BB14">
        <f t="shared" si="29"/>
        <v>0.7</v>
      </c>
      <c r="BC14">
        <f t="shared" si="29"/>
        <v>0</v>
      </c>
      <c r="BD14">
        <f t="shared" si="29"/>
        <v>0</v>
      </c>
      <c r="BE14">
        <f t="shared" si="10"/>
        <v>18</v>
      </c>
      <c r="BF14" s="24">
        <v>3.0</v>
      </c>
      <c r="BG14" s="50">
        <f t="shared" si="11"/>
        <v>60.5</v>
      </c>
      <c r="BH14" s="32">
        <v>2.0</v>
      </c>
    </row>
    <row r="15">
      <c r="A15" s="36"/>
      <c r="T15" s="36"/>
      <c r="U15" s="36"/>
      <c r="V15" s="36"/>
      <c r="W15" s="37"/>
      <c r="Y15" s="36"/>
      <c r="Z15" s="36"/>
      <c r="AA15" s="37"/>
      <c r="AC15" s="36"/>
      <c r="AD15" s="36"/>
      <c r="AE15" s="37"/>
      <c r="AG15" s="36"/>
      <c r="AH15" s="36"/>
      <c r="AI15" s="36"/>
      <c r="AJ15" s="36"/>
      <c r="BG15" s="39"/>
      <c r="BH15" s="32"/>
    </row>
    <row r="16">
      <c r="A16" s="36"/>
      <c r="T16" s="36"/>
      <c r="U16" s="36"/>
      <c r="V16" s="36"/>
      <c r="W16" s="37"/>
      <c r="Y16" s="36"/>
      <c r="Z16" s="36"/>
      <c r="AA16" s="37"/>
      <c r="AC16" s="36"/>
      <c r="AD16" s="36"/>
      <c r="AE16" s="37"/>
      <c r="AG16" s="36"/>
      <c r="AH16" s="36"/>
      <c r="AI16" s="36"/>
      <c r="AJ16" s="36"/>
      <c r="AP16" s="36">
        <f t="shared" ref="AP16:AQ16" si="30">COUNTA($B$4:$B$14)-COUNTIF(AP4:AP14,"&gt;=6")</f>
        <v>3</v>
      </c>
      <c r="AQ16" s="36">
        <f t="shared" si="30"/>
        <v>4</v>
      </c>
      <c r="BG16" s="39"/>
      <c r="BH16" s="32"/>
    </row>
    <row r="17">
      <c r="A17" s="215">
        <v>467802.0</v>
      </c>
      <c r="B17" s="216" t="s">
        <v>362</v>
      </c>
      <c r="C17" s="217"/>
      <c r="D17" s="218" t="s">
        <v>56</v>
      </c>
      <c r="E17" s="219" t="s">
        <v>56</v>
      </c>
      <c r="F17" s="219" t="s">
        <v>56</v>
      </c>
      <c r="G17" s="219" t="s">
        <v>56</v>
      </c>
      <c r="H17" s="27" t="s">
        <v>56</v>
      </c>
      <c r="I17" s="27" t="s">
        <v>56</v>
      </c>
      <c r="J17" s="27" t="s">
        <v>56</v>
      </c>
      <c r="K17" s="27" t="s">
        <v>56</v>
      </c>
      <c r="L17" s="27" t="s">
        <v>56</v>
      </c>
      <c r="M17" s="27" t="s">
        <v>56</v>
      </c>
      <c r="N17" s="27" t="s">
        <v>56</v>
      </c>
      <c r="O17" s="27" t="s">
        <v>56</v>
      </c>
      <c r="P17" s="27" t="s">
        <v>56</v>
      </c>
      <c r="Q17" s="27" t="s">
        <v>56</v>
      </c>
      <c r="R17" s="27" t="s">
        <v>56</v>
      </c>
      <c r="S17" s="211" t="s">
        <v>56</v>
      </c>
      <c r="T17" s="215">
        <v>467802.0</v>
      </c>
      <c r="U17" s="217"/>
      <c r="V17" s="217"/>
      <c r="W17" s="220"/>
      <c r="X17" s="221"/>
      <c r="Y17" s="217"/>
      <c r="Z17" s="217"/>
      <c r="AA17" s="222"/>
      <c r="AB17" s="221"/>
      <c r="AC17" s="217"/>
      <c r="AD17" s="217"/>
      <c r="AE17" s="222"/>
      <c r="AF17" s="221"/>
      <c r="AG17" s="217"/>
      <c r="AH17" s="217"/>
      <c r="AI17" s="220"/>
      <c r="AJ17" s="221"/>
      <c r="AK17" s="217"/>
      <c r="AL17" s="217"/>
      <c r="AM17" s="217"/>
      <c r="AN17" s="217"/>
      <c r="AO17" s="217"/>
      <c r="AP17" s="217"/>
      <c r="AQ17" s="217"/>
      <c r="AR17" s="223"/>
      <c r="AS17" s="217">
        <f t="shared" ref="AS17:AT17" si="31">SUM(AP17)</f>
        <v>0</v>
      </c>
      <c r="AT17" s="217">
        <f t="shared" si="31"/>
        <v>0</v>
      </c>
      <c r="AU17" s="224">
        <f>SUM(U17,V17)</f>
        <v>0</v>
      </c>
      <c r="AV17" s="217">
        <f>SUM(Y17,Z17)</f>
        <v>0</v>
      </c>
      <c r="AW17" s="217">
        <f>SUM(AC17,AD17)</f>
        <v>0</v>
      </c>
      <c r="AX17" s="217">
        <f>SUM(AG17,AH17)</f>
        <v>0</v>
      </c>
      <c r="AY17" s="217">
        <f t="shared" ref="AY17:BD17" si="32">SUM(AJ17)</f>
        <v>0</v>
      </c>
      <c r="AZ17" s="217">
        <f t="shared" si="32"/>
        <v>0</v>
      </c>
      <c r="BA17" s="217">
        <f t="shared" si="32"/>
        <v>0</v>
      </c>
      <c r="BB17" s="217">
        <f t="shared" si="32"/>
        <v>0</v>
      </c>
      <c r="BC17" s="217">
        <f t="shared" si="32"/>
        <v>0</v>
      </c>
      <c r="BD17" s="217">
        <f t="shared" si="32"/>
        <v>0</v>
      </c>
      <c r="BE17" s="217">
        <f>SUM(AR17)</f>
        <v>0</v>
      </c>
      <c r="BF17" s="217"/>
      <c r="BG17" s="225">
        <f>SUM(AU17:BF17)</f>
        <v>0</v>
      </c>
      <c r="BH17" s="226"/>
    </row>
  </sheetData>
  <mergeCells count="45">
    <mergeCell ref="N2:N3"/>
    <mergeCell ref="O2:O3"/>
    <mergeCell ref="P2:P3"/>
    <mergeCell ref="Q2:Q3"/>
    <mergeCell ref="R2:R3"/>
    <mergeCell ref="S2:S3"/>
    <mergeCell ref="T2:T3"/>
    <mergeCell ref="W2:W3"/>
    <mergeCell ref="X2:X3"/>
    <mergeCell ref="AA2:AA3"/>
    <mergeCell ref="AB2:AB3"/>
    <mergeCell ref="AE2:AE3"/>
    <mergeCell ref="AF2:AF3"/>
    <mergeCell ref="AI2:AI3"/>
    <mergeCell ref="A1:B1"/>
    <mergeCell ref="C1:C3"/>
    <mergeCell ref="D1:S1"/>
    <mergeCell ref="T1:W1"/>
    <mergeCell ref="X1:AA1"/>
    <mergeCell ref="AB1:AE1"/>
    <mergeCell ref="AF1:AI1"/>
    <mergeCell ref="AP2:AP3"/>
    <mergeCell ref="AQ2:AQ3"/>
    <mergeCell ref="AS1:BE2"/>
    <mergeCell ref="BG1:BG3"/>
    <mergeCell ref="BH1:BH3"/>
    <mergeCell ref="AJ2:AJ3"/>
    <mergeCell ref="AK2:AK3"/>
    <mergeCell ref="AL2:AL3"/>
    <mergeCell ref="AM2:AM3"/>
    <mergeCell ref="AR2:AR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N2:AN3"/>
    <mergeCell ref="AO2:AO3"/>
  </mergeCells>
  <conditionalFormatting sqref="AA4">
    <cfRule type="timePeriod" dxfId="0" priority="1" timePeriod="last7Days"/>
  </conditionalFormatting>
  <conditionalFormatting sqref="AE4">
    <cfRule type="timePeriod" dxfId="0" priority="2" timePeriod="last7Days"/>
  </conditionalFormatting>
  <conditionalFormatting sqref="AE4">
    <cfRule type="timePeriod" dxfId="0" priority="3" timePeriod="last7Days"/>
  </conditionalFormatting>
  <conditionalFormatting sqref="W4 AA4 AE4">
    <cfRule type="timePeriod" dxfId="0" priority="4" timePeriod="last7Days"/>
  </conditionalFormatting>
  <conditionalFormatting sqref="W4">
    <cfRule type="timePeriod" dxfId="0" priority="5" timePeriod="last7Days"/>
  </conditionalFormatting>
  <conditionalFormatting sqref="W4">
    <cfRule type="timePeriod" dxfId="0" priority="6" timePeriod="last7Days"/>
  </conditionalFormatting>
  <conditionalFormatting sqref="AE4">
    <cfRule type="timePeriod" dxfId="0" priority="7" timePeriod="last7Days"/>
  </conditionalFormatting>
  <conditionalFormatting sqref="AS4:BF17">
    <cfRule type="cellIs" dxfId="1" priority="8" operator="lessThan">
      <formula>0.1</formula>
    </cfRule>
  </conditionalFormatting>
  <conditionalFormatting sqref="AS4:BF17">
    <cfRule type="cellIs" dxfId="2" priority="9" operator="greaterThan">
      <formula>0.1</formula>
    </cfRule>
  </conditionalFormatting>
  <conditionalFormatting sqref="BG4:BH17">
    <cfRule type="cellIs" dxfId="3" priority="10" operator="between">
      <formula>60</formula>
      <formula>68</formula>
    </cfRule>
  </conditionalFormatting>
  <conditionalFormatting sqref="BG4:BH17">
    <cfRule type="cellIs" dxfId="4" priority="11" operator="between">
      <formula>68</formula>
      <formula>74</formula>
    </cfRule>
  </conditionalFormatting>
  <conditionalFormatting sqref="BG4:BH17">
    <cfRule type="cellIs" dxfId="2" priority="12" operator="between">
      <formula>74</formula>
      <formula>81</formula>
    </cfRule>
  </conditionalFormatting>
  <conditionalFormatting sqref="BG4:BH17">
    <cfRule type="cellIs" dxfId="5" priority="13" operator="between">
      <formula>81</formula>
      <formula>90</formula>
    </cfRule>
  </conditionalFormatting>
  <conditionalFormatting sqref="BG4:BH17">
    <cfRule type="cellIs" dxfId="6" priority="14" operator="greaterThan">
      <formula>90</formula>
    </cfRule>
  </conditionalFormatting>
  <conditionalFormatting sqref="AA4">
    <cfRule type="timePeriod" dxfId="0" priority="15" timePeriod="last7Days"/>
  </conditionalFormatting>
  <conditionalFormatting sqref="G4:G14 G17">
    <cfRule type="containsText" dxfId="7" priority="16" operator="containsText" text="н">
      <formula>NOT(ISERROR(SEARCH(("н"),(G4))))</formula>
    </cfRule>
  </conditionalFormatting>
  <conditionalFormatting sqref="G4:G14 G17">
    <cfRule type="containsText" dxfId="7" priority="17" operator="containsText" text="n">
      <formula>NOT(ISERROR(SEARCH(("n"),(G4))))</formula>
    </cfRule>
  </conditionalFormatting>
  <conditionalFormatting sqref="F4:F14 F17">
    <cfRule type="containsText" dxfId="7" priority="18" operator="containsText" text="н">
      <formula>NOT(ISERROR(SEARCH(("н"),(F4))))</formula>
    </cfRule>
  </conditionalFormatting>
  <conditionalFormatting sqref="F4:F14 F17">
    <cfRule type="containsText" dxfId="7" priority="19" operator="containsText" text="n">
      <formula>NOT(ISERROR(SEARCH(("n"),(F4))))</formula>
    </cfRule>
  </conditionalFormatting>
  <conditionalFormatting sqref="U4:V4">
    <cfRule type="cellIs" dxfId="8" priority="20" operator="equal">
      <formula>0</formula>
    </cfRule>
  </conditionalFormatting>
  <conditionalFormatting sqref="Y4:Z4">
    <cfRule type="cellIs" dxfId="8" priority="21" operator="equal">
      <formula>0</formula>
    </cfRule>
  </conditionalFormatting>
  <conditionalFormatting sqref="AC4:AD4">
    <cfRule type="cellIs" dxfId="8" priority="22" operator="equal">
      <formula>0</formula>
    </cfRule>
  </conditionalFormatting>
  <conditionalFormatting sqref="AG4:AH4">
    <cfRule type="cellIs" dxfId="8" priority="23" operator="equal">
      <formula>0</formula>
    </cfRule>
  </conditionalFormatting>
  <conditionalFormatting sqref="AJ4:AQ4">
    <cfRule type="cellIs" dxfId="8" priority="24" operator="equal">
      <formula>0</formula>
    </cfRule>
  </conditionalFormatting>
  <conditionalFormatting sqref="D1:S17">
    <cfRule type="containsText" dxfId="7" priority="25" operator="containsText" text="н">
      <formula>NOT(ISERROR(SEARCH(("н"),(D1))))</formula>
    </cfRule>
  </conditionalFormatting>
  <conditionalFormatting sqref="D1:S17">
    <cfRule type="containsText" dxfId="7" priority="26" operator="containsText" text="n">
      <formula>NOT(ISERROR(SEARCH(("n"),(D1))))</formula>
    </cfRule>
  </conditionalFormatting>
  <conditionalFormatting sqref="W4">
    <cfRule type="timePeriod" dxfId="0" priority="27" timePeriod="last7Days"/>
  </conditionalFormatting>
  <conditionalFormatting sqref="AA4">
    <cfRule type="timePeriod" dxfId="0" priority="28" timePeriod="last7Days"/>
  </conditionalFormatting>
  <conditionalFormatting sqref="AE4">
    <cfRule type="timePeriod" dxfId="0" priority="29" timePeriod="last7Days"/>
  </conditionalFormatting>
  <conditionalFormatting sqref="AI4">
    <cfRule type="timePeriod" dxfId="0" priority="30" timePeriod="last7Days"/>
  </conditionalFormatting>
  <conditionalFormatting sqref="BG1:BH17">
    <cfRule type="cellIs" dxfId="3" priority="31" operator="between">
      <formula>60</formula>
      <formula>68</formula>
    </cfRule>
  </conditionalFormatting>
  <conditionalFormatting sqref="AR4:AR17">
    <cfRule type="cellIs" dxfId="6" priority="32" operator="between">
      <formula>12</formula>
      <formula>1000</formula>
    </cfRule>
  </conditionalFormatting>
  <conditionalFormatting sqref="BG1:BH17">
    <cfRule type="cellIs" dxfId="4" priority="33" operator="between">
      <formula>68</formula>
      <formula>74</formula>
    </cfRule>
  </conditionalFormatting>
  <conditionalFormatting sqref="BG1:BH17">
    <cfRule type="cellIs" dxfId="2" priority="34" operator="between">
      <formula>74</formula>
      <formula>81</formula>
    </cfRule>
  </conditionalFormatting>
  <conditionalFormatting sqref="BG1:BH17">
    <cfRule type="cellIs" dxfId="5" priority="35" operator="between">
      <formula>81</formula>
      <formula>90</formula>
    </cfRule>
  </conditionalFormatting>
  <conditionalFormatting sqref="BG1:BH17">
    <cfRule type="cellIs" dxfId="6" priority="36" operator="greaterThan">
      <formula>90</formula>
    </cfRule>
  </conditionalFormatting>
  <conditionalFormatting sqref="D4:S14 D17:S17">
    <cfRule type="containsText" dxfId="9" priority="37" operator="containsText" text="w">
      <formula>NOT(ISERROR(SEARCH(("w"),(D4))))</formula>
    </cfRule>
  </conditionalFormatting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21" width="2.88"/>
    <col customWidth="1" min="22" max="22" width="6.38"/>
    <col customWidth="1" min="23" max="23" width="5.0"/>
    <col customWidth="1" min="24" max="24" width="3.88"/>
    <col customWidth="1" min="25" max="25" width="4.63"/>
    <col customWidth="1" min="26" max="26" width="6.5"/>
    <col customWidth="1" min="27" max="27" width="5.13"/>
    <col customWidth="1" min="28" max="28" width="4.0"/>
    <col customWidth="1" min="29" max="29" width="5.0"/>
    <col customWidth="1" min="30" max="30" width="6.38"/>
    <col customWidth="1" min="31" max="31" width="5.13"/>
    <col customWidth="1" min="32" max="32" width="4.0"/>
    <col customWidth="1" min="33" max="33" width="5.0"/>
    <col customWidth="1" min="34" max="34" width="7.63"/>
    <col customWidth="1" min="35" max="35" width="5.0"/>
    <col customWidth="1" min="36" max="36" width="4.5"/>
    <col customWidth="1" min="37" max="37" width="5.0"/>
    <col customWidth="1" min="38" max="38" width="5.63"/>
    <col customWidth="1" min="39" max="39" width="5.13"/>
    <col customWidth="1" min="40" max="40" width="5.38"/>
    <col customWidth="1" min="41" max="41" width="5.0"/>
    <col customWidth="1" min="42" max="43" width="5.38"/>
    <col customWidth="1" min="44" max="45" width="5.88"/>
    <col customWidth="1" min="46" max="46" width="5.63"/>
    <col customWidth="1" min="47" max="47" width="4.5"/>
    <col customWidth="1" min="48" max="48" width="4.38"/>
    <col customWidth="1" min="49" max="53" width="4.25"/>
    <col customWidth="1" min="54" max="54" width="4.63"/>
    <col customWidth="1" min="55" max="55" width="4.5"/>
    <col customWidth="1" min="56" max="57" width="4.63"/>
    <col customWidth="1" min="58" max="58" width="4.5"/>
    <col customWidth="1" min="59" max="60" width="4.38"/>
    <col customWidth="1" min="61" max="61" width="6.63"/>
    <col customWidth="1" min="62" max="62" width="3.25"/>
  </cols>
  <sheetData>
    <row r="1">
      <c r="A1" s="1" t="s">
        <v>363</v>
      </c>
      <c r="C1" s="2" t="s">
        <v>1</v>
      </c>
      <c r="D1" s="3" t="s">
        <v>2</v>
      </c>
      <c r="N1" s="4"/>
      <c r="O1" s="8"/>
      <c r="P1" s="8"/>
      <c r="Q1" s="8"/>
      <c r="R1" s="8"/>
      <c r="S1" s="8"/>
      <c r="T1" s="8"/>
      <c r="U1" s="8"/>
      <c r="V1" s="5" t="s">
        <v>3</v>
      </c>
      <c r="Y1" s="4"/>
      <c r="Z1" s="5" t="s">
        <v>4</v>
      </c>
      <c r="AC1" s="4"/>
      <c r="AD1" s="5" t="s">
        <v>5</v>
      </c>
      <c r="AG1" s="4"/>
      <c r="AH1" s="5" t="s">
        <v>6</v>
      </c>
      <c r="AK1" s="4"/>
      <c r="AL1" s="3" t="s">
        <v>7</v>
      </c>
      <c r="AM1" s="6" t="s">
        <v>8</v>
      </c>
      <c r="AN1" s="6" t="s">
        <v>9</v>
      </c>
      <c r="AO1" s="6" t="s">
        <v>10</v>
      </c>
      <c r="AP1" s="6" t="s">
        <v>11</v>
      </c>
      <c r="AQ1" s="6" t="s">
        <v>12</v>
      </c>
      <c r="AR1" s="6" t="s">
        <v>13</v>
      </c>
      <c r="AS1" s="7" t="s">
        <v>14</v>
      </c>
      <c r="AT1" s="3" t="s">
        <v>15</v>
      </c>
      <c r="AU1" s="6" t="s">
        <v>16</v>
      </c>
      <c r="BH1" s="7"/>
      <c r="BI1" s="41" t="s">
        <v>17</v>
      </c>
      <c r="BJ1" s="10" t="s">
        <v>18</v>
      </c>
    </row>
    <row r="2">
      <c r="A2" s="11" t="s">
        <v>19</v>
      </c>
      <c r="B2" s="11" t="s">
        <v>20</v>
      </c>
      <c r="C2" s="4"/>
      <c r="D2" s="12">
        <v>45538.0</v>
      </c>
      <c r="E2" s="12">
        <f t="shared" ref="E2:K2" si="1">D2+14</f>
        <v>45552</v>
      </c>
      <c r="F2" s="12">
        <f t="shared" si="1"/>
        <v>45566</v>
      </c>
      <c r="G2" s="12">
        <f t="shared" si="1"/>
        <v>45580</v>
      </c>
      <c r="H2" s="12">
        <f t="shared" si="1"/>
        <v>45594</v>
      </c>
      <c r="I2" s="12">
        <f t="shared" si="1"/>
        <v>45608</v>
      </c>
      <c r="J2" s="12">
        <f t="shared" si="1"/>
        <v>45622</v>
      </c>
      <c r="K2" s="12">
        <f t="shared" si="1"/>
        <v>45636</v>
      </c>
      <c r="L2" s="13"/>
      <c r="M2" s="13"/>
      <c r="N2" s="13"/>
      <c r="O2" s="13"/>
      <c r="P2" s="13"/>
      <c r="Q2" s="13"/>
      <c r="R2" s="13" t="s">
        <v>364</v>
      </c>
      <c r="S2" s="13" t="s">
        <v>365</v>
      </c>
      <c r="T2" s="13" t="s">
        <v>366</v>
      </c>
      <c r="U2" s="13" t="s">
        <v>367</v>
      </c>
      <c r="V2" s="14" t="s">
        <v>21</v>
      </c>
      <c r="W2" s="15" t="s">
        <v>22</v>
      </c>
      <c r="X2" s="15" t="s">
        <v>23</v>
      </c>
      <c r="Y2" s="16" t="s">
        <v>24</v>
      </c>
      <c r="Z2" s="14" t="s">
        <v>21</v>
      </c>
      <c r="AA2" s="15" t="s">
        <v>22</v>
      </c>
      <c r="AB2" s="15" t="s">
        <v>23</v>
      </c>
      <c r="AC2" s="16" t="s">
        <v>24</v>
      </c>
      <c r="AD2" s="14" t="s">
        <v>21</v>
      </c>
      <c r="AE2" s="15" t="s">
        <v>22</v>
      </c>
      <c r="AF2" s="15" t="s">
        <v>23</v>
      </c>
      <c r="AG2" s="16" t="s">
        <v>24</v>
      </c>
      <c r="AH2" s="14" t="s">
        <v>21</v>
      </c>
      <c r="AI2" s="15" t="s">
        <v>22</v>
      </c>
      <c r="AJ2" s="15" t="s">
        <v>23</v>
      </c>
      <c r="AK2" s="16" t="s">
        <v>24</v>
      </c>
      <c r="AL2" s="17" t="s">
        <v>25</v>
      </c>
      <c r="AM2" s="18" t="s">
        <v>25</v>
      </c>
      <c r="AN2" s="18" t="s">
        <v>25</v>
      </c>
      <c r="AO2" s="18" t="s">
        <v>25</v>
      </c>
      <c r="AP2" s="18" t="s">
        <v>25</v>
      </c>
      <c r="AQ2" s="18" t="s">
        <v>25</v>
      </c>
      <c r="AR2" s="15" t="s">
        <v>26</v>
      </c>
      <c r="AS2" s="19" t="s">
        <v>26</v>
      </c>
      <c r="AT2" s="14" t="s">
        <v>27</v>
      </c>
      <c r="BH2" s="7"/>
      <c r="BI2" s="4"/>
    </row>
    <row r="3">
      <c r="C3" s="4"/>
      <c r="O3" s="13"/>
      <c r="P3" s="13"/>
      <c r="Q3" s="13"/>
      <c r="R3" s="13"/>
      <c r="S3" s="13"/>
      <c r="T3" s="13"/>
      <c r="U3" s="13"/>
      <c r="V3" s="21"/>
      <c r="W3" s="15" t="s">
        <v>26</v>
      </c>
      <c r="X3" s="15" t="s">
        <v>28</v>
      </c>
      <c r="Y3" s="4"/>
      <c r="Z3" s="21"/>
      <c r="AA3" s="15" t="s">
        <v>26</v>
      </c>
      <c r="AB3" s="15" t="s">
        <v>28</v>
      </c>
      <c r="AC3" s="4"/>
      <c r="AD3" s="21"/>
      <c r="AE3" s="15" t="s">
        <v>26</v>
      </c>
      <c r="AF3" s="15" t="s">
        <v>28</v>
      </c>
      <c r="AG3" s="4"/>
      <c r="AH3" s="21"/>
      <c r="AI3" s="15" t="s">
        <v>26</v>
      </c>
      <c r="AJ3" s="15" t="s">
        <v>28</v>
      </c>
      <c r="AK3" s="4"/>
      <c r="AL3" s="21"/>
      <c r="AS3" s="4"/>
      <c r="AT3" s="21"/>
      <c r="AU3" s="17" t="s">
        <v>29</v>
      </c>
      <c r="AV3" s="18" t="s">
        <v>30</v>
      </c>
      <c r="AW3" s="18" t="s">
        <v>3</v>
      </c>
      <c r="AX3" s="18" t="s">
        <v>4</v>
      </c>
      <c r="AY3" s="18" t="s">
        <v>5</v>
      </c>
      <c r="AZ3" s="18" t="s">
        <v>6</v>
      </c>
      <c r="BA3" s="18" t="s">
        <v>7</v>
      </c>
      <c r="BB3" s="18" t="s">
        <v>8</v>
      </c>
      <c r="BC3" s="18" t="s">
        <v>9</v>
      </c>
      <c r="BD3" s="18" t="s">
        <v>10</v>
      </c>
      <c r="BE3" s="18" t="s">
        <v>11</v>
      </c>
      <c r="BF3" s="18" t="s">
        <v>12</v>
      </c>
      <c r="BG3" s="18" t="s">
        <v>31</v>
      </c>
      <c r="BH3" s="23" t="s">
        <v>23</v>
      </c>
      <c r="BI3" s="4"/>
    </row>
    <row r="4">
      <c r="A4" s="43">
        <v>464905.0</v>
      </c>
      <c r="B4" s="44" t="s">
        <v>368</v>
      </c>
      <c r="C4" s="24"/>
      <c r="D4" s="27" t="s">
        <v>84</v>
      </c>
      <c r="E4" s="27" t="s">
        <v>57</v>
      </c>
      <c r="F4" s="27" t="s">
        <v>57</v>
      </c>
      <c r="G4" s="27" t="s">
        <v>91</v>
      </c>
      <c r="H4" s="27" t="s">
        <v>91</v>
      </c>
      <c r="I4" s="27" t="s">
        <v>57</v>
      </c>
      <c r="J4" s="27" t="s">
        <v>91</v>
      </c>
      <c r="K4" s="27" t="s">
        <v>57</v>
      </c>
      <c r="L4" s="27" t="s">
        <v>57</v>
      </c>
      <c r="M4" s="27"/>
      <c r="N4" s="27" t="s">
        <v>57</v>
      </c>
      <c r="O4" s="27"/>
      <c r="P4" s="27" t="s">
        <v>57</v>
      </c>
      <c r="Q4" s="27" t="s">
        <v>57</v>
      </c>
      <c r="R4" s="27"/>
      <c r="S4" s="27"/>
      <c r="T4" s="27"/>
      <c r="U4" s="27"/>
      <c r="V4" s="49">
        <v>464905.0</v>
      </c>
      <c r="W4" s="36">
        <v>10.0</v>
      </c>
      <c r="X4" s="36">
        <v>2.0</v>
      </c>
      <c r="Y4" s="24">
        <v>26.09</v>
      </c>
      <c r="Z4" s="28">
        <v>778993.0</v>
      </c>
      <c r="AA4" s="36">
        <v>9.0</v>
      </c>
      <c r="AB4" s="36">
        <v>2.0</v>
      </c>
      <c r="AC4" s="24">
        <v>17.1</v>
      </c>
      <c r="AD4" s="28">
        <v>8532.0</v>
      </c>
      <c r="AE4" s="36">
        <v>9.0</v>
      </c>
      <c r="AF4" s="36">
        <v>1.5</v>
      </c>
      <c r="AG4" s="24">
        <v>21.11</v>
      </c>
      <c r="AH4" s="28">
        <v>8585.0</v>
      </c>
      <c r="AI4" s="29">
        <v>8.0</v>
      </c>
      <c r="AJ4" s="36">
        <v>2.0</v>
      </c>
      <c r="AK4" s="24">
        <v>26.12</v>
      </c>
      <c r="AL4" s="28">
        <v>1.6</v>
      </c>
      <c r="AM4" s="36">
        <v>1.1</v>
      </c>
      <c r="AN4" s="36">
        <v>0.6</v>
      </c>
      <c r="AP4" s="36">
        <v>1.6</v>
      </c>
      <c r="AQ4" s="36">
        <v>0.4</v>
      </c>
      <c r="AR4" s="36">
        <v>6.0</v>
      </c>
      <c r="AS4" s="24">
        <v>7.75</v>
      </c>
      <c r="AT4" s="28">
        <f t="shared" ref="AT4:AT7" si="4">SUM(AR4:AS4)</f>
        <v>13.75</v>
      </c>
      <c r="AU4" s="21">
        <f t="shared" ref="AU4:AV4" si="2">SUM(AR4)</f>
        <v>6</v>
      </c>
      <c r="AV4">
        <f t="shared" si="2"/>
        <v>7.75</v>
      </c>
      <c r="AW4">
        <f t="shared" ref="AW4:AW22" si="6">SUM(W4,X4)</f>
        <v>12</v>
      </c>
      <c r="AX4">
        <f t="shared" ref="AX4:AX22" si="7">SUM(AA4,AB4)</f>
        <v>11</v>
      </c>
      <c r="AY4">
        <f t="shared" ref="AY4:AY22" si="8">SUM(AE4,AF4)</f>
        <v>10.5</v>
      </c>
      <c r="AZ4">
        <f t="shared" ref="AZ4:AZ22" si="9">SUM(AI4,AJ4)</f>
        <v>10</v>
      </c>
      <c r="BA4">
        <f t="shared" ref="BA4:BF4" si="3">SUM(AL4)</f>
        <v>1.6</v>
      </c>
      <c r="BB4">
        <f t="shared" si="3"/>
        <v>1.1</v>
      </c>
      <c r="BC4">
        <f t="shared" si="3"/>
        <v>0.6</v>
      </c>
      <c r="BD4">
        <f t="shared" si="3"/>
        <v>0</v>
      </c>
      <c r="BE4">
        <f t="shared" si="3"/>
        <v>1.6</v>
      </c>
      <c r="BF4">
        <f t="shared" si="3"/>
        <v>0.4</v>
      </c>
      <c r="BG4">
        <f t="shared" ref="BG4:BG22" si="11">SUM(AT4)</f>
        <v>13.75</v>
      </c>
      <c r="BH4" s="4"/>
      <c r="BI4" s="50">
        <f t="shared" ref="BI4:BI22" si="12">SUM(AU4:BH4)</f>
        <v>76.3</v>
      </c>
      <c r="BJ4" s="32">
        <v>1.0</v>
      </c>
    </row>
    <row r="5">
      <c r="A5" s="43">
        <v>471733.0</v>
      </c>
      <c r="B5" s="44" t="s">
        <v>369</v>
      </c>
      <c r="C5" s="24"/>
      <c r="D5" s="27" t="s">
        <v>84</v>
      </c>
      <c r="E5" s="27" t="s">
        <v>91</v>
      </c>
      <c r="F5" s="27" t="s">
        <v>91</v>
      </c>
      <c r="G5" s="27" t="s">
        <v>57</v>
      </c>
      <c r="H5" s="27" t="s">
        <v>57</v>
      </c>
      <c r="I5" s="27" t="s">
        <v>91</v>
      </c>
      <c r="J5" s="27" t="s">
        <v>91</v>
      </c>
      <c r="K5" s="27" t="s">
        <v>57</v>
      </c>
      <c r="L5" s="27" t="s">
        <v>57</v>
      </c>
      <c r="M5" s="27" t="s">
        <v>57</v>
      </c>
      <c r="N5" s="27" t="s">
        <v>57</v>
      </c>
      <c r="O5" s="27" t="s">
        <v>57</v>
      </c>
      <c r="P5" s="27" t="s">
        <v>57</v>
      </c>
      <c r="Q5" s="27" t="s">
        <v>57</v>
      </c>
      <c r="R5" s="27"/>
      <c r="S5" s="27"/>
      <c r="T5" s="27"/>
      <c r="U5" s="27"/>
      <c r="V5" s="43">
        <v>471733.0</v>
      </c>
      <c r="W5" s="36">
        <v>8.0</v>
      </c>
      <c r="X5" s="36">
        <v>1.0</v>
      </c>
      <c r="Y5" s="24">
        <v>10.1</v>
      </c>
      <c r="Z5" s="28">
        <v>9994.0</v>
      </c>
      <c r="AA5" s="36">
        <v>8.0</v>
      </c>
      <c r="AC5" s="24">
        <v>17.11</v>
      </c>
      <c r="AD5" s="28">
        <v>9383.0</v>
      </c>
      <c r="AE5" s="36">
        <v>8.0</v>
      </c>
      <c r="AF5" s="36">
        <v>2.0</v>
      </c>
      <c r="AG5" s="24">
        <v>6.11</v>
      </c>
      <c r="AH5" s="28">
        <v>5642.0</v>
      </c>
      <c r="AI5" s="36">
        <v>8.0</v>
      </c>
      <c r="AJ5" s="36">
        <v>2.0</v>
      </c>
      <c r="AK5" s="24">
        <v>26.12</v>
      </c>
      <c r="AL5" s="28">
        <v>1.2</v>
      </c>
      <c r="AN5" s="36">
        <v>1.7</v>
      </c>
      <c r="AP5" s="36">
        <v>1.6</v>
      </c>
      <c r="AQ5" s="36">
        <v>0.01</v>
      </c>
      <c r="AR5" s="36">
        <v>6.0</v>
      </c>
      <c r="AS5" s="24">
        <v>8.83</v>
      </c>
      <c r="AT5" s="28">
        <f t="shared" si="4"/>
        <v>14.83</v>
      </c>
      <c r="AU5" s="21">
        <f t="shared" ref="AU5:AV5" si="5">SUM(AR5)</f>
        <v>6</v>
      </c>
      <c r="AV5">
        <f t="shared" si="5"/>
        <v>8.83</v>
      </c>
      <c r="AW5">
        <f t="shared" si="6"/>
        <v>9</v>
      </c>
      <c r="AX5">
        <f t="shared" si="7"/>
        <v>8</v>
      </c>
      <c r="AY5">
        <f t="shared" si="8"/>
        <v>10</v>
      </c>
      <c r="AZ5">
        <f t="shared" si="9"/>
        <v>10</v>
      </c>
      <c r="BA5">
        <f t="shared" ref="BA5:BF5" si="10">SUM(AL5)</f>
        <v>1.2</v>
      </c>
      <c r="BB5">
        <f t="shared" si="10"/>
        <v>0</v>
      </c>
      <c r="BC5">
        <f t="shared" si="10"/>
        <v>1.7</v>
      </c>
      <c r="BD5">
        <f t="shared" si="10"/>
        <v>0</v>
      </c>
      <c r="BE5">
        <f t="shared" si="10"/>
        <v>1.6</v>
      </c>
      <c r="BF5">
        <f t="shared" si="10"/>
        <v>0.01</v>
      </c>
      <c r="BG5">
        <f t="shared" si="11"/>
        <v>14.83</v>
      </c>
      <c r="BH5" s="24">
        <v>3.0</v>
      </c>
      <c r="BI5" s="50">
        <f t="shared" si="12"/>
        <v>74.17</v>
      </c>
      <c r="BJ5" s="32">
        <v>1.0</v>
      </c>
    </row>
    <row r="6">
      <c r="A6" s="43">
        <v>489889.0</v>
      </c>
      <c r="B6" s="55" t="s">
        <v>370</v>
      </c>
      <c r="C6" s="24"/>
      <c r="D6" s="27" t="s">
        <v>84</v>
      </c>
      <c r="E6" s="27" t="s">
        <v>57</v>
      </c>
      <c r="F6" s="27" t="s">
        <v>91</v>
      </c>
      <c r="G6" s="27" t="s">
        <v>91</v>
      </c>
      <c r="H6" s="27" t="s">
        <v>57</v>
      </c>
      <c r="I6" s="27" t="s">
        <v>91</v>
      </c>
      <c r="J6" s="27" t="s">
        <v>91</v>
      </c>
      <c r="K6" s="27" t="s">
        <v>57</v>
      </c>
      <c r="L6" s="27" t="s">
        <v>57</v>
      </c>
      <c r="M6" s="27"/>
      <c r="N6" s="27"/>
      <c r="O6" s="27"/>
      <c r="P6" s="27"/>
      <c r="Q6" s="27" t="s">
        <v>57</v>
      </c>
      <c r="R6" s="27"/>
      <c r="S6" s="27" t="s">
        <v>57</v>
      </c>
      <c r="T6" s="27"/>
      <c r="U6" s="27"/>
      <c r="V6" s="43">
        <v>489889.0</v>
      </c>
      <c r="W6" s="36">
        <v>8.0</v>
      </c>
      <c r="X6" s="36">
        <v>1.0</v>
      </c>
      <c r="Y6" s="24">
        <v>10.1</v>
      </c>
      <c r="Z6" s="28">
        <v>3384.0</v>
      </c>
      <c r="AA6" s="36">
        <v>8.0</v>
      </c>
      <c r="AB6" s="36">
        <v>1.0</v>
      </c>
      <c r="AC6" s="24">
        <v>7.11</v>
      </c>
      <c r="AD6" s="28">
        <v>55687.0</v>
      </c>
      <c r="AE6" s="36">
        <v>7.0</v>
      </c>
      <c r="AF6" s="36">
        <v>1.0</v>
      </c>
      <c r="AG6" s="24">
        <v>19.12</v>
      </c>
      <c r="AH6" s="28">
        <v>9594.0</v>
      </c>
      <c r="AI6" s="36">
        <v>6.0</v>
      </c>
      <c r="AK6" s="24">
        <v>21.02</v>
      </c>
      <c r="AL6" s="28">
        <v>0.2</v>
      </c>
      <c r="AR6" s="36">
        <v>8.0</v>
      </c>
      <c r="AS6" s="24">
        <v>8.75</v>
      </c>
      <c r="AT6" s="28">
        <f t="shared" si="4"/>
        <v>16.75</v>
      </c>
      <c r="AU6" s="21">
        <f t="shared" ref="AU6:AV6" si="13">SUM(AR6)</f>
        <v>8</v>
      </c>
      <c r="AV6">
        <f t="shared" si="13"/>
        <v>8.75</v>
      </c>
      <c r="AW6">
        <f t="shared" si="6"/>
        <v>9</v>
      </c>
      <c r="AX6">
        <f t="shared" si="7"/>
        <v>9</v>
      </c>
      <c r="AY6">
        <f t="shared" si="8"/>
        <v>8</v>
      </c>
      <c r="AZ6">
        <f t="shared" si="9"/>
        <v>6</v>
      </c>
      <c r="BA6">
        <f t="shared" ref="BA6:BF6" si="14">SUM(AL6)</f>
        <v>0.2</v>
      </c>
      <c r="BB6">
        <f t="shared" si="14"/>
        <v>0</v>
      </c>
      <c r="BC6">
        <f t="shared" si="14"/>
        <v>0</v>
      </c>
      <c r="BD6">
        <f t="shared" si="14"/>
        <v>0</v>
      </c>
      <c r="BE6">
        <f t="shared" si="14"/>
        <v>0</v>
      </c>
      <c r="BF6">
        <f t="shared" si="14"/>
        <v>0</v>
      </c>
      <c r="BG6">
        <f t="shared" si="11"/>
        <v>16.75</v>
      </c>
      <c r="BH6" s="4"/>
      <c r="BI6" s="50">
        <f t="shared" si="12"/>
        <v>65.7</v>
      </c>
      <c r="BJ6" s="32">
        <v>2.0</v>
      </c>
    </row>
    <row r="7">
      <c r="A7" s="43">
        <v>465439.0</v>
      </c>
      <c r="B7" s="44" t="s">
        <v>371</v>
      </c>
      <c r="C7" s="24"/>
      <c r="D7" s="27" t="s">
        <v>84</v>
      </c>
      <c r="E7" s="27" t="s">
        <v>57</v>
      </c>
      <c r="F7" s="27" t="s">
        <v>91</v>
      </c>
      <c r="G7" s="27" t="s">
        <v>57</v>
      </c>
      <c r="H7" s="27" t="s">
        <v>91</v>
      </c>
      <c r="I7" s="27" t="s">
        <v>57</v>
      </c>
      <c r="J7" s="27" t="s">
        <v>91</v>
      </c>
      <c r="K7" s="27" t="s">
        <v>91</v>
      </c>
      <c r="L7" s="27" t="s">
        <v>57</v>
      </c>
      <c r="M7" s="27" t="s">
        <v>91</v>
      </c>
      <c r="N7" s="27" t="s">
        <v>57</v>
      </c>
      <c r="O7" s="27" t="s">
        <v>57</v>
      </c>
      <c r="P7" s="27" t="s">
        <v>57</v>
      </c>
      <c r="Q7" s="27"/>
      <c r="R7" s="27"/>
      <c r="S7" s="27"/>
      <c r="T7" s="27"/>
      <c r="U7" s="27"/>
      <c r="V7" s="43">
        <v>465439.0</v>
      </c>
      <c r="W7" s="36">
        <v>8.0</v>
      </c>
      <c r="X7" s="36">
        <v>2.0</v>
      </c>
      <c r="Y7" s="24">
        <v>3.1</v>
      </c>
      <c r="Z7" s="28">
        <v>8866.0</v>
      </c>
      <c r="AA7" s="36">
        <v>8.0</v>
      </c>
      <c r="AB7" s="36">
        <v>1.0</v>
      </c>
      <c r="AC7" s="24">
        <v>7.11</v>
      </c>
      <c r="AD7" s="28">
        <v>5467.0</v>
      </c>
      <c r="AE7" s="36">
        <v>7.5</v>
      </c>
      <c r="AG7" s="24"/>
      <c r="AH7" s="28">
        <v>78493.0</v>
      </c>
      <c r="AI7" s="36">
        <v>6.5</v>
      </c>
      <c r="AK7" s="24">
        <v>26.12</v>
      </c>
      <c r="AL7" s="28">
        <v>0.01</v>
      </c>
      <c r="AR7" s="36">
        <v>6.0</v>
      </c>
      <c r="AS7" s="24">
        <v>6.0</v>
      </c>
      <c r="AT7" s="28">
        <f t="shared" si="4"/>
        <v>12</v>
      </c>
      <c r="AU7" s="21">
        <f t="shared" ref="AU7:AV7" si="15">SUM(AR7)</f>
        <v>6</v>
      </c>
      <c r="AV7">
        <f t="shared" si="15"/>
        <v>6</v>
      </c>
      <c r="AW7">
        <f t="shared" si="6"/>
        <v>10</v>
      </c>
      <c r="AX7">
        <f t="shared" si="7"/>
        <v>9</v>
      </c>
      <c r="AY7">
        <f t="shared" si="8"/>
        <v>7.5</v>
      </c>
      <c r="AZ7">
        <f t="shared" si="9"/>
        <v>6.5</v>
      </c>
      <c r="BA7">
        <f t="shared" ref="BA7:BF7" si="16">SUM(AL7)</f>
        <v>0.01</v>
      </c>
      <c r="BB7">
        <f t="shared" si="16"/>
        <v>0</v>
      </c>
      <c r="BC7">
        <f t="shared" si="16"/>
        <v>0</v>
      </c>
      <c r="BD7">
        <f t="shared" si="16"/>
        <v>0</v>
      </c>
      <c r="BE7">
        <f t="shared" si="16"/>
        <v>0</v>
      </c>
      <c r="BF7">
        <f t="shared" si="16"/>
        <v>0</v>
      </c>
      <c r="BG7">
        <f t="shared" si="11"/>
        <v>12</v>
      </c>
      <c r="BH7" s="24">
        <v>3.0</v>
      </c>
      <c r="BI7" s="50">
        <f t="shared" si="12"/>
        <v>60.01</v>
      </c>
      <c r="BJ7" s="32">
        <v>1.0</v>
      </c>
    </row>
    <row r="8">
      <c r="A8" s="49">
        <v>470075.0</v>
      </c>
      <c r="B8" s="44" t="s">
        <v>372</v>
      </c>
      <c r="C8" s="24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43"/>
      <c r="W8" s="36"/>
      <c r="X8" s="36"/>
      <c r="Y8" s="24"/>
      <c r="Z8" s="28"/>
      <c r="AA8" s="36"/>
      <c r="AB8" s="36"/>
      <c r="AC8" s="24"/>
      <c r="AD8" s="28"/>
      <c r="AE8" s="36"/>
      <c r="AG8" s="24"/>
      <c r="AH8" s="28"/>
      <c r="AK8" s="24"/>
      <c r="AL8" s="28"/>
      <c r="AR8" s="36">
        <v>0.01</v>
      </c>
      <c r="AS8" s="24">
        <v>6.0</v>
      </c>
      <c r="AT8" s="28"/>
      <c r="AU8" s="21">
        <f t="shared" ref="AU8:AV8" si="17">SUM(AR8)</f>
        <v>0.01</v>
      </c>
      <c r="AV8">
        <f t="shared" si="17"/>
        <v>6</v>
      </c>
      <c r="AW8">
        <f t="shared" si="6"/>
        <v>0</v>
      </c>
      <c r="AX8">
        <f t="shared" si="7"/>
        <v>0</v>
      </c>
      <c r="AY8">
        <f t="shared" si="8"/>
        <v>0</v>
      </c>
      <c r="AZ8">
        <f t="shared" si="9"/>
        <v>0</v>
      </c>
      <c r="BA8">
        <f t="shared" ref="BA8:BF8" si="18">SUM(AL8)</f>
        <v>0</v>
      </c>
      <c r="BB8">
        <f t="shared" si="18"/>
        <v>0</v>
      </c>
      <c r="BC8">
        <f t="shared" si="18"/>
        <v>0</v>
      </c>
      <c r="BD8">
        <f t="shared" si="18"/>
        <v>0</v>
      </c>
      <c r="BE8">
        <f t="shared" si="18"/>
        <v>0</v>
      </c>
      <c r="BF8">
        <f t="shared" si="18"/>
        <v>0</v>
      </c>
      <c r="BG8">
        <f t="shared" si="11"/>
        <v>0</v>
      </c>
      <c r="BH8" s="4"/>
      <c r="BI8" s="50">
        <f t="shared" si="12"/>
        <v>6.01</v>
      </c>
      <c r="BJ8" s="32"/>
    </row>
    <row r="9">
      <c r="A9" s="43">
        <v>474281.0</v>
      </c>
      <c r="B9" s="55" t="s">
        <v>373</v>
      </c>
      <c r="C9" s="24"/>
      <c r="D9" s="27" t="s">
        <v>84</v>
      </c>
      <c r="E9" s="27" t="s">
        <v>91</v>
      </c>
      <c r="F9" s="27" t="s">
        <v>91</v>
      </c>
      <c r="G9" s="27" t="s">
        <v>91</v>
      </c>
      <c r="H9" s="27" t="s">
        <v>57</v>
      </c>
      <c r="I9" s="27" t="s">
        <v>84</v>
      </c>
      <c r="J9" s="27" t="s">
        <v>61</v>
      </c>
      <c r="K9" s="27" t="s">
        <v>91</v>
      </c>
      <c r="L9" s="27" t="s">
        <v>91</v>
      </c>
      <c r="M9" s="27" t="s">
        <v>57</v>
      </c>
      <c r="N9" s="27"/>
      <c r="O9" s="27"/>
      <c r="P9" s="27"/>
      <c r="Q9" s="27"/>
      <c r="R9" s="27"/>
      <c r="S9" s="27"/>
      <c r="T9" s="27"/>
      <c r="U9" s="27"/>
      <c r="V9" s="43">
        <v>474281.0</v>
      </c>
      <c r="W9" s="36">
        <v>9.0</v>
      </c>
      <c r="X9" s="36">
        <v>2.0</v>
      </c>
      <c r="Y9" s="24">
        <v>24.1</v>
      </c>
      <c r="Z9" s="28">
        <v>8933.0</v>
      </c>
      <c r="AA9" s="36">
        <v>7.5</v>
      </c>
      <c r="AB9" s="36">
        <v>1.0</v>
      </c>
      <c r="AC9" s="24">
        <v>14.11</v>
      </c>
      <c r="AD9" s="28">
        <v>9383.0</v>
      </c>
      <c r="AE9" s="36">
        <v>7.5</v>
      </c>
      <c r="AG9" s="24">
        <v>14.12</v>
      </c>
      <c r="AH9" s="28">
        <v>9374.0</v>
      </c>
      <c r="AI9" s="36">
        <v>7.5</v>
      </c>
      <c r="AJ9" s="36">
        <v>1.0</v>
      </c>
      <c r="AK9" s="24">
        <v>26.12</v>
      </c>
      <c r="AL9" s="28">
        <v>0.1</v>
      </c>
      <c r="AR9" s="36">
        <v>8.0</v>
      </c>
      <c r="AS9" s="24">
        <v>8.38</v>
      </c>
      <c r="AT9" s="28">
        <f>SUM(AR9:AS9)</f>
        <v>16.38</v>
      </c>
      <c r="AU9" s="21">
        <f t="shared" ref="AU9:AV9" si="19">SUM(AR9)</f>
        <v>8</v>
      </c>
      <c r="AV9">
        <f t="shared" si="19"/>
        <v>8.38</v>
      </c>
      <c r="AW9">
        <f t="shared" si="6"/>
        <v>11</v>
      </c>
      <c r="AX9">
        <f t="shared" si="7"/>
        <v>8.5</v>
      </c>
      <c r="AY9">
        <f t="shared" si="8"/>
        <v>7.5</v>
      </c>
      <c r="AZ9">
        <f t="shared" si="9"/>
        <v>8.5</v>
      </c>
      <c r="BA9">
        <f t="shared" ref="BA9:BF9" si="20">SUM(AL9)</f>
        <v>0.1</v>
      </c>
      <c r="BB9">
        <f t="shared" si="20"/>
        <v>0</v>
      </c>
      <c r="BC9">
        <f t="shared" si="20"/>
        <v>0</v>
      </c>
      <c r="BD9">
        <f t="shared" si="20"/>
        <v>0</v>
      </c>
      <c r="BE9">
        <f t="shared" si="20"/>
        <v>0</v>
      </c>
      <c r="BF9">
        <f t="shared" si="20"/>
        <v>0</v>
      </c>
      <c r="BG9">
        <f t="shared" si="11"/>
        <v>16.38</v>
      </c>
      <c r="BH9" s="4"/>
      <c r="BI9" s="50">
        <f t="shared" si="12"/>
        <v>68.36</v>
      </c>
      <c r="BJ9" s="32">
        <v>1.0</v>
      </c>
    </row>
    <row r="10">
      <c r="A10" s="43">
        <v>408809.0</v>
      </c>
      <c r="B10" s="55" t="s">
        <v>374</v>
      </c>
      <c r="C10" s="4"/>
      <c r="D10" s="27" t="s">
        <v>84</v>
      </c>
      <c r="E10" s="27" t="s">
        <v>91</v>
      </c>
      <c r="F10" s="27" t="s">
        <v>91</v>
      </c>
      <c r="G10" s="27" t="s">
        <v>91</v>
      </c>
      <c r="H10" s="27" t="s">
        <v>91</v>
      </c>
      <c r="I10" s="27" t="s">
        <v>91</v>
      </c>
      <c r="J10" s="27" t="s">
        <v>91</v>
      </c>
      <c r="K10" s="27" t="s">
        <v>91</v>
      </c>
      <c r="L10" s="27" t="s">
        <v>57</v>
      </c>
      <c r="M10" s="27" t="s">
        <v>84</v>
      </c>
      <c r="N10" s="27" t="s">
        <v>57</v>
      </c>
      <c r="O10" s="27" t="s">
        <v>57</v>
      </c>
      <c r="P10" s="27"/>
      <c r="Q10" s="27"/>
      <c r="R10" s="27"/>
      <c r="S10" s="27"/>
      <c r="T10" s="27"/>
      <c r="U10" s="27"/>
      <c r="V10" s="43">
        <v>408809.0</v>
      </c>
      <c r="W10" s="61">
        <v>6.5</v>
      </c>
      <c r="X10" s="58"/>
      <c r="Y10" s="109">
        <v>21.11</v>
      </c>
      <c r="Z10" s="62">
        <v>4945.0</v>
      </c>
      <c r="AA10" s="61">
        <v>7.0</v>
      </c>
      <c r="AB10" s="61">
        <v>1.0</v>
      </c>
      <c r="AC10" s="109">
        <v>14.12</v>
      </c>
      <c r="AD10" s="62">
        <v>6543.0</v>
      </c>
      <c r="AE10" s="36">
        <v>6.0</v>
      </c>
      <c r="AG10" s="24">
        <v>30.12</v>
      </c>
      <c r="AH10" s="28">
        <v>546.0</v>
      </c>
      <c r="AI10" s="36">
        <v>6.0</v>
      </c>
      <c r="AK10" s="24">
        <v>21.02</v>
      </c>
      <c r="AL10" s="21"/>
      <c r="AR10" s="36">
        <v>6.0</v>
      </c>
      <c r="AS10" s="24">
        <v>6.0</v>
      </c>
      <c r="AT10" s="28">
        <f>SUM(AR10:AS10)+7</f>
        <v>19</v>
      </c>
      <c r="AU10" s="21">
        <f t="shared" ref="AU10:AV10" si="21">SUM(AR10)</f>
        <v>6</v>
      </c>
      <c r="AV10">
        <f t="shared" si="21"/>
        <v>6</v>
      </c>
      <c r="AW10">
        <f t="shared" si="6"/>
        <v>6.5</v>
      </c>
      <c r="AX10">
        <f t="shared" si="7"/>
        <v>8</v>
      </c>
      <c r="AY10">
        <f t="shared" si="8"/>
        <v>6</v>
      </c>
      <c r="AZ10">
        <f t="shared" si="9"/>
        <v>6</v>
      </c>
      <c r="BA10">
        <f t="shared" ref="BA10:BF10" si="22">SUM(AL10)</f>
        <v>0</v>
      </c>
      <c r="BB10">
        <f t="shared" si="22"/>
        <v>0</v>
      </c>
      <c r="BC10">
        <f t="shared" si="22"/>
        <v>0</v>
      </c>
      <c r="BD10">
        <f t="shared" si="22"/>
        <v>0</v>
      </c>
      <c r="BE10">
        <f t="shared" si="22"/>
        <v>0</v>
      </c>
      <c r="BF10">
        <f t="shared" si="22"/>
        <v>0</v>
      </c>
      <c r="BG10">
        <f t="shared" si="11"/>
        <v>19</v>
      </c>
      <c r="BH10" s="24">
        <v>3.0</v>
      </c>
      <c r="BI10" s="50">
        <f t="shared" si="12"/>
        <v>60.5</v>
      </c>
      <c r="BJ10" s="32">
        <v>2.0</v>
      </c>
    </row>
    <row r="11">
      <c r="A11" s="43">
        <v>466300.0</v>
      </c>
      <c r="B11" s="55" t="s">
        <v>375</v>
      </c>
      <c r="C11" s="24"/>
      <c r="D11" s="27" t="s">
        <v>84</v>
      </c>
      <c r="E11" s="27" t="s">
        <v>84</v>
      </c>
      <c r="F11" s="27" t="s">
        <v>91</v>
      </c>
      <c r="G11" s="27" t="s">
        <v>91</v>
      </c>
      <c r="H11" s="27" t="s">
        <v>91</v>
      </c>
      <c r="I11" s="27" t="s">
        <v>57</v>
      </c>
      <c r="J11" s="27" t="s">
        <v>91</v>
      </c>
      <c r="K11" s="27" t="s">
        <v>91</v>
      </c>
      <c r="L11" s="27" t="s">
        <v>57</v>
      </c>
      <c r="M11" s="27"/>
      <c r="N11" s="27"/>
      <c r="O11" s="27" t="s">
        <v>57</v>
      </c>
      <c r="P11" s="27"/>
      <c r="Q11" s="27"/>
      <c r="R11" s="27"/>
      <c r="S11" s="27"/>
      <c r="T11" s="27"/>
      <c r="U11" s="27"/>
      <c r="V11" s="43">
        <v>466300.0</v>
      </c>
      <c r="W11" s="36">
        <v>7.0</v>
      </c>
      <c r="X11" s="36">
        <v>1.0</v>
      </c>
      <c r="Y11" s="24">
        <v>7.11</v>
      </c>
      <c r="Z11" s="28">
        <v>38344.0</v>
      </c>
      <c r="AA11" s="36">
        <v>7.0</v>
      </c>
      <c r="AB11" s="36">
        <v>1.0</v>
      </c>
      <c r="AC11" s="24">
        <v>24.11</v>
      </c>
      <c r="AD11" s="28">
        <v>59595.0</v>
      </c>
      <c r="AE11" s="36">
        <v>7.5</v>
      </c>
      <c r="AG11" s="24">
        <v>14.12</v>
      </c>
      <c r="AH11" s="28">
        <v>8463.0</v>
      </c>
      <c r="AI11" s="36">
        <v>6.0</v>
      </c>
      <c r="AK11" s="24">
        <v>21.02</v>
      </c>
      <c r="AL11" s="28">
        <v>1.1</v>
      </c>
      <c r="AM11" s="36">
        <v>0.6</v>
      </c>
      <c r="AP11" s="36">
        <v>2.0</v>
      </c>
      <c r="AQ11" s="36">
        <v>0.01</v>
      </c>
      <c r="AR11" s="36">
        <v>6.0</v>
      </c>
      <c r="AS11" s="24">
        <v>7.5</v>
      </c>
      <c r="AT11" s="28">
        <f t="shared" ref="AT11:AT13" si="25">SUM(AR11:AS11)</f>
        <v>13.5</v>
      </c>
      <c r="AU11" s="21">
        <f t="shared" ref="AU11:AV11" si="23">SUM(AR11)</f>
        <v>6</v>
      </c>
      <c r="AV11">
        <f t="shared" si="23"/>
        <v>7.5</v>
      </c>
      <c r="AW11">
        <f t="shared" si="6"/>
        <v>8</v>
      </c>
      <c r="AX11">
        <f t="shared" si="7"/>
        <v>8</v>
      </c>
      <c r="AY11">
        <f t="shared" si="8"/>
        <v>7.5</v>
      </c>
      <c r="AZ11">
        <f t="shared" si="9"/>
        <v>6</v>
      </c>
      <c r="BA11">
        <f t="shared" ref="BA11:BF11" si="24">SUM(AL11)</f>
        <v>1.1</v>
      </c>
      <c r="BB11">
        <f t="shared" si="24"/>
        <v>0.6</v>
      </c>
      <c r="BC11">
        <f t="shared" si="24"/>
        <v>0</v>
      </c>
      <c r="BD11">
        <f t="shared" si="24"/>
        <v>0</v>
      </c>
      <c r="BE11">
        <f t="shared" si="24"/>
        <v>2</v>
      </c>
      <c r="BF11">
        <f t="shared" si="24"/>
        <v>0.01</v>
      </c>
      <c r="BG11">
        <f t="shared" si="11"/>
        <v>13.5</v>
      </c>
      <c r="BH11" s="4"/>
      <c r="BI11" s="50">
        <f t="shared" si="12"/>
        <v>60.21</v>
      </c>
      <c r="BJ11" s="32">
        <v>2.0</v>
      </c>
    </row>
    <row r="12">
      <c r="A12" s="43">
        <v>434931.0</v>
      </c>
      <c r="B12" s="55" t="s">
        <v>376</v>
      </c>
      <c r="C12" s="24"/>
      <c r="D12" s="27" t="s">
        <v>84</v>
      </c>
      <c r="E12" s="27" t="s">
        <v>84</v>
      </c>
      <c r="F12" s="27" t="s">
        <v>84</v>
      </c>
      <c r="G12" s="27" t="s">
        <v>84</v>
      </c>
      <c r="H12" s="27" t="s">
        <v>57</v>
      </c>
      <c r="I12" s="27" t="s">
        <v>57</v>
      </c>
      <c r="J12" s="27" t="s">
        <v>57</v>
      </c>
      <c r="K12" s="27" t="s">
        <v>91</v>
      </c>
      <c r="L12" s="27" t="s">
        <v>91</v>
      </c>
      <c r="M12" s="27" t="s">
        <v>57</v>
      </c>
      <c r="N12" s="27"/>
      <c r="O12" s="27"/>
      <c r="P12" s="27"/>
      <c r="Q12" s="27"/>
      <c r="R12" s="27"/>
      <c r="S12" s="27"/>
      <c r="T12" s="27"/>
      <c r="U12" s="27"/>
      <c r="V12" s="43">
        <v>434931.0</v>
      </c>
      <c r="W12" s="36">
        <v>9.0</v>
      </c>
      <c r="X12" s="36">
        <v>2.0</v>
      </c>
      <c r="Y12" s="24">
        <v>24.1</v>
      </c>
      <c r="Z12" s="28">
        <v>9474.0</v>
      </c>
      <c r="AA12" s="36">
        <v>8.0</v>
      </c>
      <c r="AB12" s="36">
        <v>1.0</v>
      </c>
      <c r="AC12" s="24">
        <v>14.11</v>
      </c>
      <c r="AD12" s="28">
        <v>8394.0</v>
      </c>
      <c r="AE12" s="36">
        <v>8.5</v>
      </c>
      <c r="AF12" s="36">
        <v>1.0</v>
      </c>
      <c r="AG12" s="24">
        <v>6.12</v>
      </c>
      <c r="AH12" s="28">
        <v>5758.0</v>
      </c>
      <c r="AI12" s="36">
        <v>9.0</v>
      </c>
      <c r="AJ12" s="36">
        <v>2.0</v>
      </c>
      <c r="AK12" s="24">
        <v>26.12</v>
      </c>
      <c r="AL12" s="28">
        <v>0.3</v>
      </c>
      <c r="AM12" s="36">
        <v>0.01</v>
      </c>
      <c r="AO12" s="36">
        <v>0.4</v>
      </c>
      <c r="AP12" s="36">
        <v>1.2</v>
      </c>
      <c r="AR12" s="36">
        <v>7.0</v>
      </c>
      <c r="AS12" s="24">
        <v>7.5</v>
      </c>
      <c r="AT12" s="28">
        <f t="shared" si="25"/>
        <v>14.5</v>
      </c>
      <c r="AU12" s="21">
        <f t="shared" ref="AU12:AV12" si="26">SUM(AR12)</f>
        <v>7</v>
      </c>
      <c r="AV12">
        <f t="shared" si="26"/>
        <v>7.5</v>
      </c>
      <c r="AW12">
        <f t="shared" si="6"/>
        <v>11</v>
      </c>
      <c r="AX12">
        <f t="shared" si="7"/>
        <v>9</v>
      </c>
      <c r="AY12">
        <f t="shared" si="8"/>
        <v>9.5</v>
      </c>
      <c r="AZ12">
        <f t="shared" si="9"/>
        <v>11</v>
      </c>
      <c r="BA12">
        <f t="shared" ref="BA12:BF12" si="27">SUM(AL12)</f>
        <v>0.3</v>
      </c>
      <c r="BB12">
        <f t="shared" si="27"/>
        <v>0.01</v>
      </c>
      <c r="BC12">
        <f t="shared" si="27"/>
        <v>0</v>
      </c>
      <c r="BD12">
        <f t="shared" si="27"/>
        <v>0.4</v>
      </c>
      <c r="BE12">
        <f t="shared" si="27"/>
        <v>1.2</v>
      </c>
      <c r="BF12">
        <f t="shared" si="27"/>
        <v>0</v>
      </c>
      <c r="BG12">
        <f t="shared" si="11"/>
        <v>14.5</v>
      </c>
      <c r="BH12" s="24">
        <v>3.0</v>
      </c>
      <c r="BI12" s="50">
        <f t="shared" si="12"/>
        <v>74.41</v>
      </c>
      <c r="BJ12" s="32">
        <v>1.0</v>
      </c>
    </row>
    <row r="13">
      <c r="A13" s="43">
        <v>466972.0</v>
      </c>
      <c r="B13" s="44" t="s">
        <v>377</v>
      </c>
      <c r="C13" s="24"/>
      <c r="D13" s="27" t="s">
        <v>84</v>
      </c>
      <c r="E13" s="27" t="s">
        <v>57</v>
      </c>
      <c r="F13" s="27" t="s">
        <v>57</v>
      </c>
      <c r="G13" s="27" t="s">
        <v>57</v>
      </c>
      <c r="H13" s="27" t="s">
        <v>91</v>
      </c>
      <c r="I13" s="27" t="s">
        <v>91</v>
      </c>
      <c r="J13" s="27" t="s">
        <v>91</v>
      </c>
      <c r="K13" s="27" t="s">
        <v>91</v>
      </c>
      <c r="L13" s="27" t="s">
        <v>57</v>
      </c>
      <c r="M13" s="27"/>
      <c r="N13" s="27"/>
      <c r="O13" s="27"/>
      <c r="P13" s="27"/>
      <c r="Q13" s="27"/>
      <c r="R13" s="27"/>
      <c r="S13" s="27"/>
      <c r="T13" s="27"/>
      <c r="U13" s="27"/>
      <c r="V13" s="49">
        <v>466972.0</v>
      </c>
      <c r="W13" s="36">
        <v>9.0</v>
      </c>
      <c r="X13" s="36">
        <v>2.0</v>
      </c>
      <c r="Y13" s="24">
        <v>10.01</v>
      </c>
      <c r="Z13" s="28">
        <v>7745.0</v>
      </c>
      <c r="AA13" s="36">
        <v>8.0</v>
      </c>
      <c r="AB13" s="36">
        <v>1.0</v>
      </c>
      <c r="AC13" s="24">
        <v>7.11</v>
      </c>
      <c r="AD13" s="28">
        <v>6386.0</v>
      </c>
      <c r="AE13" s="36">
        <v>6.0</v>
      </c>
      <c r="AF13" s="36">
        <v>1.0</v>
      </c>
      <c r="AG13" s="24">
        <v>14.12</v>
      </c>
      <c r="AH13" s="28">
        <v>5236.0</v>
      </c>
      <c r="AI13" s="36">
        <v>6.0</v>
      </c>
      <c r="AK13" s="24">
        <v>21.02</v>
      </c>
      <c r="AL13" s="28">
        <v>1.0</v>
      </c>
      <c r="AR13" s="36">
        <v>6.0</v>
      </c>
      <c r="AS13" s="24">
        <v>6.0</v>
      </c>
      <c r="AT13" s="28">
        <f t="shared" si="25"/>
        <v>12</v>
      </c>
      <c r="AU13" s="21">
        <f t="shared" ref="AU13:AV13" si="28">SUM(AR13)</f>
        <v>6</v>
      </c>
      <c r="AV13">
        <f t="shared" si="28"/>
        <v>6</v>
      </c>
      <c r="AW13">
        <f t="shared" si="6"/>
        <v>11</v>
      </c>
      <c r="AX13">
        <f t="shared" si="7"/>
        <v>9</v>
      </c>
      <c r="AY13">
        <f t="shared" si="8"/>
        <v>7</v>
      </c>
      <c r="AZ13">
        <f t="shared" si="9"/>
        <v>6</v>
      </c>
      <c r="BA13">
        <f t="shared" ref="BA13:BF13" si="29">SUM(AL13)</f>
        <v>1</v>
      </c>
      <c r="BB13">
        <f t="shared" si="29"/>
        <v>0</v>
      </c>
      <c r="BC13">
        <f t="shared" si="29"/>
        <v>0</v>
      </c>
      <c r="BD13">
        <f t="shared" si="29"/>
        <v>0</v>
      </c>
      <c r="BE13">
        <f t="shared" si="29"/>
        <v>0</v>
      </c>
      <c r="BF13">
        <f t="shared" si="29"/>
        <v>0</v>
      </c>
      <c r="BG13">
        <f t="shared" si="11"/>
        <v>12</v>
      </c>
      <c r="BH13" s="24">
        <v>2.0</v>
      </c>
      <c r="BI13" s="50">
        <f t="shared" si="12"/>
        <v>60</v>
      </c>
      <c r="BJ13" s="32">
        <v>2.0</v>
      </c>
    </row>
    <row r="14">
      <c r="A14" s="43">
        <v>467088.0</v>
      </c>
      <c r="B14" s="44" t="s">
        <v>378</v>
      </c>
      <c r="D14" s="27" t="s">
        <v>84</v>
      </c>
      <c r="E14" s="27" t="s">
        <v>91</v>
      </c>
      <c r="F14" s="27" t="s">
        <v>91</v>
      </c>
      <c r="G14" s="27" t="s">
        <v>57</v>
      </c>
      <c r="H14" s="27" t="s">
        <v>91</v>
      </c>
      <c r="I14" s="27" t="s">
        <v>57</v>
      </c>
      <c r="J14" s="27" t="s">
        <v>61</v>
      </c>
      <c r="K14" s="27" t="s">
        <v>91</v>
      </c>
      <c r="L14" s="27" t="s">
        <v>91</v>
      </c>
      <c r="M14" s="27"/>
      <c r="N14" s="27"/>
      <c r="O14" s="27"/>
      <c r="P14" s="27"/>
      <c r="Q14" s="27"/>
      <c r="R14" s="27"/>
      <c r="S14" s="27"/>
      <c r="T14" s="27"/>
      <c r="U14" s="27"/>
      <c r="V14" s="49">
        <v>467088.0</v>
      </c>
      <c r="W14" s="36">
        <v>7.0</v>
      </c>
      <c r="X14" s="36">
        <v>1.0</v>
      </c>
      <c r="Y14" s="36">
        <v>24.1</v>
      </c>
      <c r="Z14" s="28">
        <v>3423.0</v>
      </c>
      <c r="AA14" s="36">
        <v>7.0</v>
      </c>
      <c r="AC14" s="36">
        <v>21.11</v>
      </c>
      <c r="AD14" s="28">
        <v>48585.0</v>
      </c>
      <c r="AE14" s="36">
        <v>7.5</v>
      </c>
      <c r="AG14" s="36">
        <v>14.12</v>
      </c>
      <c r="AH14" s="28">
        <v>8747.0</v>
      </c>
      <c r="AI14" s="36">
        <v>6.0</v>
      </c>
      <c r="AK14" s="36">
        <v>21.02</v>
      </c>
      <c r="AL14" s="28">
        <v>0.5</v>
      </c>
      <c r="AO14" s="36">
        <v>0.9</v>
      </c>
      <c r="AP14" s="36">
        <v>1.2</v>
      </c>
      <c r="AR14" s="36">
        <v>6.0</v>
      </c>
      <c r="AS14" s="36">
        <v>6.0</v>
      </c>
      <c r="AT14" s="28">
        <f>SUM(AR14:AS14)+2</f>
        <v>14</v>
      </c>
      <c r="AU14" s="21">
        <f t="shared" ref="AU14:AV14" si="30">SUM(AR14)</f>
        <v>6</v>
      </c>
      <c r="AV14">
        <f t="shared" si="30"/>
        <v>6</v>
      </c>
      <c r="AW14">
        <f t="shared" si="6"/>
        <v>8</v>
      </c>
      <c r="AX14">
        <f t="shared" si="7"/>
        <v>7</v>
      </c>
      <c r="AY14">
        <f t="shared" si="8"/>
        <v>7.5</v>
      </c>
      <c r="AZ14">
        <f t="shared" si="9"/>
        <v>6</v>
      </c>
      <c r="BA14">
        <f t="shared" ref="BA14:BF14" si="31">SUM(AL14)</f>
        <v>0.5</v>
      </c>
      <c r="BB14">
        <f t="shared" si="31"/>
        <v>0</v>
      </c>
      <c r="BC14">
        <f t="shared" si="31"/>
        <v>0</v>
      </c>
      <c r="BD14">
        <f t="shared" si="31"/>
        <v>0.9</v>
      </c>
      <c r="BE14">
        <f t="shared" si="31"/>
        <v>1.2</v>
      </c>
      <c r="BF14">
        <f t="shared" si="31"/>
        <v>0</v>
      </c>
      <c r="BG14">
        <f t="shared" si="11"/>
        <v>14</v>
      </c>
      <c r="BH14" s="227">
        <v>3.0</v>
      </c>
      <c r="BI14" s="50">
        <f t="shared" si="12"/>
        <v>60.1</v>
      </c>
      <c r="BJ14" s="228">
        <v>2.0</v>
      </c>
    </row>
    <row r="15">
      <c r="A15" s="43">
        <v>467464.0</v>
      </c>
      <c r="B15" s="44" t="s">
        <v>379</v>
      </c>
      <c r="D15" s="27" t="s">
        <v>84</v>
      </c>
      <c r="E15" s="27" t="s">
        <v>84</v>
      </c>
      <c r="F15" s="27" t="s">
        <v>91</v>
      </c>
      <c r="G15" s="27" t="s">
        <v>57</v>
      </c>
      <c r="H15" s="27" t="s">
        <v>57</v>
      </c>
      <c r="I15" s="27" t="s">
        <v>57</v>
      </c>
      <c r="J15" s="27" t="s">
        <v>57</v>
      </c>
      <c r="K15" s="27" t="s">
        <v>91</v>
      </c>
      <c r="L15" s="27" t="s">
        <v>57</v>
      </c>
      <c r="M15" s="27" t="s">
        <v>57</v>
      </c>
      <c r="N15" s="27" t="s">
        <v>57</v>
      </c>
      <c r="O15" s="27" t="s">
        <v>57</v>
      </c>
      <c r="P15" s="27"/>
      <c r="Q15" s="27" t="s">
        <v>57</v>
      </c>
      <c r="R15" s="27"/>
      <c r="S15" s="27"/>
      <c r="T15" s="27"/>
      <c r="U15" s="27"/>
      <c r="V15" s="49">
        <v>467464.0</v>
      </c>
      <c r="W15" s="36">
        <v>9.0</v>
      </c>
      <c r="X15" s="36">
        <v>2.0</v>
      </c>
      <c r="Y15" s="36">
        <v>10.1</v>
      </c>
      <c r="Z15" s="28">
        <v>9977.0</v>
      </c>
      <c r="AA15" s="36">
        <v>8.0</v>
      </c>
      <c r="AB15" s="36">
        <v>1.0</v>
      </c>
      <c r="AC15" s="36">
        <v>7.11</v>
      </c>
      <c r="AD15" s="28">
        <v>7855.0</v>
      </c>
      <c r="AE15" s="36">
        <v>8.5</v>
      </c>
      <c r="AF15" s="36">
        <v>2.0</v>
      </c>
      <c r="AG15" s="36">
        <v>26.11</v>
      </c>
      <c r="AH15" s="28"/>
      <c r="AI15" s="36">
        <v>9.0</v>
      </c>
      <c r="AJ15" s="36">
        <v>1.0</v>
      </c>
      <c r="AK15" s="36">
        <v>26.12</v>
      </c>
      <c r="AL15" s="28">
        <v>0.01</v>
      </c>
      <c r="AR15" s="36">
        <v>10.0</v>
      </c>
      <c r="AS15" s="36">
        <v>9.0</v>
      </c>
      <c r="AT15" s="28">
        <f t="shared" ref="AT15:AT18" si="34">SUM(AR15:AS15)</f>
        <v>19</v>
      </c>
      <c r="AU15" s="21">
        <f t="shared" ref="AU15:AV15" si="32">SUM(AR15)</f>
        <v>10</v>
      </c>
      <c r="AV15">
        <f t="shared" si="32"/>
        <v>9</v>
      </c>
      <c r="AW15">
        <f t="shared" si="6"/>
        <v>11</v>
      </c>
      <c r="AX15">
        <f t="shared" si="7"/>
        <v>9</v>
      </c>
      <c r="AY15">
        <f t="shared" si="8"/>
        <v>10.5</v>
      </c>
      <c r="AZ15">
        <f t="shared" si="9"/>
        <v>10</v>
      </c>
      <c r="BA15">
        <f t="shared" ref="BA15:BF15" si="33">SUM(AL15)</f>
        <v>0.01</v>
      </c>
      <c r="BB15">
        <f t="shared" si="33"/>
        <v>0</v>
      </c>
      <c r="BC15">
        <f t="shared" si="33"/>
        <v>0</v>
      </c>
      <c r="BD15">
        <f t="shared" si="33"/>
        <v>0</v>
      </c>
      <c r="BE15">
        <f t="shared" si="33"/>
        <v>0</v>
      </c>
      <c r="BF15">
        <f t="shared" si="33"/>
        <v>0</v>
      </c>
      <c r="BG15">
        <f t="shared" si="11"/>
        <v>19</v>
      </c>
      <c r="BH15" s="4"/>
      <c r="BI15" s="50">
        <f t="shared" si="12"/>
        <v>78.51</v>
      </c>
      <c r="BJ15" s="32">
        <v>1.0</v>
      </c>
    </row>
    <row r="16">
      <c r="A16" s="43">
        <v>467509.0</v>
      </c>
      <c r="B16" s="55" t="s">
        <v>380</v>
      </c>
      <c r="D16" s="27" t="s">
        <v>84</v>
      </c>
      <c r="E16" s="27" t="s">
        <v>91</v>
      </c>
      <c r="F16" s="27" t="s">
        <v>91</v>
      </c>
      <c r="G16" s="27" t="s">
        <v>57</v>
      </c>
      <c r="H16" s="27" t="s">
        <v>57</v>
      </c>
      <c r="I16" s="27" t="s">
        <v>91</v>
      </c>
      <c r="J16" s="27" t="s">
        <v>57</v>
      </c>
      <c r="K16" s="27" t="s">
        <v>91</v>
      </c>
      <c r="L16" s="27" t="s">
        <v>91</v>
      </c>
      <c r="M16" s="27"/>
      <c r="N16" s="27"/>
      <c r="O16" s="27"/>
      <c r="P16" s="27"/>
      <c r="Q16" s="27"/>
      <c r="R16" s="27"/>
      <c r="S16" s="27"/>
      <c r="T16" s="27"/>
      <c r="U16" s="27"/>
      <c r="V16" s="43">
        <v>467509.0</v>
      </c>
      <c r="W16" s="36">
        <v>8.0</v>
      </c>
      <c r="X16" s="36">
        <v>1.0</v>
      </c>
      <c r="Y16" s="36">
        <v>10.01</v>
      </c>
      <c r="Z16" s="28">
        <v>6283.0</v>
      </c>
      <c r="AA16" s="36">
        <v>8.5</v>
      </c>
      <c r="AB16" s="36">
        <v>2.0</v>
      </c>
      <c r="AC16" s="36">
        <v>14.11</v>
      </c>
      <c r="AD16" s="28">
        <v>9494.0</v>
      </c>
      <c r="AE16" s="36">
        <v>8.0</v>
      </c>
      <c r="AF16" s="36">
        <v>1.0</v>
      </c>
      <c r="AG16" s="36">
        <v>14.12</v>
      </c>
      <c r="AH16" s="28">
        <v>7654.0</v>
      </c>
      <c r="AI16" s="36">
        <v>6.0</v>
      </c>
      <c r="AK16" s="85"/>
      <c r="AL16" s="28">
        <v>1.0</v>
      </c>
      <c r="AR16" s="36">
        <v>7.0</v>
      </c>
      <c r="AS16" s="36">
        <v>7.0</v>
      </c>
      <c r="AT16" s="28">
        <f t="shared" si="34"/>
        <v>14</v>
      </c>
      <c r="AU16" s="21">
        <f t="shared" ref="AU16:AV16" si="35">SUM(AR16)</f>
        <v>7</v>
      </c>
      <c r="AV16">
        <f t="shared" si="35"/>
        <v>7</v>
      </c>
      <c r="AW16">
        <f t="shared" si="6"/>
        <v>9</v>
      </c>
      <c r="AX16">
        <f t="shared" si="7"/>
        <v>10.5</v>
      </c>
      <c r="AY16">
        <f t="shared" si="8"/>
        <v>9</v>
      </c>
      <c r="AZ16">
        <f t="shared" si="9"/>
        <v>6</v>
      </c>
      <c r="BA16">
        <f t="shared" ref="BA16:BF16" si="36">SUM(AL16)</f>
        <v>1</v>
      </c>
      <c r="BB16">
        <f t="shared" si="36"/>
        <v>0</v>
      </c>
      <c r="BC16">
        <f t="shared" si="36"/>
        <v>0</v>
      </c>
      <c r="BD16">
        <f t="shared" si="36"/>
        <v>0</v>
      </c>
      <c r="BE16">
        <f t="shared" si="36"/>
        <v>0</v>
      </c>
      <c r="BF16">
        <f t="shared" si="36"/>
        <v>0</v>
      </c>
      <c r="BG16">
        <f t="shared" si="11"/>
        <v>14</v>
      </c>
      <c r="BH16" s="229"/>
      <c r="BI16" s="50">
        <f t="shared" si="12"/>
        <v>63.5</v>
      </c>
      <c r="BJ16" s="230">
        <v>2.0</v>
      </c>
    </row>
    <row r="17">
      <c r="A17" s="36">
        <v>489547.0</v>
      </c>
      <c r="B17" s="36" t="s">
        <v>381</v>
      </c>
      <c r="D17" s="27" t="s">
        <v>91</v>
      </c>
      <c r="E17" s="27" t="s">
        <v>91</v>
      </c>
      <c r="F17" s="27" t="s">
        <v>91</v>
      </c>
      <c r="G17" s="27" t="s">
        <v>91</v>
      </c>
      <c r="H17" s="27" t="s">
        <v>57</v>
      </c>
      <c r="I17" s="27" t="s">
        <v>57</v>
      </c>
      <c r="J17" s="27" t="s">
        <v>91</v>
      </c>
      <c r="K17" s="27" t="s">
        <v>57</v>
      </c>
      <c r="L17" s="27" t="s">
        <v>57</v>
      </c>
      <c r="N17" s="27" t="s">
        <v>57</v>
      </c>
      <c r="O17" s="27" t="s">
        <v>57</v>
      </c>
      <c r="P17" s="27"/>
      <c r="Q17" s="27" t="s">
        <v>57</v>
      </c>
      <c r="R17" s="27"/>
      <c r="S17" s="27"/>
      <c r="T17" s="27"/>
      <c r="U17" s="27"/>
      <c r="V17" s="36">
        <v>489547.0</v>
      </c>
      <c r="W17" s="36">
        <v>7.0</v>
      </c>
      <c r="X17" s="36"/>
      <c r="Y17" s="36">
        <v>17.1</v>
      </c>
      <c r="Z17" s="36">
        <v>9943.0</v>
      </c>
      <c r="AA17" s="36">
        <v>8.0</v>
      </c>
      <c r="AB17" s="36">
        <v>1.0</v>
      </c>
      <c r="AC17" s="36">
        <v>7.11</v>
      </c>
      <c r="AD17" s="36">
        <v>3374.0</v>
      </c>
      <c r="AE17" s="36">
        <v>7.5</v>
      </c>
      <c r="AF17" s="36">
        <v>1.0</v>
      </c>
      <c r="AG17" s="36">
        <v>6.12</v>
      </c>
      <c r="AH17" s="36">
        <v>67578.0</v>
      </c>
      <c r="AI17" s="36">
        <v>6.5</v>
      </c>
      <c r="AJ17" s="36"/>
      <c r="AK17" s="36">
        <v>26.12</v>
      </c>
      <c r="AL17" s="36"/>
      <c r="AM17" s="36">
        <v>0.3</v>
      </c>
      <c r="AO17" s="36">
        <v>0.01</v>
      </c>
      <c r="AP17" s="36">
        <v>0.01</v>
      </c>
      <c r="AR17" s="36">
        <v>8.0</v>
      </c>
      <c r="AS17" s="36">
        <v>8.63</v>
      </c>
      <c r="AT17" s="28">
        <f t="shared" si="34"/>
        <v>16.63</v>
      </c>
      <c r="AU17" s="21">
        <f t="shared" ref="AU17:AV17" si="37">SUM(AR17)</f>
        <v>8</v>
      </c>
      <c r="AV17">
        <f t="shared" si="37"/>
        <v>8.63</v>
      </c>
      <c r="AW17">
        <f t="shared" si="6"/>
        <v>7</v>
      </c>
      <c r="AX17">
        <f t="shared" si="7"/>
        <v>9</v>
      </c>
      <c r="AY17">
        <f t="shared" si="8"/>
        <v>8.5</v>
      </c>
      <c r="AZ17">
        <f t="shared" si="9"/>
        <v>6.5</v>
      </c>
      <c r="BA17">
        <f t="shared" ref="BA17:BF17" si="38">SUM(AL17)</f>
        <v>0</v>
      </c>
      <c r="BB17">
        <f t="shared" si="38"/>
        <v>0.3</v>
      </c>
      <c r="BC17">
        <f t="shared" si="38"/>
        <v>0</v>
      </c>
      <c r="BD17">
        <f t="shared" si="38"/>
        <v>0.01</v>
      </c>
      <c r="BE17">
        <f t="shared" si="38"/>
        <v>0.01</v>
      </c>
      <c r="BF17">
        <f t="shared" si="38"/>
        <v>0</v>
      </c>
      <c r="BG17">
        <f t="shared" si="11"/>
        <v>16.63</v>
      </c>
      <c r="BH17" s="4"/>
      <c r="BI17" s="50">
        <f t="shared" si="12"/>
        <v>64.58</v>
      </c>
      <c r="BJ17" s="32">
        <v>1.0</v>
      </c>
    </row>
    <row r="18">
      <c r="A18" s="43">
        <v>467667.0</v>
      </c>
      <c r="B18" s="44" t="s">
        <v>382</v>
      </c>
      <c r="C18" s="24"/>
      <c r="D18" s="27" t="s">
        <v>84</v>
      </c>
      <c r="E18" s="27" t="s">
        <v>91</v>
      </c>
      <c r="F18" s="27" t="s">
        <v>57</v>
      </c>
      <c r="G18" s="27" t="s">
        <v>57</v>
      </c>
      <c r="H18" s="27" t="s">
        <v>91</v>
      </c>
      <c r="I18" s="27" t="s">
        <v>57</v>
      </c>
      <c r="J18" s="27" t="s">
        <v>57</v>
      </c>
      <c r="K18" s="27" t="s">
        <v>91</v>
      </c>
      <c r="L18" s="27" t="s">
        <v>91</v>
      </c>
      <c r="M18" s="27" t="s">
        <v>57</v>
      </c>
      <c r="N18" s="27" t="s">
        <v>57</v>
      </c>
      <c r="O18" s="27" t="s">
        <v>57</v>
      </c>
      <c r="P18" s="27" t="s">
        <v>57</v>
      </c>
      <c r="Q18" s="27" t="s">
        <v>57</v>
      </c>
      <c r="R18" s="27"/>
      <c r="S18" s="27"/>
      <c r="T18" s="27"/>
      <c r="U18" s="27"/>
      <c r="V18" s="49">
        <v>467667.0</v>
      </c>
      <c r="W18" s="36">
        <v>9.0</v>
      </c>
      <c r="X18" s="36">
        <v>1.0</v>
      </c>
      <c r="Y18" s="24">
        <v>3.1</v>
      </c>
      <c r="Z18" s="36">
        <v>6633.0</v>
      </c>
      <c r="AA18" s="36">
        <v>9.0</v>
      </c>
      <c r="AB18" s="36">
        <v>1.0</v>
      </c>
      <c r="AC18" s="24">
        <v>24.1</v>
      </c>
      <c r="AD18" s="28">
        <v>7348.0</v>
      </c>
      <c r="AE18" s="36">
        <v>9.0</v>
      </c>
      <c r="AF18" s="36">
        <v>2.0</v>
      </c>
      <c r="AG18" s="24">
        <v>26.11</v>
      </c>
      <c r="AH18" s="28">
        <v>8765.0</v>
      </c>
      <c r="AI18" s="36">
        <v>9.0</v>
      </c>
      <c r="AJ18" s="36">
        <v>2.0</v>
      </c>
      <c r="AK18" s="24">
        <v>26.12</v>
      </c>
      <c r="AL18" s="28">
        <v>1.0</v>
      </c>
      <c r="AN18" s="36">
        <v>0.1</v>
      </c>
      <c r="AR18" s="36">
        <v>6.0</v>
      </c>
      <c r="AS18" s="24">
        <v>6.0</v>
      </c>
      <c r="AT18" s="28">
        <f t="shared" si="34"/>
        <v>12</v>
      </c>
      <c r="AU18" s="21">
        <f t="shared" ref="AU18:AV18" si="39">SUM(AR18)</f>
        <v>6</v>
      </c>
      <c r="AV18">
        <f t="shared" si="39"/>
        <v>6</v>
      </c>
      <c r="AW18">
        <f t="shared" si="6"/>
        <v>10</v>
      </c>
      <c r="AX18">
        <f t="shared" si="7"/>
        <v>10</v>
      </c>
      <c r="AY18">
        <f t="shared" si="8"/>
        <v>11</v>
      </c>
      <c r="AZ18">
        <f t="shared" si="9"/>
        <v>11</v>
      </c>
      <c r="BA18">
        <f t="shared" ref="BA18:BF18" si="40">SUM(AL18)</f>
        <v>1</v>
      </c>
      <c r="BB18">
        <f t="shared" si="40"/>
        <v>0</v>
      </c>
      <c r="BC18">
        <f t="shared" si="40"/>
        <v>0.1</v>
      </c>
      <c r="BD18">
        <f t="shared" si="40"/>
        <v>0</v>
      </c>
      <c r="BE18">
        <f t="shared" si="40"/>
        <v>0</v>
      </c>
      <c r="BF18">
        <f t="shared" si="40"/>
        <v>0</v>
      </c>
      <c r="BG18">
        <f t="shared" si="11"/>
        <v>12</v>
      </c>
      <c r="BH18" s="4"/>
      <c r="BI18" s="50">
        <f t="shared" si="12"/>
        <v>67.1</v>
      </c>
      <c r="BJ18" s="32">
        <v>1.0</v>
      </c>
    </row>
    <row r="19">
      <c r="A19" s="43">
        <v>467742.0</v>
      </c>
      <c r="B19" s="44" t="s">
        <v>383</v>
      </c>
      <c r="C19" s="24"/>
      <c r="D19" s="27" t="s">
        <v>84</v>
      </c>
      <c r="E19" s="27" t="s">
        <v>91</v>
      </c>
      <c r="F19" s="27" t="s">
        <v>91</v>
      </c>
      <c r="G19" s="27" t="s">
        <v>91</v>
      </c>
      <c r="H19" s="27" t="s">
        <v>84</v>
      </c>
      <c r="I19" s="27" t="s">
        <v>84</v>
      </c>
      <c r="J19" s="27" t="s">
        <v>57</v>
      </c>
      <c r="K19" s="27" t="s">
        <v>57</v>
      </c>
      <c r="L19" s="27" t="s">
        <v>91</v>
      </c>
      <c r="M19" s="27"/>
      <c r="N19" s="27"/>
      <c r="O19" s="27"/>
      <c r="P19" s="27"/>
      <c r="Q19" s="27"/>
      <c r="R19" s="27"/>
      <c r="S19" s="27"/>
      <c r="T19" s="27"/>
      <c r="U19" s="27"/>
      <c r="V19" s="43">
        <v>467742.0</v>
      </c>
      <c r="W19" s="36">
        <v>6.0</v>
      </c>
      <c r="Y19" s="24">
        <v>31.1</v>
      </c>
      <c r="Z19" s="28">
        <v>9434.0</v>
      </c>
      <c r="AA19" s="36">
        <v>8.5</v>
      </c>
      <c r="AC19" s="24">
        <v>14.11</v>
      </c>
      <c r="AD19" s="28">
        <v>8646.0</v>
      </c>
      <c r="AE19" s="36">
        <v>7.5</v>
      </c>
      <c r="AG19" s="24">
        <v>14.12</v>
      </c>
      <c r="AH19" s="28">
        <v>87565.0</v>
      </c>
      <c r="AI19" s="36">
        <v>6.0</v>
      </c>
      <c r="AK19" s="24">
        <v>21.02</v>
      </c>
      <c r="AL19" s="28">
        <v>0.4</v>
      </c>
      <c r="AM19" s="36">
        <v>0.3</v>
      </c>
      <c r="AO19" s="36">
        <v>0.7</v>
      </c>
      <c r="AR19" s="36">
        <v>8.0</v>
      </c>
      <c r="AS19" s="24">
        <v>7.0</v>
      </c>
      <c r="AT19" s="28">
        <f>SUM(AR19:AS19)+2</f>
        <v>17</v>
      </c>
      <c r="AU19" s="231">
        <v>8.0</v>
      </c>
      <c r="AV19">
        <f>SUM(AS19)</f>
        <v>7</v>
      </c>
      <c r="AW19">
        <f t="shared" si="6"/>
        <v>6</v>
      </c>
      <c r="AX19">
        <f t="shared" si="7"/>
        <v>8.5</v>
      </c>
      <c r="AY19">
        <f t="shared" si="8"/>
        <v>7.5</v>
      </c>
      <c r="AZ19">
        <f t="shared" si="9"/>
        <v>6</v>
      </c>
      <c r="BA19">
        <f t="shared" ref="BA19:BF19" si="41">SUM(AL19)</f>
        <v>0.4</v>
      </c>
      <c r="BB19">
        <f t="shared" si="41"/>
        <v>0.3</v>
      </c>
      <c r="BC19">
        <f t="shared" si="41"/>
        <v>0</v>
      </c>
      <c r="BD19">
        <f t="shared" si="41"/>
        <v>0.7</v>
      </c>
      <c r="BE19">
        <f t="shared" si="41"/>
        <v>0</v>
      </c>
      <c r="BF19">
        <f t="shared" si="41"/>
        <v>0</v>
      </c>
      <c r="BG19">
        <f t="shared" si="11"/>
        <v>17</v>
      </c>
      <c r="BH19" s="4"/>
      <c r="BI19" s="50">
        <f t="shared" si="12"/>
        <v>61.4</v>
      </c>
      <c r="BJ19" s="228">
        <v>2.0</v>
      </c>
    </row>
    <row r="20">
      <c r="A20" s="43">
        <v>467858.0</v>
      </c>
      <c r="B20" s="44" t="s">
        <v>384</v>
      </c>
      <c r="C20" s="4"/>
      <c r="D20" s="27" t="s">
        <v>84</v>
      </c>
      <c r="E20" s="27" t="s">
        <v>91</v>
      </c>
      <c r="F20" s="27" t="s">
        <v>91</v>
      </c>
      <c r="G20" s="27" t="s">
        <v>91</v>
      </c>
      <c r="H20" s="27" t="s">
        <v>91</v>
      </c>
      <c r="I20" s="27" t="s">
        <v>91</v>
      </c>
      <c r="J20" s="27" t="s">
        <v>91</v>
      </c>
      <c r="K20" s="27" t="s">
        <v>91</v>
      </c>
      <c r="L20" s="27" t="s">
        <v>57</v>
      </c>
      <c r="M20" s="27"/>
      <c r="N20" s="27"/>
      <c r="O20" s="27"/>
      <c r="P20" s="27"/>
      <c r="Q20" s="27"/>
      <c r="R20" s="27"/>
      <c r="S20" s="27"/>
      <c r="T20" s="27"/>
      <c r="U20" s="27"/>
      <c r="V20" s="43">
        <v>467858.0</v>
      </c>
      <c r="W20" s="36">
        <v>6.0</v>
      </c>
      <c r="Y20" s="24">
        <v>7.11</v>
      </c>
      <c r="Z20" s="28">
        <v>93842.0</v>
      </c>
      <c r="AA20" s="36">
        <v>6.5</v>
      </c>
      <c r="AC20" s="24">
        <v>14.12</v>
      </c>
      <c r="AD20" s="28">
        <v>83754.0</v>
      </c>
      <c r="AE20" s="36">
        <v>6.0</v>
      </c>
      <c r="AG20" s="24">
        <v>21.02</v>
      </c>
      <c r="AH20" s="28">
        <v>454.0</v>
      </c>
      <c r="AI20" s="36"/>
      <c r="AK20" s="24"/>
      <c r="AL20" s="28">
        <v>0.01</v>
      </c>
      <c r="AO20" s="36">
        <v>0.8</v>
      </c>
      <c r="AP20" s="36">
        <v>1.2</v>
      </c>
      <c r="AR20" s="36">
        <v>6.0</v>
      </c>
      <c r="AS20" s="24">
        <v>6.0</v>
      </c>
      <c r="AT20" s="28"/>
      <c r="AU20" s="21">
        <f t="shared" ref="AU20:AV20" si="42">SUM(AR20)</f>
        <v>6</v>
      </c>
      <c r="AV20">
        <f t="shared" si="42"/>
        <v>6</v>
      </c>
      <c r="AW20">
        <f t="shared" si="6"/>
        <v>6</v>
      </c>
      <c r="AX20">
        <f t="shared" si="7"/>
        <v>6.5</v>
      </c>
      <c r="AY20">
        <f t="shared" si="8"/>
        <v>6</v>
      </c>
      <c r="AZ20">
        <f t="shared" si="9"/>
        <v>0</v>
      </c>
      <c r="BA20">
        <f t="shared" ref="BA20:BF20" si="43">SUM(AL20)</f>
        <v>0.01</v>
      </c>
      <c r="BB20">
        <f t="shared" si="43"/>
        <v>0</v>
      </c>
      <c r="BC20">
        <f t="shared" si="43"/>
        <v>0</v>
      </c>
      <c r="BD20">
        <f t="shared" si="43"/>
        <v>0.8</v>
      </c>
      <c r="BE20">
        <f t="shared" si="43"/>
        <v>1.2</v>
      </c>
      <c r="BF20">
        <f t="shared" si="43"/>
        <v>0</v>
      </c>
      <c r="BG20">
        <f t="shared" si="11"/>
        <v>0</v>
      </c>
      <c r="BH20" s="24"/>
      <c r="BI20" s="50">
        <f t="shared" si="12"/>
        <v>32.51</v>
      </c>
      <c r="BJ20" s="228"/>
    </row>
    <row r="21">
      <c r="A21" s="43">
        <v>467959.0</v>
      </c>
      <c r="B21" s="44" t="s">
        <v>385</v>
      </c>
      <c r="C21" s="4"/>
      <c r="D21" s="27" t="s">
        <v>84</v>
      </c>
      <c r="E21" s="27" t="s">
        <v>91</v>
      </c>
      <c r="F21" s="27" t="s">
        <v>91</v>
      </c>
      <c r="G21" s="27" t="s">
        <v>91</v>
      </c>
      <c r="H21" s="27" t="s">
        <v>57</v>
      </c>
      <c r="I21" s="27" t="s">
        <v>91</v>
      </c>
      <c r="J21" s="27" t="s">
        <v>91</v>
      </c>
      <c r="K21" s="27" t="s">
        <v>91</v>
      </c>
      <c r="L21" s="27" t="s">
        <v>57</v>
      </c>
      <c r="M21" s="27"/>
      <c r="N21" s="27"/>
      <c r="O21" s="27"/>
      <c r="P21" s="27"/>
      <c r="Q21" s="27"/>
      <c r="R21" s="27"/>
      <c r="S21" s="27"/>
      <c r="T21" s="27"/>
      <c r="U21" s="27"/>
      <c r="V21" s="49">
        <v>467959.0</v>
      </c>
      <c r="W21" s="36">
        <v>8.0</v>
      </c>
      <c r="X21" s="36">
        <v>2.0</v>
      </c>
      <c r="Y21" s="24">
        <v>17.1</v>
      </c>
      <c r="Z21" s="28">
        <v>48949.0</v>
      </c>
      <c r="AA21" s="36">
        <v>7.5</v>
      </c>
      <c r="AB21" s="36">
        <v>1.0</v>
      </c>
      <c r="AC21" s="24">
        <v>21.11</v>
      </c>
      <c r="AD21" s="28">
        <v>89531.0</v>
      </c>
      <c r="AE21" s="36">
        <v>6.5</v>
      </c>
      <c r="AF21" s="36">
        <v>1.0</v>
      </c>
      <c r="AG21" s="24">
        <v>14.12</v>
      </c>
      <c r="AH21" s="28">
        <v>84375.0</v>
      </c>
      <c r="AI21" s="36">
        <v>6.0</v>
      </c>
      <c r="AK21" s="24">
        <v>21.02</v>
      </c>
      <c r="AL21" s="21"/>
      <c r="AR21" s="36">
        <v>8.5</v>
      </c>
      <c r="AS21" s="24">
        <v>8.5</v>
      </c>
      <c r="AT21" s="28">
        <f t="shared" ref="AT21:AT22" si="46">SUM(AR21:AS21)</f>
        <v>17</v>
      </c>
      <c r="AU21" s="21">
        <f t="shared" ref="AU21:AV21" si="44">SUM(AR21)</f>
        <v>8.5</v>
      </c>
      <c r="AV21">
        <f t="shared" si="44"/>
        <v>8.5</v>
      </c>
      <c r="AW21">
        <f t="shared" si="6"/>
        <v>10</v>
      </c>
      <c r="AX21">
        <f t="shared" si="7"/>
        <v>8.5</v>
      </c>
      <c r="AY21">
        <f t="shared" si="8"/>
        <v>7.5</v>
      </c>
      <c r="AZ21">
        <f t="shared" si="9"/>
        <v>6</v>
      </c>
      <c r="BA21">
        <f t="shared" ref="BA21:BF21" si="45">SUM(AL21)</f>
        <v>0</v>
      </c>
      <c r="BB21">
        <f t="shared" si="45"/>
        <v>0</v>
      </c>
      <c r="BC21">
        <f t="shared" si="45"/>
        <v>0</v>
      </c>
      <c r="BD21">
        <f t="shared" si="45"/>
        <v>0</v>
      </c>
      <c r="BE21">
        <f t="shared" si="45"/>
        <v>0</v>
      </c>
      <c r="BF21">
        <f t="shared" si="45"/>
        <v>0</v>
      </c>
      <c r="BG21">
        <f t="shared" si="11"/>
        <v>17</v>
      </c>
      <c r="BH21" s="4"/>
      <c r="BI21" s="50">
        <f t="shared" si="12"/>
        <v>66</v>
      </c>
      <c r="BJ21" s="228">
        <v>2.0</v>
      </c>
    </row>
    <row r="22">
      <c r="A22" s="43">
        <v>465029.0</v>
      </c>
      <c r="B22" s="44" t="s">
        <v>386</v>
      </c>
      <c r="C22" s="24"/>
      <c r="D22" s="27" t="s">
        <v>84</v>
      </c>
      <c r="E22" s="27" t="s">
        <v>84</v>
      </c>
      <c r="F22" s="27" t="s">
        <v>91</v>
      </c>
      <c r="G22" s="27" t="s">
        <v>84</v>
      </c>
      <c r="H22" s="27" t="s">
        <v>84</v>
      </c>
      <c r="I22" s="27" t="s">
        <v>57</v>
      </c>
      <c r="J22" s="27" t="s">
        <v>57</v>
      </c>
      <c r="K22" s="27" t="s">
        <v>91</v>
      </c>
      <c r="L22" s="27" t="s">
        <v>57</v>
      </c>
      <c r="M22" s="27" t="s">
        <v>57</v>
      </c>
      <c r="N22" s="27" t="s">
        <v>57</v>
      </c>
      <c r="O22" s="27" t="s">
        <v>57</v>
      </c>
      <c r="P22" s="27"/>
      <c r="Q22" s="27"/>
      <c r="R22" s="27"/>
      <c r="S22" s="27" t="s">
        <v>57</v>
      </c>
      <c r="T22" s="27"/>
      <c r="U22" s="27"/>
      <c r="V22" s="43">
        <v>465029.0</v>
      </c>
      <c r="W22" s="36">
        <v>8.0</v>
      </c>
      <c r="X22" s="36">
        <v>1.0</v>
      </c>
      <c r="Y22" s="24">
        <v>24.1</v>
      </c>
      <c r="Z22" s="28">
        <v>8484.0</v>
      </c>
      <c r="AA22" s="36">
        <v>8.5</v>
      </c>
      <c r="AB22" s="36">
        <v>2.0</v>
      </c>
      <c r="AC22" s="24">
        <v>14.11</v>
      </c>
      <c r="AD22" s="28">
        <v>9484.0</v>
      </c>
      <c r="AE22" s="36">
        <v>6.5</v>
      </c>
      <c r="AG22" s="24">
        <v>14.12</v>
      </c>
      <c r="AH22" s="28">
        <v>48585.0</v>
      </c>
      <c r="AI22" s="36">
        <v>6.0</v>
      </c>
      <c r="AK22" s="24">
        <v>21.02</v>
      </c>
      <c r="AL22" s="28">
        <v>0.6</v>
      </c>
      <c r="AM22" s="36">
        <v>0.01</v>
      </c>
      <c r="AN22" s="36">
        <v>0.2</v>
      </c>
      <c r="AO22" s="36">
        <v>0.01</v>
      </c>
      <c r="AP22" s="36">
        <v>1.2</v>
      </c>
      <c r="AQ22" s="36">
        <v>0.01</v>
      </c>
      <c r="AR22" s="36">
        <v>6.0</v>
      </c>
      <c r="AS22" s="24">
        <v>6.0</v>
      </c>
      <c r="AT22" s="28">
        <f t="shared" si="46"/>
        <v>12</v>
      </c>
      <c r="AU22" s="21">
        <f t="shared" ref="AU22:AV22" si="47">SUM(AR22)</f>
        <v>6</v>
      </c>
      <c r="AV22">
        <f t="shared" si="47"/>
        <v>6</v>
      </c>
      <c r="AW22">
        <f t="shared" si="6"/>
        <v>9</v>
      </c>
      <c r="AX22">
        <f t="shared" si="7"/>
        <v>10.5</v>
      </c>
      <c r="AY22">
        <f t="shared" si="8"/>
        <v>6.5</v>
      </c>
      <c r="AZ22">
        <f t="shared" si="9"/>
        <v>6</v>
      </c>
      <c r="BA22">
        <f t="shared" ref="BA22:BF22" si="48">SUM(AL22)</f>
        <v>0.6</v>
      </c>
      <c r="BB22">
        <f t="shared" si="48"/>
        <v>0.01</v>
      </c>
      <c r="BC22">
        <f t="shared" si="48"/>
        <v>0.2</v>
      </c>
      <c r="BD22">
        <f t="shared" si="48"/>
        <v>0.01</v>
      </c>
      <c r="BE22">
        <f t="shared" si="48"/>
        <v>1.2</v>
      </c>
      <c r="BF22">
        <f t="shared" si="48"/>
        <v>0.01</v>
      </c>
      <c r="BG22">
        <f t="shared" si="11"/>
        <v>12</v>
      </c>
      <c r="BH22" s="24">
        <v>2.0</v>
      </c>
      <c r="BI22" s="50">
        <f t="shared" si="12"/>
        <v>60.03</v>
      </c>
      <c r="BJ22" s="228">
        <v>2.0</v>
      </c>
    </row>
    <row r="26">
      <c r="A26" s="43"/>
      <c r="B26" s="44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49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K26" s="37"/>
      <c r="AR26" s="36"/>
      <c r="AS26" s="36"/>
      <c r="AT26" s="36"/>
      <c r="BI26" s="39"/>
      <c r="BJ26" s="32"/>
    </row>
    <row r="27">
      <c r="A27" s="43"/>
      <c r="B27" s="44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49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K27" s="37"/>
      <c r="AR27" s="36"/>
      <c r="AS27" s="36"/>
      <c r="AT27" s="36"/>
      <c r="BI27" s="39"/>
      <c r="BJ27" s="32"/>
    </row>
  </sheetData>
  <mergeCells count="40">
    <mergeCell ref="V1:Y1"/>
    <mergeCell ref="V2:V3"/>
    <mergeCell ref="Y2:Y3"/>
    <mergeCell ref="Z2:Z3"/>
    <mergeCell ref="AC2:AC3"/>
    <mergeCell ref="AD2:AD3"/>
    <mergeCell ref="AG2:AG3"/>
    <mergeCell ref="AH2:AH3"/>
    <mergeCell ref="AK2:AK3"/>
    <mergeCell ref="A1:B1"/>
    <mergeCell ref="C1:C3"/>
    <mergeCell ref="D1:N1"/>
    <mergeCell ref="Z1:AC1"/>
    <mergeCell ref="AD1:AG1"/>
    <mergeCell ref="AH1:AK1"/>
    <mergeCell ref="N2:N3"/>
    <mergeCell ref="AR2:AR3"/>
    <mergeCell ref="AS2:AS3"/>
    <mergeCell ref="AU1:BG2"/>
    <mergeCell ref="BI1:BI3"/>
    <mergeCell ref="BJ1:BJ3"/>
    <mergeCell ref="AL2:AL3"/>
    <mergeCell ref="AM2:AM3"/>
    <mergeCell ref="AN2:AN3"/>
    <mergeCell ref="AO2:AO3"/>
    <mergeCell ref="AT2:AT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P2:AP3"/>
    <mergeCell ref="AQ2:AQ3"/>
  </mergeCells>
  <conditionalFormatting sqref="AC4">
    <cfRule type="timePeriod" dxfId="0" priority="1" timePeriod="last7Days"/>
  </conditionalFormatting>
  <conditionalFormatting sqref="AG4">
    <cfRule type="timePeriod" dxfId="0" priority="2" timePeriod="last7Days"/>
  </conditionalFormatting>
  <conditionalFormatting sqref="AG4">
    <cfRule type="timePeriod" dxfId="0" priority="3" timePeriod="last7Days"/>
  </conditionalFormatting>
  <conditionalFormatting sqref="Y4 AC4 AG4">
    <cfRule type="timePeriod" dxfId="0" priority="4" timePeriod="last7Days"/>
  </conditionalFormatting>
  <conditionalFormatting sqref="Y4">
    <cfRule type="timePeriod" dxfId="0" priority="5" timePeriod="last7Days"/>
  </conditionalFormatting>
  <conditionalFormatting sqref="Y4">
    <cfRule type="timePeriod" dxfId="0" priority="6" timePeriod="last7Days"/>
  </conditionalFormatting>
  <conditionalFormatting sqref="AG4">
    <cfRule type="timePeriod" dxfId="0" priority="7" timePeriod="last7Days"/>
  </conditionalFormatting>
  <conditionalFormatting sqref="AU4:BH27">
    <cfRule type="cellIs" dxfId="1" priority="8" operator="lessThan">
      <formula>0.1</formula>
    </cfRule>
  </conditionalFormatting>
  <conditionalFormatting sqref="AU4:BH27">
    <cfRule type="cellIs" dxfId="2" priority="9" operator="greaterThan">
      <formula>0.1</formula>
    </cfRule>
  </conditionalFormatting>
  <conditionalFormatting sqref="BI4:BJ27">
    <cfRule type="cellIs" dxfId="3" priority="10" operator="between">
      <formula>60</formula>
      <formula>68</formula>
    </cfRule>
  </conditionalFormatting>
  <conditionalFormatting sqref="BI4:BJ27">
    <cfRule type="cellIs" dxfId="4" priority="11" operator="between">
      <formula>68</formula>
      <formula>74</formula>
    </cfRule>
  </conditionalFormatting>
  <conditionalFormatting sqref="BI4:BJ27">
    <cfRule type="cellIs" dxfId="2" priority="12" operator="between">
      <formula>74</formula>
      <formula>81</formula>
    </cfRule>
  </conditionalFormatting>
  <conditionalFormatting sqref="BI4:BJ27">
    <cfRule type="cellIs" dxfId="5" priority="13" operator="between">
      <formula>81</formula>
      <formula>90</formula>
    </cfRule>
  </conditionalFormatting>
  <conditionalFormatting sqref="BI4:BJ27">
    <cfRule type="cellIs" dxfId="6" priority="14" operator="greaterThan">
      <formula>90</formula>
    </cfRule>
  </conditionalFormatting>
  <conditionalFormatting sqref="AC4">
    <cfRule type="timePeriod" dxfId="0" priority="15" timePeriod="last7Days"/>
  </conditionalFormatting>
  <conditionalFormatting sqref="G4:G27 I4:I8 K4:K9 L4:L23 N4:N8 P4:P8 Q4:U18 H5:H17 J5 M5:M18 O5:O8 J9:J22 O10:O23 I11:I24 N12:N18 P12:P18 K17 H19:H20 K19 K22 M22:N22 P22:U22 H24 J24 M24 L25:L27">
    <cfRule type="containsText" dxfId="7" priority="16" operator="containsText" text="н">
      <formula>NOT(ISERROR(SEARCH(("н"),(G4))))</formula>
    </cfRule>
  </conditionalFormatting>
  <conditionalFormatting sqref="G4:G27 I4:I8 K4:K9 L4:L23 N4:N8 P4:P8 Q4:U18 H5:H17 J5 M5:M18 O5:O8 J9:J22 O10:O23 I11:I24 N12:N18 P12:P18 K17 H19:H20 K19 K22 M22:N22 P22:U22 H24 J24 M24 L25:L27">
    <cfRule type="containsText" dxfId="7" priority="17" operator="containsText" text="n">
      <formula>NOT(ISERROR(SEARCH(("n"),(G4))))</formula>
    </cfRule>
  </conditionalFormatting>
  <conditionalFormatting sqref="D4:D27 F4:F27 I4:I24 K4:K9 L4:L23 N4:N8 P4:P8 Q4:U18 G5:G24 H5:H17 J5 M5:M18 O5:O8 E6:E15 J9:J22 O10:O23 N12:N18 P12:P18 K17 H19:H24 K19 K22 M22:N22 P22:U22 E24 J24 M24 L25:L27 H26:H27">
    <cfRule type="containsText" dxfId="7" priority="18" operator="containsText" text="н">
      <formula>NOT(ISERROR(SEARCH(("н"),(D4))))</formula>
    </cfRule>
  </conditionalFormatting>
  <conditionalFormatting sqref="D4:D27 F4:F27 I4:I24 K4:K9 L4:L23 N4:N8 P4:P8 Q4:U18 G5:G24 H5:H17 J5 M5:M18 O5:O8 E6:E15 J9:J22 O10:O23 N12:N18 P12:P18 K17 H19:H24 K19 K22 M22:N22 P22:U22 E24 J24 M24 L25:L27 H26:H27">
    <cfRule type="containsText" dxfId="7" priority="19" operator="containsText" text="n">
      <formula>NOT(ISERROR(SEARCH(("n"),(D4))))</formula>
    </cfRule>
  </conditionalFormatting>
  <conditionalFormatting sqref="W4:X4">
    <cfRule type="cellIs" dxfId="8" priority="20" operator="equal">
      <formula>0</formula>
    </cfRule>
  </conditionalFormatting>
  <conditionalFormatting sqref="AA4:AB4">
    <cfRule type="cellIs" dxfId="8" priority="21" operator="equal">
      <formula>0</formula>
    </cfRule>
  </conditionalFormatting>
  <conditionalFormatting sqref="AE4:AF4">
    <cfRule type="cellIs" dxfId="8" priority="22" operator="equal">
      <formula>0</formula>
    </cfRule>
  </conditionalFormatting>
  <conditionalFormatting sqref="AI4:AJ4">
    <cfRule type="cellIs" dxfId="8" priority="23" operator="equal">
      <formula>0</formula>
    </cfRule>
  </conditionalFormatting>
  <conditionalFormatting sqref="AL4:AS4">
    <cfRule type="cellIs" dxfId="8" priority="24" operator="equal">
      <formula>0</formula>
    </cfRule>
  </conditionalFormatting>
  <conditionalFormatting sqref="D1:U27">
    <cfRule type="containsText" dxfId="7" priority="25" operator="containsText" text="н">
      <formula>NOT(ISERROR(SEARCH(("н"),(D1))))</formula>
    </cfRule>
  </conditionalFormatting>
  <conditionalFormatting sqref="D1:U27">
    <cfRule type="containsText" dxfId="7" priority="26" operator="containsText" text="n">
      <formula>NOT(ISERROR(SEARCH(("n"),(D1))))</formula>
    </cfRule>
  </conditionalFormatting>
  <conditionalFormatting sqref="Y4">
    <cfRule type="timePeriod" dxfId="0" priority="27" timePeriod="last7Days"/>
  </conditionalFormatting>
  <conditionalFormatting sqref="AC4">
    <cfRule type="timePeriod" dxfId="0" priority="28" timePeriod="last7Days"/>
  </conditionalFormatting>
  <conditionalFormatting sqref="AG4">
    <cfRule type="timePeriod" dxfId="0" priority="29" timePeriod="last7Days"/>
  </conditionalFormatting>
  <conditionalFormatting sqref="AK4">
    <cfRule type="timePeriod" dxfId="0" priority="30" timePeriod="last7Days"/>
  </conditionalFormatting>
  <conditionalFormatting sqref="BI1:BJ27">
    <cfRule type="cellIs" dxfId="3" priority="31" operator="between">
      <formula>60</formula>
      <formula>68</formula>
    </cfRule>
  </conditionalFormatting>
  <conditionalFormatting sqref="AT4:AT27">
    <cfRule type="cellIs" dxfId="6" priority="32" operator="between">
      <formula>12</formula>
      <formula>1000</formula>
    </cfRule>
  </conditionalFormatting>
  <conditionalFormatting sqref="BI1:BJ27">
    <cfRule type="cellIs" dxfId="4" priority="33" operator="between">
      <formula>68</formula>
      <formula>74</formula>
    </cfRule>
  </conditionalFormatting>
  <conditionalFormatting sqref="BI1:BJ27">
    <cfRule type="cellIs" dxfId="2" priority="34" operator="between">
      <formula>74</formula>
      <formula>81</formula>
    </cfRule>
  </conditionalFormatting>
  <conditionalFormatting sqref="BI1:BJ27">
    <cfRule type="cellIs" dxfId="5" priority="35" operator="between">
      <formula>81</formula>
      <formula>90</formula>
    </cfRule>
  </conditionalFormatting>
  <conditionalFormatting sqref="BI1:BJ27">
    <cfRule type="cellIs" dxfId="6" priority="36" operator="greaterThan">
      <formula>90</formula>
    </cfRule>
  </conditionalFormatting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0"/>
    <col customWidth="1" min="5" max="6" width="2.88"/>
    <col customWidth="1" min="7" max="7" width="2.75"/>
    <col customWidth="1" min="8" max="9" width="2.88"/>
    <col customWidth="1" min="10" max="16" width="2.75"/>
    <col customWidth="1" min="17" max="19" width="2.88"/>
    <col customWidth="1" min="20" max="20" width="6.88"/>
    <col customWidth="1" min="21" max="21" width="5.0"/>
    <col customWidth="1" min="22" max="22" width="3.88"/>
    <col customWidth="1" min="23" max="23" width="5.25"/>
    <col customWidth="1" min="24" max="24" width="6.5"/>
    <col customWidth="1" min="25" max="25" width="5.13"/>
    <col customWidth="1" min="26" max="26" width="4.0"/>
    <col customWidth="1" min="27" max="27" width="5.0"/>
    <col customWidth="1" min="28" max="28" width="6.38"/>
    <col customWidth="1" min="29" max="29" width="5.13"/>
    <col customWidth="1" min="30" max="30" width="4.0"/>
    <col customWidth="1" min="31" max="31" width="5.0"/>
    <col customWidth="1" min="32" max="32" width="7.63"/>
    <col customWidth="1" min="33" max="33" width="5.0"/>
    <col customWidth="1" min="34" max="34" width="4.5"/>
    <col customWidth="1" min="35" max="35" width="5.0"/>
    <col customWidth="1" min="36" max="36" width="5.63"/>
    <col customWidth="1" min="37" max="37" width="5.13"/>
    <col customWidth="1" min="38" max="38" width="5.38"/>
    <col customWidth="1" min="39" max="39" width="5.0"/>
    <col customWidth="1" min="40" max="41" width="5.38"/>
    <col customWidth="1" min="42" max="43" width="5.88"/>
    <col customWidth="1" min="44" max="44" width="5.63"/>
    <col customWidth="1" min="45" max="45" width="4.5"/>
    <col customWidth="1" min="46" max="46" width="4.38"/>
    <col customWidth="1" min="47" max="51" width="4.25"/>
    <col customWidth="1" min="52" max="52" width="4.63"/>
    <col customWidth="1" min="53" max="53" width="4.5"/>
    <col customWidth="1" min="54" max="55" width="4.63"/>
    <col customWidth="1" min="56" max="56" width="4.5"/>
    <col customWidth="1" min="57" max="58" width="4.38"/>
    <col customWidth="1" min="59" max="59" width="6.63"/>
    <col customWidth="1" min="60" max="60" width="3.25"/>
  </cols>
  <sheetData>
    <row r="1">
      <c r="A1" s="1" t="s">
        <v>387</v>
      </c>
      <c r="C1" s="2" t="s">
        <v>1</v>
      </c>
      <c r="D1" s="3" t="s">
        <v>2</v>
      </c>
      <c r="S1" s="4"/>
      <c r="T1" s="5" t="s">
        <v>3</v>
      </c>
      <c r="W1" s="4"/>
      <c r="X1" s="5" t="s">
        <v>4</v>
      </c>
      <c r="AA1" s="4"/>
      <c r="AB1" s="5" t="s">
        <v>5</v>
      </c>
      <c r="AE1" s="4"/>
      <c r="AF1" s="5" t="s">
        <v>6</v>
      </c>
      <c r="AI1" s="4"/>
      <c r="AJ1" s="3" t="s">
        <v>7</v>
      </c>
      <c r="AK1" s="6" t="s">
        <v>8</v>
      </c>
      <c r="AL1" s="6" t="s">
        <v>9</v>
      </c>
      <c r="AM1" s="6" t="s">
        <v>10</v>
      </c>
      <c r="AN1" s="6" t="s">
        <v>11</v>
      </c>
      <c r="AO1" s="6" t="s">
        <v>12</v>
      </c>
      <c r="AP1" s="6" t="s">
        <v>13</v>
      </c>
      <c r="AQ1" s="7" t="s">
        <v>14</v>
      </c>
      <c r="AR1" s="3" t="s">
        <v>15</v>
      </c>
      <c r="AS1" s="6" t="s">
        <v>16</v>
      </c>
      <c r="BF1" s="7"/>
      <c r="BG1" s="41" t="s">
        <v>17</v>
      </c>
      <c r="BH1" s="10" t="s">
        <v>18</v>
      </c>
    </row>
    <row r="2">
      <c r="A2" s="11" t="s">
        <v>19</v>
      </c>
      <c r="B2" s="11" t="s">
        <v>20</v>
      </c>
      <c r="C2" s="4"/>
      <c r="D2" s="12">
        <v>45901.0</v>
      </c>
      <c r="E2" s="12">
        <f t="shared" ref="E2:J2" si="1">D2+7</f>
        <v>45908</v>
      </c>
      <c r="F2" s="12">
        <f t="shared" si="1"/>
        <v>45915</v>
      </c>
      <c r="G2" s="12">
        <f t="shared" si="1"/>
        <v>45922</v>
      </c>
      <c r="H2" s="12">
        <f t="shared" si="1"/>
        <v>45929</v>
      </c>
      <c r="I2" s="12">
        <f t="shared" si="1"/>
        <v>45936</v>
      </c>
      <c r="J2" s="12">
        <f t="shared" si="1"/>
        <v>45943</v>
      </c>
      <c r="K2" s="12">
        <f>J2+14</f>
        <v>45957</v>
      </c>
      <c r="L2" s="12">
        <f t="shared" ref="L2:S2" si="2">K2+7</f>
        <v>45964</v>
      </c>
      <c r="M2" s="12">
        <f t="shared" si="2"/>
        <v>45971</v>
      </c>
      <c r="N2" s="12">
        <f t="shared" si="2"/>
        <v>45978</v>
      </c>
      <c r="O2" s="12">
        <f t="shared" si="2"/>
        <v>45985</v>
      </c>
      <c r="P2" s="12">
        <f t="shared" si="2"/>
        <v>45992</v>
      </c>
      <c r="Q2" s="12">
        <f t="shared" si="2"/>
        <v>45999</v>
      </c>
      <c r="R2" s="12">
        <f t="shared" si="2"/>
        <v>46006</v>
      </c>
      <c r="S2" s="12">
        <f t="shared" si="2"/>
        <v>46013</v>
      </c>
      <c r="T2" s="14" t="s">
        <v>21</v>
      </c>
      <c r="U2" s="15" t="s">
        <v>22</v>
      </c>
      <c r="V2" s="15" t="s">
        <v>23</v>
      </c>
      <c r="W2" s="16" t="s">
        <v>24</v>
      </c>
      <c r="X2" s="14" t="s">
        <v>21</v>
      </c>
      <c r="Y2" s="15" t="s">
        <v>22</v>
      </c>
      <c r="Z2" s="15" t="s">
        <v>23</v>
      </c>
      <c r="AA2" s="16" t="s">
        <v>24</v>
      </c>
      <c r="AB2" s="14" t="s">
        <v>21</v>
      </c>
      <c r="AC2" s="15" t="s">
        <v>22</v>
      </c>
      <c r="AD2" s="15" t="s">
        <v>23</v>
      </c>
      <c r="AE2" s="16" t="s">
        <v>24</v>
      </c>
      <c r="AF2" s="14" t="s">
        <v>21</v>
      </c>
      <c r="AG2" s="15" t="s">
        <v>22</v>
      </c>
      <c r="AH2" s="15" t="s">
        <v>23</v>
      </c>
      <c r="AI2" s="16" t="s">
        <v>24</v>
      </c>
      <c r="AJ2" s="17" t="s">
        <v>25</v>
      </c>
      <c r="AK2" s="18" t="s">
        <v>25</v>
      </c>
      <c r="AL2" s="18" t="s">
        <v>25</v>
      </c>
      <c r="AM2" s="18" t="s">
        <v>25</v>
      </c>
      <c r="AN2" s="18" t="s">
        <v>25</v>
      </c>
      <c r="AO2" s="18" t="s">
        <v>25</v>
      </c>
      <c r="AP2" s="15" t="s">
        <v>26</v>
      </c>
      <c r="AQ2" s="19" t="s">
        <v>26</v>
      </c>
      <c r="AR2" s="14" t="s">
        <v>27</v>
      </c>
      <c r="BF2" s="7"/>
      <c r="BG2" s="4"/>
    </row>
    <row r="3">
      <c r="C3" s="4"/>
      <c r="T3" s="21"/>
      <c r="U3" s="15" t="s">
        <v>26</v>
      </c>
      <c r="V3" s="15" t="s">
        <v>28</v>
      </c>
      <c r="W3" s="4"/>
      <c r="X3" s="21"/>
      <c r="Y3" s="15" t="s">
        <v>26</v>
      </c>
      <c r="Z3" s="15" t="s">
        <v>28</v>
      </c>
      <c r="AA3" s="4"/>
      <c r="AB3" s="21"/>
      <c r="AC3" s="15" t="s">
        <v>26</v>
      </c>
      <c r="AD3" s="15" t="s">
        <v>28</v>
      </c>
      <c r="AE3" s="4"/>
      <c r="AF3" s="21"/>
      <c r="AG3" s="15" t="s">
        <v>26</v>
      </c>
      <c r="AH3" s="15" t="s">
        <v>28</v>
      </c>
      <c r="AI3" s="4"/>
      <c r="AJ3" s="21"/>
      <c r="AQ3" s="4"/>
      <c r="AR3" s="21"/>
      <c r="AS3" s="17" t="s">
        <v>29</v>
      </c>
      <c r="AT3" s="18" t="s">
        <v>30</v>
      </c>
      <c r="AU3" s="18" t="s">
        <v>3</v>
      </c>
      <c r="AV3" s="18" t="s">
        <v>4</v>
      </c>
      <c r="AW3" s="18" t="s">
        <v>5</v>
      </c>
      <c r="AX3" s="18" t="s">
        <v>6</v>
      </c>
      <c r="AY3" s="18" t="s">
        <v>7</v>
      </c>
      <c r="AZ3" s="18" t="s">
        <v>8</v>
      </c>
      <c r="BA3" s="18" t="s">
        <v>9</v>
      </c>
      <c r="BB3" s="18" t="s">
        <v>10</v>
      </c>
      <c r="BC3" s="18" t="s">
        <v>11</v>
      </c>
      <c r="BD3" s="18" t="s">
        <v>12</v>
      </c>
      <c r="BE3" s="18" t="s">
        <v>31</v>
      </c>
      <c r="BF3" s="23" t="s">
        <v>23</v>
      </c>
      <c r="BG3" s="4"/>
    </row>
    <row r="4">
      <c r="A4" s="43">
        <v>465235.0</v>
      </c>
      <c r="B4" s="55" t="s">
        <v>388</v>
      </c>
      <c r="C4" s="24">
        <v>20000.0</v>
      </c>
      <c r="D4" s="25" t="s">
        <v>55</v>
      </c>
      <c r="E4" s="27" t="s">
        <v>211</v>
      </c>
      <c r="F4" s="27" t="s">
        <v>55</v>
      </c>
      <c r="G4" s="27" t="s">
        <v>211</v>
      </c>
      <c r="H4" s="27" t="s">
        <v>211</v>
      </c>
      <c r="I4" s="27" t="s">
        <v>211</v>
      </c>
      <c r="J4" s="27" t="s">
        <v>56</v>
      </c>
      <c r="K4" s="27" t="s">
        <v>211</v>
      </c>
      <c r="L4" s="27" t="s">
        <v>211</v>
      </c>
      <c r="M4" s="27" t="s">
        <v>211</v>
      </c>
      <c r="N4" s="27" t="s">
        <v>211</v>
      </c>
      <c r="O4" s="27" t="s">
        <v>211</v>
      </c>
      <c r="P4" s="27" t="s">
        <v>211</v>
      </c>
      <c r="Q4" s="27" t="s">
        <v>211</v>
      </c>
      <c r="R4" s="27" t="s">
        <v>55</v>
      </c>
      <c r="S4" s="27" t="s">
        <v>56</v>
      </c>
      <c r="T4" s="232">
        <v>2001.0</v>
      </c>
      <c r="U4" s="36">
        <v>8.7</v>
      </c>
      <c r="W4" s="212">
        <v>45936.0</v>
      </c>
      <c r="X4" s="28">
        <v>35890.0</v>
      </c>
      <c r="Y4" s="36">
        <v>8.0</v>
      </c>
      <c r="AA4" s="212">
        <v>45971.0</v>
      </c>
      <c r="AB4" s="28">
        <v>23469.0</v>
      </c>
      <c r="AC4" s="36">
        <v>8.5</v>
      </c>
      <c r="AE4" s="24">
        <v>8.12</v>
      </c>
      <c r="AF4" s="28">
        <v>20433.0</v>
      </c>
      <c r="AG4" s="29">
        <v>8.0</v>
      </c>
      <c r="AI4" s="24">
        <v>17.02</v>
      </c>
      <c r="AJ4" s="28">
        <v>0.1</v>
      </c>
      <c r="AP4" s="36">
        <v>6.0</v>
      </c>
      <c r="AQ4" s="24">
        <v>6.0</v>
      </c>
      <c r="AR4" s="28">
        <f t="shared" ref="AR4:AR5" si="5">SUM(AP4:AQ4)</f>
        <v>12</v>
      </c>
      <c r="AS4" s="21">
        <f t="shared" ref="AS4:AT4" si="3">SUM(AP4)</f>
        <v>6</v>
      </c>
      <c r="AT4">
        <f t="shared" si="3"/>
        <v>6</v>
      </c>
      <c r="AU4">
        <f t="shared" ref="AU4:AU14" si="7">SUM(U4,V4)</f>
        <v>8.7</v>
      </c>
      <c r="AV4">
        <f t="shared" ref="AV4:AV14" si="8">SUM(Y4,Z4)</f>
        <v>8</v>
      </c>
      <c r="AW4">
        <f t="shared" ref="AW4:AW14" si="9">SUM(AC4,AD4)</f>
        <v>8.5</v>
      </c>
      <c r="AX4">
        <f t="shared" ref="AX4:AX14" si="10">SUM(AG4,AH4)</f>
        <v>8</v>
      </c>
      <c r="AY4">
        <f t="shared" ref="AY4:BD4" si="4">SUM(AJ4)</f>
        <v>0.1</v>
      </c>
      <c r="AZ4">
        <f t="shared" si="4"/>
        <v>0</v>
      </c>
      <c r="BA4">
        <f t="shared" si="4"/>
        <v>0</v>
      </c>
      <c r="BB4">
        <f t="shared" si="4"/>
        <v>0</v>
      </c>
      <c r="BC4">
        <f t="shared" si="4"/>
        <v>0</v>
      </c>
      <c r="BD4">
        <f t="shared" si="4"/>
        <v>0</v>
      </c>
      <c r="BE4">
        <f t="shared" ref="BE4:BE14" si="12">SUM(AR4)</f>
        <v>12</v>
      </c>
      <c r="BF4" s="24">
        <v>3.0</v>
      </c>
      <c r="BG4" s="50">
        <f t="shared" ref="BG4:BG14" si="13">SUM(AS4:BF4)</f>
        <v>60.3</v>
      </c>
      <c r="BH4" s="32">
        <v>2.0</v>
      </c>
    </row>
    <row r="5">
      <c r="A5" s="43">
        <v>365209.0</v>
      </c>
      <c r="B5" s="55" t="s">
        <v>389</v>
      </c>
      <c r="C5" s="24">
        <v>20010.0</v>
      </c>
      <c r="D5" s="25" t="s">
        <v>55</v>
      </c>
      <c r="E5" s="27" t="s">
        <v>211</v>
      </c>
      <c r="F5" s="27" t="s">
        <v>211</v>
      </c>
      <c r="G5" s="27" t="s">
        <v>211</v>
      </c>
      <c r="H5" s="27" t="s">
        <v>211</v>
      </c>
      <c r="I5" s="27" t="s">
        <v>211</v>
      </c>
      <c r="J5" s="27" t="s">
        <v>56</v>
      </c>
      <c r="K5" s="27" t="s">
        <v>56</v>
      </c>
      <c r="L5" s="27" t="s">
        <v>211</v>
      </c>
      <c r="M5" s="27" t="s">
        <v>211</v>
      </c>
      <c r="N5" s="27" t="s">
        <v>56</v>
      </c>
      <c r="O5" s="27" t="s">
        <v>211</v>
      </c>
      <c r="P5" s="27" t="s">
        <v>55</v>
      </c>
      <c r="Q5" s="27" t="s">
        <v>56</v>
      </c>
      <c r="R5" s="27" t="s">
        <v>211</v>
      </c>
      <c r="S5" s="27" t="s">
        <v>211</v>
      </c>
      <c r="T5" s="232">
        <v>2002.0</v>
      </c>
      <c r="U5" s="36">
        <v>9.0</v>
      </c>
      <c r="W5" s="212">
        <v>45936.0</v>
      </c>
      <c r="X5" s="28">
        <v>23458.0</v>
      </c>
      <c r="Y5" s="36">
        <v>8.7</v>
      </c>
      <c r="AA5" s="212">
        <v>45985.0</v>
      </c>
      <c r="AB5" s="28">
        <v>20479.0</v>
      </c>
      <c r="AC5" s="36">
        <v>9.0</v>
      </c>
      <c r="AD5" s="36">
        <v>1.0</v>
      </c>
      <c r="AE5" s="24">
        <v>15.12</v>
      </c>
      <c r="AF5" s="28">
        <v>20353.0</v>
      </c>
      <c r="AG5" s="36">
        <v>9.0</v>
      </c>
      <c r="AI5" s="24">
        <v>22.12</v>
      </c>
      <c r="AJ5" s="28">
        <v>0.2</v>
      </c>
      <c r="AL5" s="36">
        <v>0.3</v>
      </c>
      <c r="AP5" s="36">
        <v>6.0</v>
      </c>
      <c r="AQ5" s="24">
        <v>6.0</v>
      </c>
      <c r="AR5" s="28">
        <f t="shared" si="5"/>
        <v>12</v>
      </c>
      <c r="AS5" s="21">
        <f t="shared" ref="AS5:AT5" si="6">SUM(AP5)</f>
        <v>6</v>
      </c>
      <c r="AT5">
        <f t="shared" si="6"/>
        <v>6</v>
      </c>
      <c r="AU5">
        <f t="shared" si="7"/>
        <v>9</v>
      </c>
      <c r="AV5">
        <f t="shared" si="8"/>
        <v>8.7</v>
      </c>
      <c r="AW5">
        <f t="shared" si="9"/>
        <v>10</v>
      </c>
      <c r="AX5">
        <f t="shared" si="10"/>
        <v>9</v>
      </c>
      <c r="AY5">
        <f t="shared" ref="AY5:BD5" si="11">SUM(AJ5)</f>
        <v>0.2</v>
      </c>
      <c r="AZ5">
        <f t="shared" si="11"/>
        <v>0</v>
      </c>
      <c r="BA5">
        <f t="shared" si="11"/>
        <v>0.3</v>
      </c>
      <c r="BB5">
        <f t="shared" si="11"/>
        <v>0</v>
      </c>
      <c r="BC5">
        <f t="shared" si="11"/>
        <v>0</v>
      </c>
      <c r="BD5">
        <f t="shared" si="11"/>
        <v>0</v>
      </c>
      <c r="BE5">
        <f t="shared" si="12"/>
        <v>12</v>
      </c>
      <c r="BF5" s="4"/>
      <c r="BG5" s="50">
        <f t="shared" si="13"/>
        <v>61.2</v>
      </c>
      <c r="BH5" s="32">
        <v>1.0</v>
      </c>
    </row>
    <row r="6">
      <c r="A6" s="43">
        <v>465527.0</v>
      </c>
      <c r="B6" s="55" t="s">
        <v>390</v>
      </c>
      <c r="C6" s="24">
        <v>20020.0</v>
      </c>
      <c r="D6" s="25" t="s">
        <v>55</v>
      </c>
      <c r="E6" s="27" t="s">
        <v>56</v>
      </c>
      <c r="F6" s="27" t="s">
        <v>56</v>
      </c>
      <c r="G6" s="27" t="s">
        <v>56</v>
      </c>
      <c r="H6" s="27" t="s">
        <v>55</v>
      </c>
      <c r="I6" s="27" t="s">
        <v>55</v>
      </c>
      <c r="J6" s="27" t="s">
        <v>56</v>
      </c>
      <c r="K6" s="27" t="s">
        <v>56</v>
      </c>
      <c r="L6" s="27" t="s">
        <v>56</v>
      </c>
      <c r="M6" s="27" t="s">
        <v>56</v>
      </c>
      <c r="N6" s="27" t="s">
        <v>56</v>
      </c>
      <c r="O6" s="27" t="s">
        <v>56</v>
      </c>
      <c r="P6" s="27" t="s">
        <v>56</v>
      </c>
      <c r="Q6" s="27" t="s">
        <v>56</v>
      </c>
      <c r="R6" s="27" t="s">
        <v>56</v>
      </c>
      <c r="S6" s="27" t="s">
        <v>56</v>
      </c>
      <c r="T6" s="232">
        <v>2003.0</v>
      </c>
      <c r="W6" s="233"/>
      <c r="X6" s="21"/>
      <c r="AA6" s="233"/>
      <c r="AB6" s="21"/>
      <c r="AE6" s="233"/>
      <c r="AF6" s="21"/>
      <c r="AI6" s="233"/>
      <c r="AJ6" s="28"/>
      <c r="AQ6" s="4"/>
      <c r="AR6" s="28"/>
      <c r="AS6" s="21">
        <f t="shared" ref="AS6:AT6" si="14">SUM(AP6)</f>
        <v>0</v>
      </c>
      <c r="AT6">
        <f t="shared" si="14"/>
        <v>0</v>
      </c>
      <c r="AU6">
        <f t="shared" si="7"/>
        <v>0</v>
      </c>
      <c r="AV6">
        <f t="shared" si="8"/>
        <v>0</v>
      </c>
      <c r="AW6">
        <f t="shared" si="9"/>
        <v>0</v>
      </c>
      <c r="AX6">
        <f t="shared" si="10"/>
        <v>0</v>
      </c>
      <c r="AY6">
        <f t="shared" ref="AY6:BD6" si="15">SUM(AJ6)</f>
        <v>0</v>
      </c>
      <c r="AZ6">
        <f t="shared" si="15"/>
        <v>0</v>
      </c>
      <c r="BA6">
        <f t="shared" si="15"/>
        <v>0</v>
      </c>
      <c r="BB6">
        <f t="shared" si="15"/>
        <v>0</v>
      </c>
      <c r="BC6">
        <f t="shared" si="15"/>
        <v>0</v>
      </c>
      <c r="BD6">
        <f t="shared" si="15"/>
        <v>0</v>
      </c>
      <c r="BE6">
        <f t="shared" si="12"/>
        <v>0</v>
      </c>
      <c r="BF6" s="4"/>
      <c r="BG6" s="50">
        <f t="shared" si="13"/>
        <v>0</v>
      </c>
      <c r="BH6" s="32"/>
    </row>
    <row r="7">
      <c r="A7" s="43">
        <v>466080.0</v>
      </c>
      <c r="B7" s="55" t="s">
        <v>391</v>
      </c>
      <c r="C7" s="24">
        <v>20030.0</v>
      </c>
      <c r="D7" s="25" t="s">
        <v>55</v>
      </c>
      <c r="E7" s="27" t="s">
        <v>211</v>
      </c>
      <c r="F7" s="27" t="s">
        <v>55</v>
      </c>
      <c r="G7" s="27" t="s">
        <v>55</v>
      </c>
      <c r="H7" s="27" t="s">
        <v>211</v>
      </c>
      <c r="I7" s="27" t="s">
        <v>211</v>
      </c>
      <c r="J7" s="27" t="s">
        <v>211</v>
      </c>
      <c r="K7" s="27" t="s">
        <v>211</v>
      </c>
      <c r="L7" s="27" t="s">
        <v>211</v>
      </c>
      <c r="M7" s="27" t="s">
        <v>211</v>
      </c>
      <c r="N7" s="27" t="s">
        <v>56</v>
      </c>
      <c r="O7" s="27" t="s">
        <v>55</v>
      </c>
      <c r="P7" s="27" t="s">
        <v>211</v>
      </c>
      <c r="Q7" s="27" t="s">
        <v>211</v>
      </c>
      <c r="R7" s="27" t="s">
        <v>211</v>
      </c>
      <c r="S7" s="27" t="s">
        <v>211</v>
      </c>
      <c r="T7" s="232">
        <v>2004.0</v>
      </c>
      <c r="U7" s="36">
        <v>8.1</v>
      </c>
      <c r="W7" s="212">
        <v>45943.0</v>
      </c>
      <c r="X7" s="28">
        <v>2005.0</v>
      </c>
      <c r="Y7" s="36">
        <v>8.0</v>
      </c>
      <c r="AA7" s="212">
        <v>45971.0</v>
      </c>
      <c r="AB7" s="28">
        <v>29547.0</v>
      </c>
      <c r="AC7" s="36">
        <v>8.0</v>
      </c>
      <c r="AE7" s="24">
        <v>8.12</v>
      </c>
      <c r="AF7" s="28">
        <v>2007.0</v>
      </c>
      <c r="AG7" s="36">
        <v>8.0</v>
      </c>
      <c r="AI7" s="24">
        <v>22.12</v>
      </c>
      <c r="AJ7" s="28"/>
      <c r="AK7" s="36">
        <v>1.2</v>
      </c>
      <c r="AM7" s="36">
        <v>0.8</v>
      </c>
      <c r="AO7" s="36">
        <v>0.4</v>
      </c>
      <c r="AP7" s="36">
        <v>6.0</v>
      </c>
      <c r="AQ7" s="24">
        <v>6.0</v>
      </c>
      <c r="AR7" s="28">
        <f t="shared" ref="AR7:AR9" si="18">SUM(AP7:AQ7)</f>
        <v>12</v>
      </c>
      <c r="AS7" s="21">
        <f t="shared" ref="AS7:AT7" si="16">SUM(AP7)</f>
        <v>6</v>
      </c>
      <c r="AT7">
        <f t="shared" si="16"/>
        <v>6</v>
      </c>
      <c r="AU7">
        <f t="shared" si="7"/>
        <v>8.1</v>
      </c>
      <c r="AV7">
        <f t="shared" si="8"/>
        <v>8</v>
      </c>
      <c r="AW7">
        <f t="shared" si="9"/>
        <v>8</v>
      </c>
      <c r="AX7">
        <f t="shared" si="10"/>
        <v>8</v>
      </c>
      <c r="AY7">
        <f t="shared" ref="AY7:BD7" si="17">SUM(AJ7)</f>
        <v>0</v>
      </c>
      <c r="AZ7">
        <f t="shared" si="17"/>
        <v>1.2</v>
      </c>
      <c r="BA7">
        <f t="shared" si="17"/>
        <v>0</v>
      </c>
      <c r="BB7">
        <f t="shared" si="17"/>
        <v>0.8</v>
      </c>
      <c r="BC7">
        <f t="shared" si="17"/>
        <v>0</v>
      </c>
      <c r="BD7">
        <f t="shared" si="17"/>
        <v>0.4</v>
      </c>
      <c r="BE7">
        <f t="shared" si="12"/>
        <v>12</v>
      </c>
      <c r="BF7" s="24">
        <v>2.0</v>
      </c>
      <c r="BG7" s="50">
        <f t="shared" si="13"/>
        <v>60.5</v>
      </c>
      <c r="BH7" s="32">
        <v>1.0</v>
      </c>
    </row>
    <row r="8">
      <c r="A8" s="43">
        <v>466221.0</v>
      </c>
      <c r="B8" s="55" t="s">
        <v>392</v>
      </c>
      <c r="C8" s="24">
        <v>20050.0</v>
      </c>
      <c r="D8" s="25" t="s">
        <v>55</v>
      </c>
      <c r="E8" s="27" t="s">
        <v>56</v>
      </c>
      <c r="F8" s="27" t="s">
        <v>55</v>
      </c>
      <c r="G8" s="27" t="s">
        <v>56</v>
      </c>
      <c r="H8" s="27" t="s">
        <v>211</v>
      </c>
      <c r="I8" s="27" t="s">
        <v>211</v>
      </c>
      <c r="J8" s="27" t="s">
        <v>56</v>
      </c>
      <c r="K8" s="27" t="s">
        <v>211</v>
      </c>
      <c r="L8" s="27" t="s">
        <v>56</v>
      </c>
      <c r="M8" s="27" t="s">
        <v>211</v>
      </c>
      <c r="N8" s="27" t="s">
        <v>56</v>
      </c>
      <c r="O8" s="27" t="s">
        <v>55</v>
      </c>
      <c r="P8" s="27" t="s">
        <v>211</v>
      </c>
      <c r="Q8" s="27" t="s">
        <v>211</v>
      </c>
      <c r="R8" s="27" t="s">
        <v>55</v>
      </c>
      <c r="S8" s="27" t="s">
        <v>56</v>
      </c>
      <c r="T8" s="232">
        <v>2005.0</v>
      </c>
      <c r="U8" s="61">
        <v>8.5</v>
      </c>
      <c r="V8" s="58"/>
      <c r="W8" s="234">
        <v>45936.0</v>
      </c>
      <c r="X8" s="62">
        <v>45633.0</v>
      </c>
      <c r="Y8" s="61">
        <v>8.8</v>
      </c>
      <c r="Z8" s="58"/>
      <c r="AA8" s="234">
        <v>45971.0</v>
      </c>
      <c r="AB8" s="62">
        <v>23456.0</v>
      </c>
      <c r="AC8" s="36">
        <v>8.4</v>
      </c>
      <c r="AD8" s="36">
        <v>1.0</v>
      </c>
      <c r="AE8" s="24">
        <v>8.12</v>
      </c>
      <c r="AF8" s="28">
        <v>20078.0</v>
      </c>
      <c r="AG8" s="36">
        <v>7.0</v>
      </c>
      <c r="AI8" s="24">
        <v>17.02</v>
      </c>
      <c r="AJ8" s="28">
        <v>0.5</v>
      </c>
      <c r="AP8" s="36">
        <v>6.5</v>
      </c>
      <c r="AQ8" s="24">
        <v>6.0</v>
      </c>
      <c r="AR8" s="28">
        <f t="shared" si="18"/>
        <v>12.5</v>
      </c>
      <c r="AS8" s="21">
        <f t="shared" ref="AS8:AT8" si="19">SUM(AP8)</f>
        <v>6.5</v>
      </c>
      <c r="AT8">
        <f t="shared" si="19"/>
        <v>6</v>
      </c>
      <c r="AU8">
        <f t="shared" si="7"/>
        <v>8.5</v>
      </c>
      <c r="AV8">
        <f t="shared" si="8"/>
        <v>8.8</v>
      </c>
      <c r="AW8">
        <f t="shared" si="9"/>
        <v>9.4</v>
      </c>
      <c r="AX8">
        <f t="shared" si="10"/>
        <v>7</v>
      </c>
      <c r="AY8">
        <f t="shared" ref="AY8:BD8" si="20">SUM(AJ8)</f>
        <v>0.5</v>
      </c>
      <c r="AZ8">
        <f t="shared" si="20"/>
        <v>0</v>
      </c>
      <c r="BA8">
        <f t="shared" si="20"/>
        <v>0</v>
      </c>
      <c r="BB8">
        <f t="shared" si="20"/>
        <v>0</v>
      </c>
      <c r="BC8">
        <f t="shared" si="20"/>
        <v>0</v>
      </c>
      <c r="BD8">
        <f t="shared" si="20"/>
        <v>0</v>
      </c>
      <c r="BE8">
        <f t="shared" si="12"/>
        <v>12.5</v>
      </c>
      <c r="BF8" s="24">
        <v>1.0</v>
      </c>
      <c r="BG8" s="50">
        <f t="shared" si="13"/>
        <v>60.2</v>
      </c>
      <c r="BH8" s="32">
        <v>2.0</v>
      </c>
    </row>
    <row r="9">
      <c r="A9" s="43">
        <v>466342.0</v>
      </c>
      <c r="B9" s="55" t="s">
        <v>393</v>
      </c>
      <c r="C9" s="24">
        <v>20060.0</v>
      </c>
      <c r="D9" s="25" t="s">
        <v>55</v>
      </c>
      <c r="E9" s="27" t="s">
        <v>211</v>
      </c>
      <c r="F9" s="27" t="s">
        <v>211</v>
      </c>
      <c r="G9" s="27" t="s">
        <v>211</v>
      </c>
      <c r="H9" s="27" t="s">
        <v>211</v>
      </c>
      <c r="I9" s="27" t="s">
        <v>211</v>
      </c>
      <c r="J9" s="27" t="s">
        <v>211</v>
      </c>
      <c r="K9" s="27" t="s">
        <v>211</v>
      </c>
      <c r="L9" s="27" t="s">
        <v>211</v>
      </c>
      <c r="M9" s="27" t="s">
        <v>211</v>
      </c>
      <c r="N9" s="27" t="s">
        <v>211</v>
      </c>
      <c r="O9" s="27" t="s">
        <v>211</v>
      </c>
      <c r="P9" s="27" t="s">
        <v>211</v>
      </c>
      <c r="Q9" s="27" t="s">
        <v>211</v>
      </c>
      <c r="R9" s="27" t="s">
        <v>211</v>
      </c>
      <c r="S9" s="27" t="s">
        <v>211</v>
      </c>
      <c r="T9" s="232">
        <v>2006.0</v>
      </c>
      <c r="U9" s="36">
        <v>8.9</v>
      </c>
      <c r="V9" s="36">
        <v>1.0</v>
      </c>
      <c r="W9" s="212">
        <v>45929.0</v>
      </c>
      <c r="X9" s="28">
        <v>2089.0</v>
      </c>
      <c r="Y9" s="36">
        <v>9.0</v>
      </c>
      <c r="Z9" s="36">
        <v>1.0</v>
      </c>
      <c r="AA9" s="212">
        <v>45971.0</v>
      </c>
      <c r="AB9" s="28">
        <v>29752.0</v>
      </c>
      <c r="AC9" s="36">
        <v>8.9</v>
      </c>
      <c r="AD9" s="36">
        <v>1.0</v>
      </c>
      <c r="AE9" s="63">
        <v>45985.0</v>
      </c>
      <c r="AF9" s="28">
        <v>20658.0</v>
      </c>
      <c r="AG9" s="36">
        <v>9.0</v>
      </c>
      <c r="AH9" s="36">
        <v>1.0</v>
      </c>
      <c r="AI9" s="24">
        <v>22.12</v>
      </c>
      <c r="AJ9" s="28">
        <v>0.6</v>
      </c>
      <c r="AL9" s="36">
        <v>1.1</v>
      </c>
      <c r="AP9" s="36">
        <v>9.5</v>
      </c>
      <c r="AQ9" s="24">
        <v>7.5</v>
      </c>
      <c r="AR9" s="28">
        <f t="shared" si="18"/>
        <v>17</v>
      </c>
      <c r="AS9" s="21">
        <f t="shared" ref="AS9:AT9" si="21">SUM(AP9)</f>
        <v>9.5</v>
      </c>
      <c r="AT9">
        <f t="shared" si="21"/>
        <v>7.5</v>
      </c>
      <c r="AU9">
        <f t="shared" si="7"/>
        <v>9.9</v>
      </c>
      <c r="AV9">
        <f t="shared" si="8"/>
        <v>10</v>
      </c>
      <c r="AW9">
        <f t="shared" si="9"/>
        <v>9.9</v>
      </c>
      <c r="AX9">
        <f t="shared" si="10"/>
        <v>10</v>
      </c>
      <c r="AY9">
        <f t="shared" ref="AY9:BD9" si="22">SUM(AJ9)</f>
        <v>0.6</v>
      </c>
      <c r="AZ9">
        <f t="shared" si="22"/>
        <v>0</v>
      </c>
      <c r="BA9">
        <f t="shared" si="22"/>
        <v>1.1</v>
      </c>
      <c r="BB9">
        <f t="shared" si="22"/>
        <v>0</v>
      </c>
      <c r="BC9">
        <f t="shared" si="22"/>
        <v>0</v>
      </c>
      <c r="BD9">
        <f t="shared" si="22"/>
        <v>0</v>
      </c>
      <c r="BE9">
        <f t="shared" si="12"/>
        <v>17</v>
      </c>
      <c r="BF9" s="4"/>
      <c r="BG9" s="50">
        <f t="shared" si="13"/>
        <v>75.5</v>
      </c>
      <c r="BH9" s="32">
        <v>1.0</v>
      </c>
    </row>
    <row r="10">
      <c r="A10" s="43">
        <v>466785.0</v>
      </c>
      <c r="B10" s="55" t="s">
        <v>394</v>
      </c>
      <c r="C10" s="24">
        <v>20070.0</v>
      </c>
      <c r="D10" s="25" t="s">
        <v>55</v>
      </c>
      <c r="E10" s="27" t="s">
        <v>55</v>
      </c>
      <c r="F10" s="27" t="s">
        <v>55</v>
      </c>
      <c r="G10" s="27" t="s">
        <v>55</v>
      </c>
      <c r="H10" s="27" t="s">
        <v>56</v>
      </c>
      <c r="I10" s="27" t="s">
        <v>211</v>
      </c>
      <c r="J10" s="27" t="s">
        <v>211</v>
      </c>
      <c r="K10" s="27" t="s">
        <v>211</v>
      </c>
      <c r="L10" s="27" t="s">
        <v>211</v>
      </c>
      <c r="M10" s="27" t="s">
        <v>55</v>
      </c>
      <c r="N10" s="27" t="s">
        <v>211</v>
      </c>
      <c r="O10" s="27" t="s">
        <v>211</v>
      </c>
      <c r="P10" s="27" t="s">
        <v>211</v>
      </c>
      <c r="Q10" s="27" t="s">
        <v>211</v>
      </c>
      <c r="R10" s="27" t="s">
        <v>211</v>
      </c>
      <c r="S10" s="27" t="s">
        <v>211</v>
      </c>
      <c r="T10" s="232">
        <v>2007.0</v>
      </c>
      <c r="U10" s="36">
        <v>6.0</v>
      </c>
      <c r="W10" s="212">
        <v>45964.0</v>
      </c>
      <c r="X10" s="28">
        <v>20093.0</v>
      </c>
      <c r="Y10" s="36">
        <v>6.0</v>
      </c>
      <c r="AA10" s="24">
        <v>8.12</v>
      </c>
      <c r="AB10" s="28">
        <v>20386.0</v>
      </c>
      <c r="AE10" s="212"/>
      <c r="AF10" s="28"/>
      <c r="AI10" s="212"/>
      <c r="AJ10" s="28">
        <v>0.1</v>
      </c>
      <c r="AK10" s="36">
        <v>0.9</v>
      </c>
      <c r="AL10" s="36">
        <v>0.6</v>
      </c>
      <c r="AM10" s="36">
        <v>0.8</v>
      </c>
      <c r="AN10" s="36">
        <v>0.01</v>
      </c>
      <c r="AP10" s="36">
        <v>0.01</v>
      </c>
      <c r="AQ10" s="24">
        <v>6.0</v>
      </c>
      <c r="AR10" s="28"/>
      <c r="AS10" s="21">
        <f t="shared" ref="AS10:AT10" si="23">SUM(AP10)</f>
        <v>0.01</v>
      </c>
      <c r="AT10">
        <f t="shared" si="23"/>
        <v>6</v>
      </c>
      <c r="AU10">
        <f t="shared" si="7"/>
        <v>6</v>
      </c>
      <c r="AV10">
        <f t="shared" si="8"/>
        <v>6</v>
      </c>
      <c r="AW10">
        <f t="shared" si="9"/>
        <v>0</v>
      </c>
      <c r="AX10">
        <f t="shared" si="10"/>
        <v>0</v>
      </c>
      <c r="AY10">
        <f t="shared" ref="AY10:BD10" si="24">SUM(AJ10)</f>
        <v>0.1</v>
      </c>
      <c r="AZ10">
        <f t="shared" si="24"/>
        <v>0.9</v>
      </c>
      <c r="BA10">
        <f t="shared" si="24"/>
        <v>0.6</v>
      </c>
      <c r="BB10">
        <f t="shared" si="24"/>
        <v>0.8</v>
      </c>
      <c r="BC10">
        <f t="shared" si="24"/>
        <v>0.01</v>
      </c>
      <c r="BD10">
        <f t="shared" si="24"/>
        <v>0</v>
      </c>
      <c r="BE10">
        <f t="shared" si="12"/>
        <v>0</v>
      </c>
      <c r="BF10" s="4"/>
      <c r="BG10" s="50">
        <f t="shared" si="13"/>
        <v>20.42</v>
      </c>
      <c r="BH10" s="32"/>
    </row>
    <row r="11">
      <c r="A11" s="43">
        <v>467185.0</v>
      </c>
      <c r="B11" s="55" t="s">
        <v>395</v>
      </c>
      <c r="C11" s="24">
        <v>20080.0</v>
      </c>
      <c r="D11" s="25" t="s">
        <v>56</v>
      </c>
      <c r="E11" s="27" t="s">
        <v>55</v>
      </c>
      <c r="F11" s="27" t="s">
        <v>56</v>
      </c>
      <c r="G11" s="27" t="s">
        <v>56</v>
      </c>
      <c r="H11" s="27" t="s">
        <v>55</v>
      </c>
      <c r="I11" s="27" t="s">
        <v>56</v>
      </c>
      <c r="J11" s="27" t="s">
        <v>56</v>
      </c>
      <c r="K11" s="27" t="s">
        <v>55</v>
      </c>
      <c r="L11" s="27" t="s">
        <v>56</v>
      </c>
      <c r="M11" s="27" t="s">
        <v>56</v>
      </c>
      <c r="N11" s="27" t="s">
        <v>56</v>
      </c>
      <c r="O11" s="27" t="s">
        <v>56</v>
      </c>
      <c r="P11" s="27" t="s">
        <v>56</v>
      </c>
      <c r="Q11" s="27" t="s">
        <v>56</v>
      </c>
      <c r="R11" s="27" t="s">
        <v>56</v>
      </c>
      <c r="S11" s="27" t="s">
        <v>56</v>
      </c>
      <c r="T11" s="235">
        <v>2013.0</v>
      </c>
      <c r="W11" s="212"/>
      <c r="X11" s="28"/>
      <c r="AA11" s="212"/>
      <c r="AB11" s="28"/>
      <c r="AE11" s="212"/>
      <c r="AF11" s="28"/>
      <c r="AI11" s="212"/>
      <c r="AJ11" s="28">
        <v>0.3</v>
      </c>
      <c r="AP11" s="36">
        <v>0.01</v>
      </c>
      <c r="AQ11" s="24"/>
      <c r="AR11" s="28"/>
      <c r="AS11" s="21">
        <f t="shared" ref="AS11:AT11" si="25">SUM(AP11)</f>
        <v>0.01</v>
      </c>
      <c r="AT11">
        <f t="shared" si="25"/>
        <v>0</v>
      </c>
      <c r="AU11">
        <f t="shared" si="7"/>
        <v>0</v>
      </c>
      <c r="AV11">
        <f t="shared" si="8"/>
        <v>0</v>
      </c>
      <c r="AW11">
        <f t="shared" si="9"/>
        <v>0</v>
      </c>
      <c r="AX11">
        <f t="shared" si="10"/>
        <v>0</v>
      </c>
      <c r="AY11">
        <f t="shared" ref="AY11:BD11" si="26">SUM(AJ11)</f>
        <v>0.3</v>
      </c>
      <c r="AZ11">
        <f t="shared" si="26"/>
        <v>0</v>
      </c>
      <c r="BA11">
        <f t="shared" si="26"/>
        <v>0</v>
      </c>
      <c r="BB11">
        <f t="shared" si="26"/>
        <v>0</v>
      </c>
      <c r="BC11">
        <f t="shared" si="26"/>
        <v>0</v>
      </c>
      <c r="BD11">
        <f t="shared" si="26"/>
        <v>0</v>
      </c>
      <c r="BE11">
        <f t="shared" si="12"/>
        <v>0</v>
      </c>
      <c r="BF11" s="4"/>
      <c r="BG11" s="50">
        <f t="shared" si="13"/>
        <v>0.31</v>
      </c>
      <c r="BH11" s="32"/>
    </row>
    <row r="12">
      <c r="A12" s="43">
        <v>467329.0</v>
      </c>
      <c r="B12" s="55" t="s">
        <v>396</v>
      </c>
      <c r="C12" s="36">
        <v>20090.0</v>
      </c>
      <c r="D12" s="25" t="s">
        <v>55</v>
      </c>
      <c r="E12" s="27" t="s">
        <v>56</v>
      </c>
      <c r="F12" s="27" t="s">
        <v>56</v>
      </c>
      <c r="G12" s="27" t="s">
        <v>56</v>
      </c>
      <c r="H12" s="27" t="s">
        <v>56</v>
      </c>
      <c r="I12" s="27" t="s">
        <v>56</v>
      </c>
      <c r="J12" s="27" t="s">
        <v>56</v>
      </c>
      <c r="K12" s="27" t="s">
        <v>211</v>
      </c>
      <c r="L12" s="27" t="s">
        <v>56</v>
      </c>
      <c r="M12" s="27" t="s">
        <v>211</v>
      </c>
      <c r="N12" s="27" t="s">
        <v>211</v>
      </c>
      <c r="O12" s="27" t="s">
        <v>211</v>
      </c>
      <c r="P12" s="27" t="s">
        <v>55</v>
      </c>
      <c r="Q12" s="27" t="s">
        <v>56</v>
      </c>
      <c r="R12" s="27" t="s">
        <v>211</v>
      </c>
      <c r="S12" s="27" t="s">
        <v>56</v>
      </c>
      <c r="T12" s="232">
        <v>2008.0</v>
      </c>
      <c r="U12" s="36">
        <v>6.0</v>
      </c>
      <c r="W12" s="36">
        <v>24.11</v>
      </c>
      <c r="X12" s="28">
        <v>20988.0</v>
      </c>
      <c r="AA12" s="236"/>
      <c r="AB12" s="28"/>
      <c r="AE12" s="214"/>
      <c r="AF12" s="28"/>
      <c r="AI12" s="236"/>
      <c r="AJ12" s="28"/>
      <c r="AP12" s="36">
        <v>0.01</v>
      </c>
      <c r="AQ12" s="36">
        <v>0.01</v>
      </c>
      <c r="AR12" s="28"/>
      <c r="AS12" s="21">
        <f t="shared" ref="AS12:AT12" si="27">SUM(AP12)</f>
        <v>0.01</v>
      </c>
      <c r="AT12">
        <f t="shared" si="27"/>
        <v>0.01</v>
      </c>
      <c r="AU12">
        <f t="shared" si="7"/>
        <v>6</v>
      </c>
      <c r="AV12">
        <f t="shared" si="8"/>
        <v>0</v>
      </c>
      <c r="AW12">
        <f t="shared" si="9"/>
        <v>0</v>
      </c>
      <c r="AX12">
        <f t="shared" si="10"/>
        <v>0</v>
      </c>
      <c r="AY12">
        <f t="shared" ref="AY12:BD12" si="28">SUM(AJ12)</f>
        <v>0</v>
      </c>
      <c r="AZ12">
        <f t="shared" si="28"/>
        <v>0</v>
      </c>
      <c r="BA12">
        <f t="shared" si="28"/>
        <v>0</v>
      </c>
      <c r="BB12">
        <f t="shared" si="28"/>
        <v>0</v>
      </c>
      <c r="BC12">
        <f t="shared" si="28"/>
        <v>0</v>
      </c>
      <c r="BD12">
        <f t="shared" si="28"/>
        <v>0</v>
      </c>
      <c r="BE12">
        <f t="shared" si="12"/>
        <v>0</v>
      </c>
      <c r="BF12" s="4"/>
      <c r="BG12" s="50">
        <f t="shared" si="13"/>
        <v>6.02</v>
      </c>
      <c r="BH12" s="32"/>
    </row>
    <row r="13">
      <c r="A13" s="43">
        <v>409953.0</v>
      </c>
      <c r="B13" s="55" t="s">
        <v>397</v>
      </c>
      <c r="C13" s="24">
        <v>20110.0</v>
      </c>
      <c r="D13" s="25" t="s">
        <v>55</v>
      </c>
      <c r="E13" s="27" t="s">
        <v>56</v>
      </c>
      <c r="F13" s="27" t="s">
        <v>211</v>
      </c>
      <c r="G13" s="27" t="s">
        <v>211</v>
      </c>
      <c r="H13" s="27" t="s">
        <v>56</v>
      </c>
      <c r="I13" s="27" t="s">
        <v>56</v>
      </c>
      <c r="J13" s="27" t="s">
        <v>56</v>
      </c>
      <c r="K13" s="27" t="s">
        <v>211</v>
      </c>
      <c r="L13" s="27" t="s">
        <v>56</v>
      </c>
      <c r="M13" s="27" t="s">
        <v>56</v>
      </c>
      <c r="N13" s="27" t="s">
        <v>56</v>
      </c>
      <c r="O13" s="27" t="s">
        <v>56</v>
      </c>
      <c r="P13" s="27" t="s">
        <v>56</v>
      </c>
      <c r="Q13" s="27" t="s">
        <v>56</v>
      </c>
      <c r="R13" s="27" t="s">
        <v>56</v>
      </c>
      <c r="S13" s="27" t="s">
        <v>56</v>
      </c>
      <c r="T13" s="237">
        <v>2011.0</v>
      </c>
      <c r="U13" s="36">
        <v>10.0</v>
      </c>
      <c r="V13" s="36">
        <v>2.0</v>
      </c>
      <c r="W13" s="212">
        <v>45915.0</v>
      </c>
      <c r="X13" s="28">
        <v>5768.0</v>
      </c>
      <c r="Y13" s="36">
        <v>9.9</v>
      </c>
      <c r="Z13" s="36">
        <v>2.0</v>
      </c>
      <c r="AA13" s="212">
        <v>45936.0</v>
      </c>
      <c r="AB13" s="28">
        <v>45768.0</v>
      </c>
      <c r="AE13" s="212"/>
      <c r="AF13" s="28"/>
      <c r="AI13" s="212"/>
      <c r="AJ13" s="28"/>
      <c r="AQ13" s="24"/>
      <c r="AR13" s="28"/>
      <c r="AS13" s="21">
        <f t="shared" ref="AS13:AT13" si="29">SUM(AP13)</f>
        <v>0</v>
      </c>
      <c r="AT13">
        <f t="shared" si="29"/>
        <v>0</v>
      </c>
      <c r="AU13">
        <f t="shared" si="7"/>
        <v>12</v>
      </c>
      <c r="AV13">
        <f t="shared" si="8"/>
        <v>11.9</v>
      </c>
      <c r="AW13">
        <f t="shared" si="9"/>
        <v>0</v>
      </c>
      <c r="AX13">
        <f t="shared" si="10"/>
        <v>0</v>
      </c>
      <c r="AY13">
        <f t="shared" ref="AY13:BD13" si="30">SUM(AJ13)</f>
        <v>0</v>
      </c>
      <c r="AZ13">
        <f t="shared" si="30"/>
        <v>0</v>
      </c>
      <c r="BA13">
        <f t="shared" si="30"/>
        <v>0</v>
      </c>
      <c r="BB13">
        <f t="shared" si="30"/>
        <v>0</v>
      </c>
      <c r="BC13">
        <f t="shared" si="30"/>
        <v>0</v>
      </c>
      <c r="BD13">
        <f t="shared" si="30"/>
        <v>0</v>
      </c>
      <c r="BE13">
        <f t="shared" si="12"/>
        <v>0</v>
      </c>
      <c r="BF13" s="4"/>
      <c r="BG13" s="50">
        <f t="shared" si="13"/>
        <v>23.9</v>
      </c>
      <c r="BH13" s="32"/>
    </row>
    <row r="14">
      <c r="A14" s="43">
        <v>372978.0</v>
      </c>
      <c r="B14" s="55" t="s">
        <v>398</v>
      </c>
      <c r="C14" s="24">
        <v>20120.0</v>
      </c>
      <c r="D14" s="25" t="s">
        <v>55</v>
      </c>
      <c r="E14" s="27" t="s">
        <v>56</v>
      </c>
      <c r="F14" s="27" t="s">
        <v>56</v>
      </c>
      <c r="G14" s="27" t="s">
        <v>211</v>
      </c>
      <c r="H14" s="27" t="s">
        <v>56</v>
      </c>
      <c r="I14" s="27" t="s">
        <v>211</v>
      </c>
      <c r="J14" s="27" t="s">
        <v>211</v>
      </c>
      <c r="K14" s="27" t="s">
        <v>211</v>
      </c>
      <c r="L14" s="27" t="s">
        <v>211</v>
      </c>
      <c r="M14" s="27" t="s">
        <v>211</v>
      </c>
      <c r="N14" s="27" t="s">
        <v>211</v>
      </c>
      <c r="O14" s="27" t="s">
        <v>211</v>
      </c>
      <c r="P14" s="27" t="s">
        <v>55</v>
      </c>
      <c r="Q14" s="27" t="s">
        <v>56</v>
      </c>
      <c r="R14" s="27" t="s">
        <v>56</v>
      </c>
      <c r="S14" s="27" t="s">
        <v>56</v>
      </c>
      <c r="T14" s="238">
        <v>2010.0</v>
      </c>
      <c r="U14" s="36">
        <v>6.0</v>
      </c>
      <c r="W14" s="212">
        <v>45971.0</v>
      </c>
      <c r="X14" s="28">
        <v>45674.0</v>
      </c>
      <c r="Y14" s="36">
        <v>0.01</v>
      </c>
      <c r="AA14" s="212"/>
      <c r="AB14" s="28"/>
      <c r="AE14" s="212"/>
      <c r="AF14" s="28"/>
      <c r="AI14" s="212"/>
      <c r="AJ14" s="28"/>
      <c r="AK14" s="36">
        <v>1.2</v>
      </c>
      <c r="AL14" s="36">
        <v>1.0</v>
      </c>
      <c r="AM14" s="36">
        <v>1.1</v>
      </c>
      <c r="AP14" s="36">
        <v>0.01</v>
      </c>
      <c r="AQ14" s="24"/>
      <c r="AR14" s="28"/>
      <c r="AS14" s="21">
        <f t="shared" ref="AS14:AT14" si="31">SUM(AP14)</f>
        <v>0.01</v>
      </c>
      <c r="AT14">
        <f t="shared" si="31"/>
        <v>0</v>
      </c>
      <c r="AU14">
        <f t="shared" si="7"/>
        <v>6</v>
      </c>
      <c r="AV14">
        <f t="shared" si="8"/>
        <v>0.01</v>
      </c>
      <c r="AW14">
        <f t="shared" si="9"/>
        <v>0</v>
      </c>
      <c r="AX14">
        <f t="shared" si="10"/>
        <v>0</v>
      </c>
      <c r="AY14">
        <f t="shared" ref="AY14:BD14" si="32">SUM(AJ14)</f>
        <v>0</v>
      </c>
      <c r="AZ14">
        <f t="shared" si="32"/>
        <v>1.2</v>
      </c>
      <c r="BA14">
        <f t="shared" si="32"/>
        <v>1</v>
      </c>
      <c r="BB14">
        <f t="shared" si="32"/>
        <v>1.1</v>
      </c>
      <c r="BC14">
        <f t="shared" si="32"/>
        <v>0</v>
      </c>
      <c r="BD14">
        <f t="shared" si="32"/>
        <v>0</v>
      </c>
      <c r="BE14">
        <f t="shared" si="12"/>
        <v>0</v>
      </c>
      <c r="BF14" s="4"/>
      <c r="BG14" s="50">
        <f t="shared" si="13"/>
        <v>9.32</v>
      </c>
      <c r="BH14" s="32"/>
    </row>
    <row r="15">
      <c r="A15" s="36"/>
      <c r="T15" s="36"/>
      <c r="U15" s="36"/>
      <c r="V15" s="36"/>
      <c r="W15" s="37"/>
      <c r="Y15" s="36"/>
      <c r="Z15" s="36"/>
      <c r="AA15" s="37"/>
      <c r="AC15" s="36"/>
      <c r="AD15" s="36"/>
      <c r="AE15" s="37"/>
      <c r="AG15" s="36"/>
      <c r="AH15" s="36"/>
      <c r="AI15" s="36"/>
      <c r="AJ15" s="36"/>
      <c r="BG15" s="39"/>
      <c r="BH15" s="32"/>
    </row>
    <row r="16">
      <c r="A16" s="36"/>
      <c r="T16" s="36"/>
      <c r="U16" s="36"/>
      <c r="V16" s="36"/>
      <c r="W16" s="37"/>
      <c r="Y16" s="36"/>
      <c r="Z16" s="36"/>
      <c r="AA16" s="37"/>
      <c r="AC16" s="36"/>
      <c r="AD16" s="36"/>
      <c r="AE16" s="37"/>
      <c r="AG16" s="36"/>
      <c r="AH16" s="36"/>
      <c r="AI16" s="36"/>
      <c r="AJ16" s="36"/>
      <c r="AP16" s="36">
        <f t="shared" ref="AP16:AQ16" si="33">COUNTA($B$4:$B$14)-COUNTIF(AP4:AP14,"&gt;=6")</f>
        <v>6</v>
      </c>
      <c r="AQ16" s="36">
        <f t="shared" si="33"/>
        <v>5</v>
      </c>
      <c r="BG16" s="39"/>
      <c r="BH16" s="32"/>
    </row>
    <row r="17">
      <c r="A17" s="43">
        <v>466103.0</v>
      </c>
      <c r="B17" s="69" t="s">
        <v>399</v>
      </c>
      <c r="C17" s="24">
        <v>20040.0</v>
      </c>
      <c r="D17" s="25" t="s">
        <v>56</v>
      </c>
      <c r="E17" s="27" t="s">
        <v>211</v>
      </c>
      <c r="F17" s="27" t="s">
        <v>55</v>
      </c>
      <c r="G17" s="27" t="s">
        <v>211</v>
      </c>
      <c r="H17" s="27" t="s">
        <v>211</v>
      </c>
      <c r="I17" s="27" t="s">
        <v>56</v>
      </c>
      <c r="J17" s="27" t="s">
        <v>56</v>
      </c>
      <c r="K17" s="27" t="s">
        <v>211</v>
      </c>
      <c r="L17" s="27" t="s">
        <v>55</v>
      </c>
      <c r="M17" s="27" t="s">
        <v>56</v>
      </c>
      <c r="N17" s="27" t="s">
        <v>56</v>
      </c>
      <c r="O17" s="27" t="s">
        <v>56</v>
      </c>
      <c r="P17" s="27" t="s">
        <v>56</v>
      </c>
      <c r="Q17" s="27" t="s">
        <v>56</v>
      </c>
      <c r="R17" s="27" t="s">
        <v>56</v>
      </c>
      <c r="S17" s="27" t="s">
        <v>56</v>
      </c>
      <c r="T17" s="235">
        <v>2012.0</v>
      </c>
      <c r="W17" s="212"/>
      <c r="X17" s="28"/>
      <c r="AA17" s="212"/>
      <c r="AB17" s="28"/>
      <c r="AE17" s="212"/>
      <c r="AF17" s="28"/>
      <c r="AI17" s="212"/>
      <c r="AJ17" s="28"/>
      <c r="AK17" s="36">
        <v>1.0</v>
      </c>
      <c r="AM17" s="36">
        <v>0.8</v>
      </c>
      <c r="AP17" s="36">
        <v>8.0</v>
      </c>
      <c r="AQ17" s="24">
        <v>7.0</v>
      </c>
      <c r="AR17" s="30"/>
      <c r="AS17">
        <f t="shared" ref="AS17:AT17" si="34">SUM(AP17)</f>
        <v>8</v>
      </c>
      <c r="AT17">
        <f t="shared" si="34"/>
        <v>7</v>
      </c>
      <c r="AU17" s="21">
        <f>SUM(U17,V17)</f>
        <v>0</v>
      </c>
      <c r="AV17">
        <f>SUM(Y17,Z17)</f>
        <v>0</v>
      </c>
      <c r="AW17">
        <f>SUM(AC17,AD17)</f>
        <v>0</v>
      </c>
      <c r="AX17">
        <f>SUM(AG17,AH17)</f>
        <v>0</v>
      </c>
      <c r="AY17">
        <f t="shared" ref="AY17:BD17" si="35">SUM(AJ17)</f>
        <v>0</v>
      </c>
      <c r="AZ17">
        <f t="shared" si="35"/>
        <v>1</v>
      </c>
      <c r="BA17">
        <f t="shared" si="35"/>
        <v>0</v>
      </c>
      <c r="BB17">
        <f t="shared" si="35"/>
        <v>0.8</v>
      </c>
      <c r="BC17">
        <f t="shared" si="35"/>
        <v>0</v>
      </c>
      <c r="BD17">
        <f t="shared" si="35"/>
        <v>0</v>
      </c>
      <c r="BE17">
        <f>SUM(AR17)</f>
        <v>0</v>
      </c>
      <c r="BG17" s="31">
        <f>SUM(AU17:BF17)</f>
        <v>1.8</v>
      </c>
      <c r="BH17" s="32"/>
    </row>
  </sheetData>
  <mergeCells count="45">
    <mergeCell ref="N2:N3"/>
    <mergeCell ref="O2:O3"/>
    <mergeCell ref="P2:P3"/>
    <mergeCell ref="Q2:Q3"/>
    <mergeCell ref="R2:R3"/>
    <mergeCell ref="S2:S3"/>
    <mergeCell ref="T2:T3"/>
    <mergeCell ref="W2:W3"/>
    <mergeCell ref="X2:X3"/>
    <mergeCell ref="AA2:AA3"/>
    <mergeCell ref="AB2:AB3"/>
    <mergeCell ref="AE2:AE3"/>
    <mergeCell ref="AF2:AF3"/>
    <mergeCell ref="AI2:AI3"/>
    <mergeCell ref="A1:B1"/>
    <mergeCell ref="C1:C3"/>
    <mergeCell ref="D1:S1"/>
    <mergeCell ref="T1:W1"/>
    <mergeCell ref="X1:AA1"/>
    <mergeCell ref="AB1:AE1"/>
    <mergeCell ref="AF1:AI1"/>
    <mergeCell ref="AP2:AP3"/>
    <mergeCell ref="AQ2:AQ3"/>
    <mergeCell ref="AS1:BE2"/>
    <mergeCell ref="BG1:BG3"/>
    <mergeCell ref="BH1:BH3"/>
    <mergeCell ref="AJ2:AJ3"/>
    <mergeCell ref="AK2:AK3"/>
    <mergeCell ref="AL2:AL3"/>
    <mergeCell ref="AM2:AM3"/>
    <mergeCell ref="AR2:AR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N2:AN3"/>
    <mergeCell ref="AO2:AO3"/>
  </mergeCells>
  <conditionalFormatting sqref="AA4">
    <cfRule type="timePeriod" dxfId="0" priority="1" timePeriod="last7Days"/>
  </conditionalFormatting>
  <conditionalFormatting sqref="AE4">
    <cfRule type="timePeriod" dxfId="0" priority="2" timePeriod="last7Days"/>
  </conditionalFormatting>
  <conditionalFormatting sqref="AE4">
    <cfRule type="timePeriod" dxfId="0" priority="3" timePeriod="last7Days"/>
  </conditionalFormatting>
  <conditionalFormatting sqref="W4 AA4 AE4 AA13">
    <cfRule type="timePeriod" dxfId="0" priority="4" timePeriod="last7Days"/>
  </conditionalFormatting>
  <conditionalFormatting sqref="W4 AA13">
    <cfRule type="timePeriod" dxfId="0" priority="5" timePeriod="last7Days"/>
  </conditionalFormatting>
  <conditionalFormatting sqref="W4 AA13">
    <cfRule type="timePeriod" dxfId="0" priority="6" timePeriod="last7Days"/>
  </conditionalFormatting>
  <conditionalFormatting sqref="AE4">
    <cfRule type="timePeriod" dxfId="0" priority="7" timePeriod="last7Days"/>
  </conditionalFormatting>
  <conditionalFormatting sqref="AS4:BF17">
    <cfRule type="cellIs" dxfId="1" priority="8" operator="lessThan">
      <formula>0.1</formula>
    </cfRule>
  </conditionalFormatting>
  <conditionalFormatting sqref="AS4:BF17">
    <cfRule type="cellIs" dxfId="2" priority="9" operator="greaterThan">
      <formula>0.1</formula>
    </cfRule>
  </conditionalFormatting>
  <conditionalFormatting sqref="BG4:BH17">
    <cfRule type="cellIs" dxfId="3" priority="10" operator="between">
      <formula>60</formula>
      <formula>68</formula>
    </cfRule>
  </conditionalFormatting>
  <conditionalFormatting sqref="BG4:BH17">
    <cfRule type="cellIs" dxfId="4" priority="11" operator="between">
      <formula>68</formula>
      <formula>74</formula>
    </cfRule>
  </conditionalFormatting>
  <conditionalFormatting sqref="BG4:BH17">
    <cfRule type="cellIs" dxfId="2" priority="12" operator="between">
      <formula>74</formula>
      <formula>81</formula>
    </cfRule>
  </conditionalFormatting>
  <conditionalFormatting sqref="BG4:BH17">
    <cfRule type="cellIs" dxfId="5" priority="13" operator="between">
      <formula>81</formula>
      <formula>90</formula>
    </cfRule>
  </conditionalFormatting>
  <conditionalFormatting sqref="BG4:BH17">
    <cfRule type="cellIs" dxfId="6" priority="14" operator="greaterThan">
      <formula>90</formula>
    </cfRule>
  </conditionalFormatting>
  <conditionalFormatting sqref="AA4">
    <cfRule type="timePeriod" dxfId="0" priority="15" timePeriod="last7Days"/>
  </conditionalFormatting>
  <conditionalFormatting sqref="G4:G14 G17">
    <cfRule type="containsText" dxfId="7" priority="16" operator="containsText" text="н">
      <formula>NOT(ISERROR(SEARCH(("н"),(G4))))</formula>
    </cfRule>
  </conditionalFormatting>
  <conditionalFormatting sqref="G4:G14 G17">
    <cfRule type="containsText" dxfId="7" priority="17" operator="containsText" text="n">
      <formula>NOT(ISERROR(SEARCH(("n"),(G4))))</formula>
    </cfRule>
  </conditionalFormatting>
  <conditionalFormatting sqref="F4:F14 F17">
    <cfRule type="containsText" dxfId="7" priority="18" operator="containsText" text="н">
      <formula>NOT(ISERROR(SEARCH(("н"),(F4))))</formula>
    </cfRule>
  </conditionalFormatting>
  <conditionalFormatting sqref="F4:F14 F17">
    <cfRule type="containsText" dxfId="7" priority="19" operator="containsText" text="n">
      <formula>NOT(ISERROR(SEARCH(("n"),(F4))))</formula>
    </cfRule>
  </conditionalFormatting>
  <conditionalFormatting sqref="U4:V4">
    <cfRule type="cellIs" dxfId="8" priority="20" operator="equal">
      <formula>0</formula>
    </cfRule>
  </conditionalFormatting>
  <conditionalFormatting sqref="Y4:Z4">
    <cfRule type="cellIs" dxfId="8" priority="21" operator="equal">
      <formula>0</formula>
    </cfRule>
  </conditionalFormatting>
  <conditionalFormatting sqref="AC4:AD4">
    <cfRule type="cellIs" dxfId="8" priority="22" operator="equal">
      <formula>0</formula>
    </cfRule>
  </conditionalFormatting>
  <conditionalFormatting sqref="AG4:AH4">
    <cfRule type="cellIs" dxfId="8" priority="23" operator="equal">
      <formula>0</formula>
    </cfRule>
  </conditionalFormatting>
  <conditionalFormatting sqref="AJ4:AQ4">
    <cfRule type="cellIs" dxfId="8" priority="24" operator="equal">
      <formula>0</formula>
    </cfRule>
  </conditionalFormatting>
  <conditionalFormatting sqref="D1:S17">
    <cfRule type="containsText" dxfId="7" priority="25" operator="containsText" text="н">
      <formula>NOT(ISERROR(SEARCH(("н"),(D1))))</formula>
    </cfRule>
  </conditionalFormatting>
  <conditionalFormatting sqref="D1:S17">
    <cfRule type="containsText" dxfId="7" priority="26" operator="containsText" text="n">
      <formula>NOT(ISERROR(SEARCH(("n"),(D1))))</formula>
    </cfRule>
  </conditionalFormatting>
  <conditionalFormatting sqref="W4 AA13">
    <cfRule type="timePeriod" dxfId="0" priority="27" timePeriod="last7Days"/>
  </conditionalFormatting>
  <conditionalFormatting sqref="AA4">
    <cfRule type="timePeriod" dxfId="0" priority="28" timePeriod="last7Days"/>
  </conditionalFormatting>
  <conditionalFormatting sqref="AE4">
    <cfRule type="timePeriod" dxfId="0" priority="29" timePeriod="last7Days"/>
  </conditionalFormatting>
  <conditionalFormatting sqref="AI4">
    <cfRule type="timePeriod" dxfId="0" priority="30" timePeriod="last7Days"/>
  </conditionalFormatting>
  <conditionalFormatting sqref="BG1:BH17">
    <cfRule type="cellIs" dxfId="3" priority="31" operator="between">
      <formula>60</formula>
      <formula>68</formula>
    </cfRule>
  </conditionalFormatting>
  <conditionalFormatting sqref="AR4:AR17">
    <cfRule type="cellIs" dxfId="6" priority="32" operator="between">
      <formula>12</formula>
      <formula>1000</formula>
    </cfRule>
  </conditionalFormatting>
  <conditionalFormatting sqref="BG1:BH17">
    <cfRule type="cellIs" dxfId="4" priority="33" operator="between">
      <formula>68</formula>
      <formula>74</formula>
    </cfRule>
  </conditionalFormatting>
  <conditionalFormatting sqref="BG1:BH17">
    <cfRule type="cellIs" dxfId="2" priority="34" operator="between">
      <formula>74</formula>
      <formula>81</formula>
    </cfRule>
  </conditionalFormatting>
  <conditionalFormatting sqref="BG1:BH17">
    <cfRule type="cellIs" dxfId="5" priority="35" operator="between">
      <formula>81</formula>
      <formula>90</formula>
    </cfRule>
  </conditionalFormatting>
  <conditionalFormatting sqref="BG1:BH17">
    <cfRule type="cellIs" dxfId="6" priority="36" operator="greaterThan">
      <formula>90</formula>
    </cfRule>
  </conditionalFormatting>
  <conditionalFormatting sqref="D4:S14 D17:S17">
    <cfRule type="containsText" dxfId="9" priority="37" operator="containsText" text="w">
      <formula>NOT(ISERROR(SEARCH(("w"),(D4))))</formula>
    </cfRule>
  </conditionalFormatting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14" width="2.88"/>
    <col customWidth="1" min="15" max="19" width="6.88"/>
    <col customWidth="1" min="20" max="20" width="5.0"/>
    <col customWidth="1" min="21" max="21" width="3.88"/>
    <col customWidth="1" min="22" max="22" width="4.63"/>
    <col customWidth="1" min="23" max="23" width="6.5"/>
    <col customWidth="1" min="24" max="24" width="5.13"/>
    <col customWidth="1" min="25" max="25" width="4.0"/>
    <col customWidth="1" min="26" max="26" width="5.0"/>
    <col customWidth="1" min="27" max="27" width="6.38"/>
    <col customWidth="1" min="28" max="28" width="5.13"/>
    <col customWidth="1" min="29" max="29" width="4.0"/>
    <col customWidth="1" min="30" max="30" width="5.0"/>
    <col customWidth="1" min="31" max="31" width="7.63"/>
    <col customWidth="1" min="32" max="32" width="5.0"/>
    <col customWidth="1" min="33" max="33" width="4.5"/>
    <col customWidth="1" min="34" max="34" width="5.0"/>
    <col customWidth="1" min="35" max="35" width="5.63"/>
    <col customWidth="1" min="36" max="36" width="5.13"/>
    <col customWidth="1" min="37" max="37" width="5.38"/>
    <col customWidth="1" min="38" max="38" width="5.0"/>
    <col customWidth="1" min="39" max="40" width="5.38"/>
    <col customWidth="1" min="41" max="42" width="5.88"/>
    <col customWidth="1" min="43" max="43" width="5.63"/>
    <col customWidth="1" min="44" max="44" width="4.5"/>
    <col customWidth="1" min="45" max="45" width="4.38"/>
    <col customWidth="1" min="46" max="50" width="4.25"/>
    <col customWidth="1" min="51" max="51" width="4.63"/>
    <col customWidth="1" min="52" max="52" width="4.5"/>
    <col customWidth="1" min="53" max="54" width="4.63"/>
    <col customWidth="1" min="55" max="55" width="4.5"/>
    <col customWidth="1" min="56" max="57" width="4.38"/>
    <col customWidth="1" min="58" max="58" width="6.63"/>
    <col customWidth="1" min="59" max="59" width="3.25"/>
  </cols>
  <sheetData>
    <row r="1">
      <c r="A1" s="1" t="s">
        <v>132</v>
      </c>
      <c r="C1" s="2" t="s">
        <v>1</v>
      </c>
      <c r="D1" s="3" t="s">
        <v>2</v>
      </c>
      <c r="N1" s="4"/>
      <c r="O1" s="129"/>
      <c r="P1" s="129"/>
      <c r="Q1" s="129"/>
      <c r="R1" s="129"/>
      <c r="S1" s="5" t="s">
        <v>3</v>
      </c>
      <c r="V1" s="4"/>
      <c r="W1" s="5" t="s">
        <v>4</v>
      </c>
      <c r="Z1" s="4"/>
      <c r="AA1" s="5" t="s">
        <v>5</v>
      </c>
      <c r="AD1" s="4"/>
      <c r="AE1" s="5" t="s">
        <v>6</v>
      </c>
      <c r="AH1" s="4"/>
      <c r="AI1" s="3" t="s">
        <v>7</v>
      </c>
      <c r="AJ1" s="6" t="s">
        <v>8</v>
      </c>
      <c r="AK1" s="6" t="s">
        <v>9</v>
      </c>
      <c r="AL1" s="6" t="s">
        <v>10</v>
      </c>
      <c r="AM1" s="6" t="s">
        <v>11</v>
      </c>
      <c r="AN1" s="6" t="s">
        <v>12</v>
      </c>
      <c r="AO1" s="6" t="s">
        <v>13</v>
      </c>
      <c r="AP1" s="7" t="s">
        <v>14</v>
      </c>
      <c r="AQ1" s="3" t="s">
        <v>15</v>
      </c>
      <c r="AR1" s="6" t="s">
        <v>16</v>
      </c>
      <c r="BE1" s="7"/>
      <c r="BF1" s="41" t="s">
        <v>17</v>
      </c>
      <c r="BG1" s="10" t="s">
        <v>18</v>
      </c>
    </row>
    <row r="2">
      <c r="A2" s="11" t="s">
        <v>19</v>
      </c>
      <c r="B2" s="11" t="s">
        <v>20</v>
      </c>
      <c r="C2" s="4"/>
      <c r="D2" s="12">
        <v>45901.0</v>
      </c>
      <c r="E2" s="12">
        <f t="shared" ref="E2:K2" si="1">D2+14</f>
        <v>45915</v>
      </c>
      <c r="F2" s="12">
        <f t="shared" si="1"/>
        <v>45929</v>
      </c>
      <c r="G2" s="12">
        <f t="shared" si="1"/>
        <v>45943</v>
      </c>
      <c r="H2" s="12">
        <f t="shared" si="1"/>
        <v>45957</v>
      </c>
      <c r="I2" s="12">
        <f t="shared" si="1"/>
        <v>45971</v>
      </c>
      <c r="J2" s="12">
        <f t="shared" si="1"/>
        <v>45985</v>
      </c>
      <c r="K2" s="12">
        <f t="shared" si="1"/>
        <v>45999</v>
      </c>
      <c r="L2" s="13">
        <v>3.11</v>
      </c>
      <c r="M2" s="13"/>
      <c r="N2" s="13"/>
      <c r="O2" s="15"/>
      <c r="P2" s="15"/>
      <c r="Q2" s="15"/>
      <c r="R2" s="15"/>
      <c r="S2" s="14" t="s">
        <v>21</v>
      </c>
      <c r="T2" s="15" t="s">
        <v>22</v>
      </c>
      <c r="U2" s="15" t="s">
        <v>23</v>
      </c>
      <c r="V2" s="16" t="s">
        <v>24</v>
      </c>
      <c r="W2" s="14" t="s">
        <v>21</v>
      </c>
      <c r="X2" s="15" t="s">
        <v>22</v>
      </c>
      <c r="Y2" s="15" t="s">
        <v>23</v>
      </c>
      <c r="Z2" s="16" t="s">
        <v>24</v>
      </c>
      <c r="AA2" s="14" t="s">
        <v>21</v>
      </c>
      <c r="AB2" s="15" t="s">
        <v>22</v>
      </c>
      <c r="AC2" s="15" t="s">
        <v>23</v>
      </c>
      <c r="AD2" s="16" t="s">
        <v>24</v>
      </c>
      <c r="AE2" s="14" t="s">
        <v>21</v>
      </c>
      <c r="AF2" s="15" t="s">
        <v>22</v>
      </c>
      <c r="AG2" s="15" t="s">
        <v>23</v>
      </c>
      <c r="AH2" s="16" t="s">
        <v>24</v>
      </c>
      <c r="AI2" s="17" t="s">
        <v>25</v>
      </c>
      <c r="AJ2" s="18" t="s">
        <v>25</v>
      </c>
      <c r="AK2" s="18" t="s">
        <v>25</v>
      </c>
      <c r="AL2" s="18" t="s">
        <v>25</v>
      </c>
      <c r="AM2" s="18" t="s">
        <v>25</v>
      </c>
      <c r="AN2" s="18" t="s">
        <v>25</v>
      </c>
      <c r="AO2" s="15" t="s">
        <v>26</v>
      </c>
      <c r="AP2" s="19" t="s">
        <v>26</v>
      </c>
      <c r="AQ2" s="14" t="s">
        <v>27</v>
      </c>
      <c r="BE2" s="7"/>
      <c r="BF2" s="4"/>
    </row>
    <row r="3">
      <c r="C3" s="4"/>
      <c r="O3" s="15"/>
      <c r="P3" s="15"/>
      <c r="Q3" s="15"/>
      <c r="R3" s="15"/>
      <c r="S3" s="21"/>
      <c r="T3" s="15" t="s">
        <v>26</v>
      </c>
      <c r="U3" s="15" t="s">
        <v>28</v>
      </c>
      <c r="V3" s="4"/>
      <c r="W3" s="21"/>
      <c r="X3" s="15" t="s">
        <v>26</v>
      </c>
      <c r="Y3" s="15" t="s">
        <v>28</v>
      </c>
      <c r="Z3" s="4"/>
      <c r="AA3" s="21"/>
      <c r="AB3" s="15" t="s">
        <v>26</v>
      </c>
      <c r="AC3" s="15" t="s">
        <v>28</v>
      </c>
      <c r="AD3" s="4"/>
      <c r="AE3" s="21"/>
      <c r="AF3" s="15" t="s">
        <v>26</v>
      </c>
      <c r="AG3" s="15" t="s">
        <v>28</v>
      </c>
      <c r="AH3" s="4"/>
      <c r="AI3" s="21"/>
      <c r="AP3" s="4"/>
      <c r="AQ3" s="21"/>
      <c r="AR3" s="17" t="s">
        <v>29</v>
      </c>
      <c r="AS3" s="18" t="s">
        <v>30</v>
      </c>
      <c r="AT3" s="18" t="s">
        <v>3</v>
      </c>
      <c r="AU3" s="18" t="s">
        <v>4</v>
      </c>
      <c r="AV3" s="18" t="s">
        <v>5</v>
      </c>
      <c r="AW3" s="18" t="s">
        <v>6</v>
      </c>
      <c r="AX3" s="18" t="s">
        <v>7</v>
      </c>
      <c r="AY3" s="18" t="s">
        <v>8</v>
      </c>
      <c r="AZ3" s="18" t="s">
        <v>9</v>
      </c>
      <c r="BA3" s="18" t="s">
        <v>10</v>
      </c>
      <c r="BB3" s="18" t="s">
        <v>11</v>
      </c>
      <c r="BC3" s="18" t="s">
        <v>12</v>
      </c>
      <c r="BD3" s="18" t="s">
        <v>31</v>
      </c>
      <c r="BE3" s="23" t="s">
        <v>23</v>
      </c>
      <c r="BF3" s="4"/>
    </row>
    <row r="4">
      <c r="A4" s="43">
        <v>465228.0</v>
      </c>
      <c r="B4" s="55" t="s">
        <v>400</v>
      </c>
      <c r="C4" s="24"/>
      <c r="D4" s="25"/>
      <c r="E4" s="27" t="s">
        <v>56</v>
      </c>
      <c r="F4" s="27" t="s">
        <v>56</v>
      </c>
      <c r="G4" s="27" t="s">
        <v>56</v>
      </c>
      <c r="H4" s="27" t="s">
        <v>56</v>
      </c>
      <c r="I4" s="27" t="s">
        <v>56</v>
      </c>
      <c r="J4" s="27" t="s">
        <v>56</v>
      </c>
      <c r="K4" s="27" t="s">
        <v>56</v>
      </c>
      <c r="L4" s="27" t="s">
        <v>55</v>
      </c>
      <c r="M4" s="27" t="s">
        <v>55</v>
      </c>
      <c r="N4" s="27" t="s">
        <v>55</v>
      </c>
      <c r="O4" s="49" t="s">
        <v>55</v>
      </c>
      <c r="P4" s="49" t="s">
        <v>55</v>
      </c>
      <c r="Q4" s="49" t="s">
        <v>55</v>
      </c>
      <c r="R4" s="49" t="s">
        <v>55</v>
      </c>
      <c r="S4" s="43">
        <v>465228.0</v>
      </c>
      <c r="T4" s="36">
        <v>8.9</v>
      </c>
      <c r="U4" s="36"/>
      <c r="V4" s="24">
        <v>17.11</v>
      </c>
      <c r="W4" s="28">
        <v>12.0</v>
      </c>
      <c r="X4" s="36">
        <v>9.5</v>
      </c>
      <c r="Z4" s="24">
        <v>24.11</v>
      </c>
      <c r="AA4" s="28">
        <v>2391.0</v>
      </c>
      <c r="AB4" s="36">
        <v>9.0</v>
      </c>
      <c r="AD4" s="24">
        <v>8.12</v>
      </c>
      <c r="AE4" s="28">
        <v>15.0</v>
      </c>
      <c r="AF4" s="29">
        <v>9.5</v>
      </c>
      <c r="AG4" s="36">
        <v>2.0</v>
      </c>
      <c r="AH4" s="24">
        <v>15.12</v>
      </c>
      <c r="AI4" s="28"/>
      <c r="AJ4" s="36">
        <v>0.6</v>
      </c>
      <c r="AO4" s="36">
        <v>6.0</v>
      </c>
      <c r="AP4" s="24">
        <v>6.0</v>
      </c>
      <c r="AQ4" s="28">
        <f t="shared" ref="AQ4:AQ7" si="4">SUM(AO4:AP4)+1</f>
        <v>13</v>
      </c>
      <c r="AR4" s="21">
        <f t="shared" ref="AR4:AS4" si="2">SUM(AO4)</f>
        <v>6</v>
      </c>
      <c r="AS4">
        <f t="shared" si="2"/>
        <v>6</v>
      </c>
      <c r="AT4">
        <f t="shared" ref="AT4:AT17" si="6">SUM(T4,U4)</f>
        <v>8.9</v>
      </c>
      <c r="AU4">
        <f t="shared" ref="AU4:AU17" si="7">SUM(X4,Y4)</f>
        <v>9.5</v>
      </c>
      <c r="AV4">
        <f t="shared" ref="AV4:AV17" si="8">SUM(AB4,AC4)</f>
        <v>9</v>
      </c>
      <c r="AW4">
        <f t="shared" ref="AW4:AW5" si="9">SUM(AF4,AG3)</f>
        <v>9.5</v>
      </c>
      <c r="AX4">
        <f t="shared" ref="AX4:BC4" si="3">SUM(AI4)</f>
        <v>0</v>
      </c>
      <c r="AY4">
        <f t="shared" si="3"/>
        <v>0.6</v>
      </c>
      <c r="AZ4">
        <f t="shared" si="3"/>
        <v>0</v>
      </c>
      <c r="BA4">
        <f t="shared" si="3"/>
        <v>0</v>
      </c>
      <c r="BB4">
        <f t="shared" si="3"/>
        <v>0</v>
      </c>
      <c r="BC4">
        <f t="shared" si="3"/>
        <v>0</v>
      </c>
      <c r="BD4">
        <f t="shared" ref="BD4:BD17" si="11">SUM(AQ4)</f>
        <v>13</v>
      </c>
      <c r="BE4" s="4"/>
      <c r="BF4" s="50">
        <f t="shared" ref="BF4:BF17" si="12">SUM(AR4:BE4)</f>
        <v>62.5</v>
      </c>
      <c r="BG4" s="32">
        <v>1.0</v>
      </c>
    </row>
    <row r="5">
      <c r="A5" s="43">
        <v>465729.0</v>
      </c>
      <c r="B5" s="55" t="s">
        <v>401</v>
      </c>
      <c r="C5" s="24"/>
      <c r="D5" s="25"/>
      <c r="E5" s="27" t="s">
        <v>55</v>
      </c>
      <c r="F5" s="27" t="s">
        <v>56</v>
      </c>
      <c r="G5" s="27" t="s">
        <v>55</v>
      </c>
      <c r="H5" s="27" t="s">
        <v>55</v>
      </c>
      <c r="I5" s="27" t="s">
        <v>55</v>
      </c>
      <c r="J5" s="27" t="s">
        <v>56</v>
      </c>
      <c r="K5" s="27" t="s">
        <v>56</v>
      </c>
      <c r="L5" s="27" t="s">
        <v>56</v>
      </c>
      <c r="M5" s="27" t="s">
        <v>55</v>
      </c>
      <c r="N5" s="27" t="s">
        <v>55</v>
      </c>
      <c r="O5" s="49" t="s">
        <v>55</v>
      </c>
      <c r="P5" s="49" t="s">
        <v>56</v>
      </c>
      <c r="Q5" s="49" t="s">
        <v>56</v>
      </c>
      <c r="R5" s="49" t="s">
        <v>55</v>
      </c>
      <c r="S5" s="43">
        <v>465729.0</v>
      </c>
      <c r="T5" s="36">
        <v>8.8</v>
      </c>
      <c r="V5" s="24">
        <v>6.1</v>
      </c>
      <c r="W5" s="28">
        <v>14.0</v>
      </c>
      <c r="X5" s="36">
        <v>9.0</v>
      </c>
      <c r="Z5" s="24">
        <v>24.11</v>
      </c>
      <c r="AA5" s="28">
        <v>22.0</v>
      </c>
      <c r="AB5" s="36">
        <v>9.0</v>
      </c>
      <c r="AD5" s="24">
        <v>15.12</v>
      </c>
      <c r="AE5" s="28">
        <v>6666.0</v>
      </c>
      <c r="AF5" s="36">
        <v>8.5</v>
      </c>
      <c r="AH5" s="24">
        <v>17.01</v>
      </c>
      <c r="AI5" s="28">
        <v>0.2</v>
      </c>
      <c r="AO5" s="36">
        <v>6.0</v>
      </c>
      <c r="AP5" s="24">
        <v>6.0</v>
      </c>
      <c r="AQ5" s="28">
        <f t="shared" si="4"/>
        <v>13</v>
      </c>
      <c r="AR5" s="21">
        <f t="shared" ref="AR5:AS5" si="5">SUM(AO5)</f>
        <v>6</v>
      </c>
      <c r="AS5">
        <f t="shared" si="5"/>
        <v>6</v>
      </c>
      <c r="AT5">
        <f t="shared" si="6"/>
        <v>8.8</v>
      </c>
      <c r="AU5">
        <f t="shared" si="7"/>
        <v>9</v>
      </c>
      <c r="AV5">
        <f t="shared" si="8"/>
        <v>9</v>
      </c>
      <c r="AW5">
        <f t="shared" si="9"/>
        <v>10.5</v>
      </c>
      <c r="AX5">
        <f t="shared" ref="AX5:BC5" si="10">SUM(AI5)</f>
        <v>0.2</v>
      </c>
      <c r="AY5">
        <f t="shared" si="10"/>
        <v>0</v>
      </c>
      <c r="AZ5">
        <f t="shared" si="10"/>
        <v>0</v>
      </c>
      <c r="BA5">
        <f t="shared" si="10"/>
        <v>0</v>
      </c>
      <c r="BB5">
        <f t="shared" si="10"/>
        <v>0</v>
      </c>
      <c r="BC5">
        <f t="shared" si="10"/>
        <v>0</v>
      </c>
      <c r="BD5">
        <f t="shared" si="11"/>
        <v>13</v>
      </c>
      <c r="BE5" s="4"/>
      <c r="BF5" s="50">
        <f t="shared" si="12"/>
        <v>62.5</v>
      </c>
      <c r="BG5" s="32">
        <v>1.0</v>
      </c>
    </row>
    <row r="6">
      <c r="A6" s="35"/>
      <c r="B6" s="36" t="s">
        <v>399</v>
      </c>
      <c r="C6" s="4"/>
      <c r="D6" s="25"/>
      <c r="E6" s="27"/>
      <c r="F6" s="27"/>
      <c r="G6" s="27"/>
      <c r="H6" s="27"/>
      <c r="I6" s="27"/>
      <c r="J6" s="27"/>
      <c r="K6" s="27"/>
      <c r="L6" s="27"/>
      <c r="M6" s="27" t="s">
        <v>55</v>
      </c>
      <c r="N6" s="27" t="s">
        <v>55</v>
      </c>
      <c r="O6" s="36" t="s">
        <v>55</v>
      </c>
      <c r="P6" s="36" t="s">
        <v>55</v>
      </c>
      <c r="Q6" s="36" t="s">
        <v>55</v>
      </c>
      <c r="R6" s="36" t="s">
        <v>55</v>
      </c>
      <c r="S6" s="28"/>
      <c r="T6" s="36">
        <v>9.0</v>
      </c>
      <c r="V6" s="24">
        <v>24.11</v>
      </c>
      <c r="W6" s="28">
        <v>1611.0</v>
      </c>
      <c r="X6" s="36">
        <v>8.9</v>
      </c>
      <c r="Z6" s="24">
        <v>1.12</v>
      </c>
      <c r="AA6" s="28">
        <v>921.0</v>
      </c>
      <c r="AB6" s="36">
        <v>9.0</v>
      </c>
      <c r="AD6" s="24">
        <v>15.12</v>
      </c>
      <c r="AE6" s="28">
        <v>9999.0</v>
      </c>
      <c r="AF6" s="36">
        <v>9.3</v>
      </c>
      <c r="AH6" s="38"/>
      <c r="AI6" s="21"/>
      <c r="AJ6" s="36">
        <v>1.0</v>
      </c>
      <c r="AK6" s="36">
        <v>1.0</v>
      </c>
      <c r="AL6" s="36">
        <v>0.8</v>
      </c>
      <c r="AM6" s="36">
        <v>1.2</v>
      </c>
      <c r="AN6" s="36">
        <v>0.01</v>
      </c>
      <c r="AO6" s="36">
        <v>8.0</v>
      </c>
      <c r="AP6" s="24">
        <v>7.0</v>
      </c>
      <c r="AQ6" s="28">
        <f t="shared" si="4"/>
        <v>16</v>
      </c>
      <c r="AR6" s="21">
        <f t="shared" ref="AR6:AS6" si="13">SUM(AO6)</f>
        <v>8</v>
      </c>
      <c r="AS6">
        <f t="shared" si="13"/>
        <v>7</v>
      </c>
      <c r="AT6">
        <f t="shared" si="6"/>
        <v>9</v>
      </c>
      <c r="AU6">
        <f t="shared" si="7"/>
        <v>8.9</v>
      </c>
      <c r="AV6">
        <f t="shared" si="8"/>
        <v>9</v>
      </c>
      <c r="AW6">
        <f t="shared" ref="AW6:AW17" si="16">SUM(AF6,AG6)</f>
        <v>9.3</v>
      </c>
      <c r="AX6">
        <f t="shared" ref="AX6:BC6" si="14">SUM(AI6)</f>
        <v>0</v>
      </c>
      <c r="AY6">
        <f t="shared" si="14"/>
        <v>1</v>
      </c>
      <c r="AZ6">
        <f t="shared" si="14"/>
        <v>1</v>
      </c>
      <c r="BA6">
        <f t="shared" si="14"/>
        <v>0.8</v>
      </c>
      <c r="BB6">
        <f t="shared" si="14"/>
        <v>1.2</v>
      </c>
      <c r="BC6">
        <f t="shared" si="14"/>
        <v>0.01</v>
      </c>
      <c r="BD6">
        <f t="shared" si="11"/>
        <v>16</v>
      </c>
      <c r="BE6" s="24">
        <v>3.0</v>
      </c>
      <c r="BF6" s="50">
        <f t="shared" si="12"/>
        <v>74.21</v>
      </c>
      <c r="BG6" s="32">
        <v>1.0</v>
      </c>
    </row>
    <row r="7">
      <c r="A7" s="43">
        <v>408953.0</v>
      </c>
      <c r="B7" s="55" t="s">
        <v>402</v>
      </c>
      <c r="C7" s="24"/>
      <c r="D7" s="25"/>
      <c r="E7" s="27" t="s">
        <v>56</v>
      </c>
      <c r="F7" s="27" t="s">
        <v>56</v>
      </c>
      <c r="G7" s="27" t="s">
        <v>55</v>
      </c>
      <c r="H7" s="27" t="s">
        <v>55</v>
      </c>
      <c r="I7" s="27" t="s">
        <v>56</v>
      </c>
      <c r="J7" s="27" t="s">
        <v>56</v>
      </c>
      <c r="K7" s="27" t="s">
        <v>56</v>
      </c>
      <c r="L7" s="27" t="s">
        <v>55</v>
      </c>
      <c r="M7" s="27" t="s">
        <v>55</v>
      </c>
      <c r="N7" s="27" t="s">
        <v>56</v>
      </c>
      <c r="O7" s="49" t="s">
        <v>55</v>
      </c>
      <c r="P7" s="49" t="s">
        <v>55</v>
      </c>
      <c r="Q7" s="49" t="s">
        <v>55</v>
      </c>
      <c r="R7" s="49" t="s">
        <v>56</v>
      </c>
      <c r="S7" s="43">
        <v>408953.0</v>
      </c>
      <c r="T7" s="36">
        <v>8.8</v>
      </c>
      <c r="V7" s="24" t="s">
        <v>403</v>
      </c>
      <c r="W7" s="28">
        <v>123.0</v>
      </c>
      <c r="X7" s="36">
        <v>9.0</v>
      </c>
      <c r="Z7" s="24">
        <v>10.11</v>
      </c>
      <c r="AA7" s="28">
        <v>1918.0</v>
      </c>
      <c r="AB7" s="36">
        <v>9.0</v>
      </c>
      <c r="AD7" s="24">
        <v>8.12</v>
      </c>
      <c r="AE7" s="28">
        <v>66.0</v>
      </c>
      <c r="AF7" s="36">
        <v>8.5</v>
      </c>
      <c r="AH7" s="24">
        <v>17.01</v>
      </c>
      <c r="AI7" s="28"/>
      <c r="AO7" s="36">
        <v>8.5</v>
      </c>
      <c r="AP7" s="24">
        <v>6.0</v>
      </c>
      <c r="AQ7" s="28">
        <f t="shared" si="4"/>
        <v>15.5</v>
      </c>
      <c r="AR7" s="21">
        <f t="shared" ref="AR7:AS7" si="15">SUM(AO7)</f>
        <v>8.5</v>
      </c>
      <c r="AS7">
        <f t="shared" si="15"/>
        <v>6</v>
      </c>
      <c r="AT7">
        <f t="shared" si="6"/>
        <v>8.8</v>
      </c>
      <c r="AU7">
        <f t="shared" si="7"/>
        <v>9</v>
      </c>
      <c r="AV7">
        <f t="shared" si="8"/>
        <v>9</v>
      </c>
      <c r="AW7">
        <f t="shared" si="16"/>
        <v>8.5</v>
      </c>
      <c r="AX7">
        <f t="shared" ref="AX7:BC7" si="17">SUM(AI7)</f>
        <v>0</v>
      </c>
      <c r="AY7">
        <f t="shared" si="17"/>
        <v>0</v>
      </c>
      <c r="AZ7">
        <f t="shared" si="17"/>
        <v>0</v>
      </c>
      <c r="BA7">
        <f t="shared" si="17"/>
        <v>0</v>
      </c>
      <c r="BB7">
        <f t="shared" si="17"/>
        <v>0</v>
      </c>
      <c r="BC7">
        <f t="shared" si="17"/>
        <v>0</v>
      </c>
      <c r="BD7">
        <f t="shared" si="11"/>
        <v>15.5</v>
      </c>
      <c r="BE7" s="4"/>
      <c r="BF7" s="50">
        <f t="shared" si="12"/>
        <v>65.3</v>
      </c>
      <c r="BG7" s="32">
        <v>1.0</v>
      </c>
    </row>
    <row r="8">
      <c r="A8" s="43">
        <v>466482.0</v>
      </c>
      <c r="B8" s="55" t="s">
        <v>404</v>
      </c>
      <c r="C8" s="24"/>
      <c r="D8" s="34"/>
      <c r="E8" s="27" t="s">
        <v>56</v>
      </c>
      <c r="F8" s="27" t="s">
        <v>56</v>
      </c>
      <c r="G8" s="27" t="s">
        <v>55</v>
      </c>
      <c r="H8" s="27" t="s">
        <v>55</v>
      </c>
      <c r="I8" s="27" t="s">
        <v>55</v>
      </c>
      <c r="J8" s="27" t="s">
        <v>55</v>
      </c>
      <c r="K8" s="27" t="s">
        <v>55</v>
      </c>
      <c r="L8" s="27" t="s">
        <v>55</v>
      </c>
      <c r="M8" s="27" t="s">
        <v>56</v>
      </c>
      <c r="N8" s="27" t="s">
        <v>56</v>
      </c>
      <c r="O8" s="49" t="s">
        <v>56</v>
      </c>
      <c r="P8" s="49" t="s">
        <v>56</v>
      </c>
      <c r="Q8" s="49" t="s">
        <v>56</v>
      </c>
      <c r="R8" s="49" t="s">
        <v>56</v>
      </c>
      <c r="S8" s="43">
        <v>466482.0</v>
      </c>
      <c r="T8" s="36">
        <v>8.5</v>
      </c>
      <c r="V8" s="24">
        <v>6.1</v>
      </c>
      <c r="W8" s="28">
        <v>198.0</v>
      </c>
      <c r="Z8" s="33"/>
      <c r="AA8" s="28"/>
      <c r="AD8" s="33"/>
      <c r="AE8" s="28"/>
      <c r="AH8" s="24"/>
      <c r="AI8" s="28"/>
      <c r="AO8" s="36">
        <v>0.01</v>
      </c>
      <c r="AP8" s="24"/>
      <c r="AQ8" s="28"/>
      <c r="AR8" s="21">
        <f t="shared" ref="AR8:AS8" si="18">SUM(AO8)</f>
        <v>0.01</v>
      </c>
      <c r="AS8">
        <f t="shared" si="18"/>
        <v>0</v>
      </c>
      <c r="AT8">
        <f t="shared" si="6"/>
        <v>8.5</v>
      </c>
      <c r="AU8">
        <f t="shared" si="7"/>
        <v>0</v>
      </c>
      <c r="AV8">
        <f t="shared" si="8"/>
        <v>0</v>
      </c>
      <c r="AW8">
        <f t="shared" si="16"/>
        <v>0</v>
      </c>
      <c r="AX8">
        <f t="shared" ref="AX8:BC8" si="19">SUM(AI8)</f>
        <v>0</v>
      </c>
      <c r="AY8">
        <f t="shared" si="19"/>
        <v>0</v>
      </c>
      <c r="AZ8">
        <f t="shared" si="19"/>
        <v>0</v>
      </c>
      <c r="BA8">
        <f t="shared" si="19"/>
        <v>0</v>
      </c>
      <c r="BB8">
        <f t="shared" si="19"/>
        <v>0</v>
      </c>
      <c r="BC8">
        <f t="shared" si="19"/>
        <v>0</v>
      </c>
      <c r="BD8">
        <f t="shared" si="11"/>
        <v>0</v>
      </c>
      <c r="BE8" s="4"/>
      <c r="BF8" s="50">
        <f t="shared" si="12"/>
        <v>8.51</v>
      </c>
      <c r="BG8" s="32"/>
    </row>
    <row r="9">
      <c r="A9" s="43">
        <v>472174.0</v>
      </c>
      <c r="B9" s="55" t="s">
        <v>405</v>
      </c>
      <c r="C9" s="4"/>
      <c r="D9" s="25"/>
      <c r="E9" s="27" t="s">
        <v>55</v>
      </c>
      <c r="F9" s="27" t="s">
        <v>56</v>
      </c>
      <c r="G9" s="27" t="s">
        <v>56</v>
      </c>
      <c r="H9" s="27" t="s">
        <v>56</v>
      </c>
      <c r="I9" s="27" t="s">
        <v>55</v>
      </c>
      <c r="J9" s="27" t="s">
        <v>55</v>
      </c>
      <c r="K9" s="27" t="s">
        <v>55</v>
      </c>
      <c r="L9" s="27" t="s">
        <v>56</v>
      </c>
      <c r="M9" s="27" t="s">
        <v>55</v>
      </c>
      <c r="N9" s="27" t="s">
        <v>55</v>
      </c>
      <c r="O9" s="49" t="s">
        <v>55</v>
      </c>
      <c r="P9" s="49" t="s">
        <v>55</v>
      </c>
      <c r="Q9" s="49" t="s">
        <v>55</v>
      </c>
      <c r="R9" s="49" t="s">
        <v>55</v>
      </c>
      <c r="S9" s="43">
        <v>472174.0</v>
      </c>
      <c r="T9" s="61">
        <v>8.7</v>
      </c>
      <c r="U9" s="58"/>
      <c r="V9" s="109">
        <v>27.1</v>
      </c>
      <c r="W9" s="62">
        <v>26.0</v>
      </c>
      <c r="X9" s="61">
        <v>8.8</v>
      </c>
      <c r="Y9" s="58"/>
      <c r="Z9" s="109">
        <v>1.12</v>
      </c>
      <c r="AA9" s="62">
        <v>9.0</v>
      </c>
      <c r="AB9" s="36">
        <v>9.0</v>
      </c>
      <c r="AD9" s="24">
        <v>15.12</v>
      </c>
      <c r="AE9" s="28">
        <v>831.0</v>
      </c>
      <c r="AF9" s="36">
        <v>8.0</v>
      </c>
      <c r="AH9" s="63"/>
      <c r="AI9" s="28">
        <v>0.4</v>
      </c>
      <c r="AO9" s="36">
        <v>6.0</v>
      </c>
      <c r="AP9" s="24">
        <v>8.0</v>
      </c>
      <c r="AQ9" s="28">
        <f t="shared" ref="AQ9:AQ10" si="22">SUM(AO9:AP9)+1</f>
        <v>15</v>
      </c>
      <c r="AR9" s="21">
        <f t="shared" ref="AR9:AS9" si="20">SUM(AO9)</f>
        <v>6</v>
      </c>
      <c r="AS9">
        <f t="shared" si="20"/>
        <v>8</v>
      </c>
      <c r="AT9">
        <f t="shared" si="6"/>
        <v>8.7</v>
      </c>
      <c r="AU9">
        <f t="shared" si="7"/>
        <v>8.8</v>
      </c>
      <c r="AV9">
        <f t="shared" si="8"/>
        <v>9</v>
      </c>
      <c r="AW9">
        <f t="shared" si="16"/>
        <v>8</v>
      </c>
      <c r="AX9">
        <f t="shared" ref="AX9:BC9" si="21">SUM(AI9)</f>
        <v>0.4</v>
      </c>
      <c r="AY9">
        <f t="shared" si="21"/>
        <v>0</v>
      </c>
      <c r="AZ9">
        <f t="shared" si="21"/>
        <v>0</v>
      </c>
      <c r="BA9">
        <f t="shared" si="21"/>
        <v>0</v>
      </c>
      <c r="BB9">
        <f t="shared" si="21"/>
        <v>0</v>
      </c>
      <c r="BC9">
        <f t="shared" si="21"/>
        <v>0</v>
      </c>
      <c r="BD9">
        <f t="shared" si="11"/>
        <v>15</v>
      </c>
      <c r="BE9" s="4"/>
      <c r="BF9" s="50">
        <f t="shared" si="12"/>
        <v>63.9</v>
      </c>
      <c r="BG9" s="32">
        <v>1.0</v>
      </c>
    </row>
    <row r="10">
      <c r="A10" s="43">
        <v>413020.0</v>
      </c>
      <c r="B10" s="55" t="s">
        <v>406</v>
      </c>
      <c r="C10" s="24"/>
      <c r="D10" s="34"/>
      <c r="E10" s="27" t="s">
        <v>56</v>
      </c>
      <c r="F10" s="27" t="s">
        <v>55</v>
      </c>
      <c r="G10" s="27" t="s">
        <v>55</v>
      </c>
      <c r="H10" s="27" t="s">
        <v>55</v>
      </c>
      <c r="I10" s="27" t="s">
        <v>55</v>
      </c>
      <c r="J10" s="27" t="s">
        <v>55</v>
      </c>
      <c r="K10" s="27" t="s">
        <v>56</v>
      </c>
      <c r="L10" s="27" t="s">
        <v>55</v>
      </c>
      <c r="M10" s="27" t="s">
        <v>55</v>
      </c>
      <c r="N10" s="27" t="s">
        <v>55</v>
      </c>
      <c r="O10" s="49" t="s">
        <v>55</v>
      </c>
      <c r="P10" s="49" t="s">
        <v>55</v>
      </c>
      <c r="Q10" s="49" t="s">
        <v>56</v>
      </c>
      <c r="R10" s="49" t="s">
        <v>55</v>
      </c>
      <c r="S10" s="43">
        <v>413020.0</v>
      </c>
      <c r="T10" s="36">
        <v>8.7</v>
      </c>
      <c r="V10" s="24">
        <v>27.1</v>
      </c>
      <c r="W10" s="28">
        <v>99.0</v>
      </c>
      <c r="X10" s="36">
        <v>8.8</v>
      </c>
      <c r="Z10" s="24">
        <v>1.12</v>
      </c>
      <c r="AA10" s="28">
        <v>135.0</v>
      </c>
      <c r="AB10" s="36">
        <v>9.0</v>
      </c>
      <c r="AD10" s="24">
        <v>15.12</v>
      </c>
      <c r="AE10" s="28">
        <v>444.0</v>
      </c>
      <c r="AF10" s="36">
        <v>8.5</v>
      </c>
      <c r="AH10" s="63"/>
      <c r="AI10" s="28"/>
      <c r="AJ10" s="36">
        <v>0.5</v>
      </c>
      <c r="AL10" s="36">
        <v>1.2</v>
      </c>
      <c r="AN10" s="36">
        <v>1.2</v>
      </c>
      <c r="AO10" s="36">
        <v>8.5</v>
      </c>
      <c r="AP10" s="24">
        <v>8.0</v>
      </c>
      <c r="AQ10" s="28">
        <f t="shared" si="22"/>
        <v>17.5</v>
      </c>
      <c r="AR10" s="21">
        <f t="shared" ref="AR10:AS10" si="23">SUM(AO10)</f>
        <v>8.5</v>
      </c>
      <c r="AS10">
        <f t="shared" si="23"/>
        <v>8</v>
      </c>
      <c r="AT10">
        <f t="shared" si="6"/>
        <v>8.7</v>
      </c>
      <c r="AU10">
        <f t="shared" si="7"/>
        <v>8.8</v>
      </c>
      <c r="AV10">
        <f t="shared" si="8"/>
        <v>9</v>
      </c>
      <c r="AW10">
        <f t="shared" si="16"/>
        <v>8.5</v>
      </c>
      <c r="AX10">
        <f t="shared" ref="AX10:BC10" si="24">SUM(AI10)</f>
        <v>0</v>
      </c>
      <c r="AY10">
        <f t="shared" si="24"/>
        <v>0.5</v>
      </c>
      <c r="AZ10">
        <f t="shared" si="24"/>
        <v>0</v>
      </c>
      <c r="BA10">
        <f t="shared" si="24"/>
        <v>1.2</v>
      </c>
      <c r="BB10">
        <f t="shared" si="24"/>
        <v>0</v>
      </c>
      <c r="BC10">
        <f t="shared" si="24"/>
        <v>1.2</v>
      </c>
      <c r="BD10">
        <f t="shared" si="11"/>
        <v>17.5</v>
      </c>
      <c r="BE10" s="4"/>
      <c r="BF10" s="50">
        <f t="shared" si="12"/>
        <v>71.9</v>
      </c>
      <c r="BG10" s="32">
        <v>1.0</v>
      </c>
    </row>
    <row r="11">
      <c r="A11" s="43">
        <v>466866.0</v>
      </c>
      <c r="B11" s="55" t="s">
        <v>407</v>
      </c>
      <c r="C11" s="24"/>
      <c r="D11" s="34"/>
      <c r="E11" s="27" t="s">
        <v>56</v>
      </c>
      <c r="F11" s="27" t="s">
        <v>56</v>
      </c>
      <c r="G11" s="27" t="s">
        <v>56</v>
      </c>
      <c r="H11" s="27" t="s">
        <v>56</v>
      </c>
      <c r="I11" s="27" t="s">
        <v>56</v>
      </c>
      <c r="J11" s="27" t="s">
        <v>56</v>
      </c>
      <c r="K11" s="27" t="s">
        <v>55</v>
      </c>
      <c r="L11" s="27" t="s">
        <v>56</v>
      </c>
      <c r="M11" s="27" t="s">
        <v>56</v>
      </c>
      <c r="N11" s="27" t="s">
        <v>55</v>
      </c>
      <c r="O11" s="49" t="s">
        <v>55</v>
      </c>
      <c r="P11" s="49" t="s">
        <v>55</v>
      </c>
      <c r="Q11" s="49" t="s">
        <v>55</v>
      </c>
      <c r="R11" s="49" t="s">
        <v>56</v>
      </c>
      <c r="S11" s="43">
        <v>466866.0</v>
      </c>
      <c r="T11" s="36">
        <v>8.8</v>
      </c>
      <c r="V11" s="24">
        <v>27.1</v>
      </c>
      <c r="W11" s="28">
        <v>1198.0</v>
      </c>
      <c r="X11" s="36">
        <v>9.0</v>
      </c>
      <c r="Z11" s="24">
        <v>8.12</v>
      </c>
      <c r="AA11" s="28">
        <v>22.0</v>
      </c>
      <c r="AB11" s="36">
        <v>8.5</v>
      </c>
      <c r="AD11" s="24">
        <v>17.01</v>
      </c>
      <c r="AE11" s="28">
        <v>22.0</v>
      </c>
      <c r="AF11" s="36">
        <v>7.0</v>
      </c>
      <c r="AH11" s="24"/>
      <c r="AI11" s="28">
        <v>0.2</v>
      </c>
      <c r="AM11" s="36">
        <v>1.6</v>
      </c>
      <c r="AN11" s="36">
        <v>0.4</v>
      </c>
      <c r="AO11" s="36">
        <v>6.0</v>
      </c>
      <c r="AP11" s="24">
        <v>7.25</v>
      </c>
      <c r="AQ11" s="28">
        <f>SUM(AO11:AP11)</f>
        <v>13.25</v>
      </c>
      <c r="AR11" s="21">
        <f t="shared" ref="AR11:AS11" si="25">SUM(AO11)</f>
        <v>6</v>
      </c>
      <c r="AS11">
        <f t="shared" si="25"/>
        <v>7.25</v>
      </c>
      <c r="AT11">
        <f t="shared" si="6"/>
        <v>8.8</v>
      </c>
      <c r="AU11">
        <f t="shared" si="7"/>
        <v>9</v>
      </c>
      <c r="AV11">
        <f t="shared" si="8"/>
        <v>8.5</v>
      </c>
      <c r="AW11">
        <f t="shared" si="16"/>
        <v>7</v>
      </c>
      <c r="AX11">
        <f t="shared" ref="AX11:BC11" si="26">SUM(AI11)</f>
        <v>0.2</v>
      </c>
      <c r="AY11">
        <f t="shared" si="26"/>
        <v>0</v>
      </c>
      <c r="AZ11">
        <f t="shared" si="26"/>
        <v>0</v>
      </c>
      <c r="BA11">
        <f t="shared" si="26"/>
        <v>0</v>
      </c>
      <c r="BB11">
        <f t="shared" si="26"/>
        <v>1.6</v>
      </c>
      <c r="BC11">
        <f t="shared" si="26"/>
        <v>0.4</v>
      </c>
      <c r="BD11">
        <f t="shared" si="11"/>
        <v>13.25</v>
      </c>
      <c r="BE11" s="4"/>
      <c r="BF11" s="50">
        <f t="shared" si="12"/>
        <v>62</v>
      </c>
      <c r="BG11" s="32">
        <v>2.0</v>
      </c>
    </row>
    <row r="12">
      <c r="A12" s="43">
        <v>472374.0</v>
      </c>
      <c r="B12" s="44" t="s">
        <v>408</v>
      </c>
      <c r="D12" s="34"/>
      <c r="E12" s="27" t="s">
        <v>55</v>
      </c>
      <c r="F12" s="27" t="s">
        <v>55</v>
      </c>
      <c r="G12" s="27" t="s">
        <v>55</v>
      </c>
      <c r="H12" s="27" t="s">
        <v>55</v>
      </c>
      <c r="I12" s="27" t="s">
        <v>55</v>
      </c>
      <c r="J12" s="27" t="s">
        <v>55</v>
      </c>
      <c r="K12" s="27" t="s">
        <v>56</v>
      </c>
      <c r="L12" s="27" t="s">
        <v>55</v>
      </c>
      <c r="M12" s="27" t="s">
        <v>56</v>
      </c>
      <c r="N12" s="27" t="s">
        <v>56</v>
      </c>
      <c r="O12" s="49" t="s">
        <v>56</v>
      </c>
      <c r="P12" s="49" t="s">
        <v>56</v>
      </c>
      <c r="Q12" s="49" t="s">
        <v>56</v>
      </c>
      <c r="R12" s="49" t="s">
        <v>56</v>
      </c>
      <c r="S12" s="43">
        <v>472374.0</v>
      </c>
      <c r="T12" s="36">
        <v>9.0</v>
      </c>
      <c r="U12" s="36">
        <v>1.0</v>
      </c>
      <c r="V12" s="36" t="s">
        <v>403</v>
      </c>
      <c r="W12" s="28">
        <v>132.0</v>
      </c>
      <c r="AA12" s="28"/>
      <c r="AD12" s="84"/>
      <c r="AE12" s="28"/>
      <c r="AI12" s="28">
        <v>0.5</v>
      </c>
      <c r="AJ12" s="36">
        <v>0.6</v>
      </c>
      <c r="AO12" s="36">
        <v>8.5</v>
      </c>
      <c r="AQ12" s="28"/>
      <c r="AR12" s="21">
        <f t="shared" ref="AR12:AS12" si="27">SUM(AO12)</f>
        <v>8.5</v>
      </c>
      <c r="AS12">
        <f t="shared" si="27"/>
        <v>0</v>
      </c>
      <c r="AT12">
        <f t="shared" si="6"/>
        <v>10</v>
      </c>
      <c r="AU12">
        <f t="shared" si="7"/>
        <v>0</v>
      </c>
      <c r="AV12">
        <f t="shared" si="8"/>
        <v>0</v>
      </c>
      <c r="AW12">
        <f t="shared" si="16"/>
        <v>0</v>
      </c>
      <c r="AX12">
        <f t="shared" ref="AX12:BC12" si="28">SUM(AI12)</f>
        <v>0.5</v>
      </c>
      <c r="AY12">
        <f t="shared" si="28"/>
        <v>0.6</v>
      </c>
      <c r="AZ12">
        <f t="shared" si="28"/>
        <v>0</v>
      </c>
      <c r="BA12">
        <f t="shared" si="28"/>
        <v>0</v>
      </c>
      <c r="BB12">
        <f t="shared" si="28"/>
        <v>0</v>
      </c>
      <c r="BC12">
        <f t="shared" si="28"/>
        <v>0</v>
      </c>
      <c r="BD12">
        <f t="shared" si="11"/>
        <v>0</v>
      </c>
      <c r="BE12" s="4"/>
      <c r="BF12" s="50">
        <f t="shared" si="12"/>
        <v>19.6</v>
      </c>
      <c r="BG12" s="32"/>
    </row>
    <row r="13">
      <c r="A13" s="43">
        <v>467381.0</v>
      </c>
      <c r="B13" s="55" t="s">
        <v>409</v>
      </c>
      <c r="D13" s="25"/>
      <c r="E13" s="27" t="s">
        <v>56</v>
      </c>
      <c r="F13" s="27" t="s">
        <v>56</v>
      </c>
      <c r="G13" s="27" t="s">
        <v>56</v>
      </c>
      <c r="H13" s="27" t="s">
        <v>55</v>
      </c>
      <c r="I13" s="27" t="s">
        <v>56</v>
      </c>
      <c r="J13" s="27" t="s">
        <v>56</v>
      </c>
      <c r="K13" s="27" t="s">
        <v>55</v>
      </c>
      <c r="L13" s="27" t="s">
        <v>56</v>
      </c>
      <c r="M13" s="27" t="s">
        <v>55</v>
      </c>
      <c r="N13" s="27" t="s">
        <v>55</v>
      </c>
      <c r="O13" s="49" t="s">
        <v>55</v>
      </c>
      <c r="P13" s="49" t="s">
        <v>55</v>
      </c>
      <c r="Q13" s="49" t="s">
        <v>55</v>
      </c>
      <c r="R13" s="49" t="s">
        <v>55</v>
      </c>
      <c r="S13" s="43">
        <v>467381.0</v>
      </c>
      <c r="T13" s="36">
        <v>8.8</v>
      </c>
      <c r="V13" s="36" t="s">
        <v>410</v>
      </c>
      <c r="W13" s="28">
        <v>94.0</v>
      </c>
      <c r="X13" s="36">
        <v>8.9</v>
      </c>
      <c r="Z13" s="36">
        <v>17.11</v>
      </c>
      <c r="AA13" s="28">
        <v>1732.0</v>
      </c>
      <c r="AB13" s="36">
        <v>9.0</v>
      </c>
      <c r="AD13" s="36">
        <v>8.12</v>
      </c>
      <c r="AE13" s="28">
        <v>14.0</v>
      </c>
      <c r="AF13" s="36">
        <v>8.7</v>
      </c>
      <c r="AH13" s="71"/>
      <c r="AI13" s="28">
        <v>1.0</v>
      </c>
      <c r="AJ13" s="36">
        <v>0.7</v>
      </c>
      <c r="AK13" s="36">
        <v>1.4</v>
      </c>
      <c r="AL13" s="36">
        <v>1.7</v>
      </c>
      <c r="AN13" s="36">
        <v>0.4</v>
      </c>
      <c r="AO13" s="36">
        <v>7.5</v>
      </c>
      <c r="AP13" s="36">
        <v>6.0</v>
      </c>
      <c r="AQ13" s="28">
        <f>SUM(AO13:AP13)</f>
        <v>13.5</v>
      </c>
      <c r="AR13" s="21">
        <f t="shared" ref="AR13:AS13" si="29">SUM(AO13)</f>
        <v>7.5</v>
      </c>
      <c r="AS13">
        <f t="shared" si="29"/>
        <v>6</v>
      </c>
      <c r="AT13">
        <f t="shared" si="6"/>
        <v>8.8</v>
      </c>
      <c r="AU13">
        <f t="shared" si="7"/>
        <v>8.9</v>
      </c>
      <c r="AV13">
        <f t="shared" si="8"/>
        <v>9</v>
      </c>
      <c r="AW13">
        <f t="shared" si="16"/>
        <v>8.7</v>
      </c>
      <c r="AX13">
        <f t="shared" ref="AX13:BC13" si="30">SUM(AI13)</f>
        <v>1</v>
      </c>
      <c r="AY13">
        <f t="shared" si="30"/>
        <v>0.7</v>
      </c>
      <c r="AZ13">
        <f t="shared" si="30"/>
        <v>1.4</v>
      </c>
      <c r="BA13">
        <f t="shared" si="30"/>
        <v>1.7</v>
      </c>
      <c r="BB13">
        <f t="shared" si="30"/>
        <v>0</v>
      </c>
      <c r="BC13">
        <f t="shared" si="30"/>
        <v>0.4</v>
      </c>
      <c r="BD13">
        <f t="shared" si="11"/>
        <v>13.5</v>
      </c>
      <c r="BE13" s="4"/>
      <c r="BF13" s="50">
        <f t="shared" si="12"/>
        <v>67.6</v>
      </c>
      <c r="BG13" s="32">
        <v>1.0</v>
      </c>
    </row>
    <row r="14">
      <c r="A14" s="36">
        <v>467618.0</v>
      </c>
      <c r="B14" s="36" t="s">
        <v>411</v>
      </c>
      <c r="C14" s="24"/>
      <c r="D14" s="25"/>
      <c r="E14" s="27" t="s">
        <v>55</v>
      </c>
      <c r="F14" s="27" t="s">
        <v>56</v>
      </c>
      <c r="G14" s="27" t="s">
        <v>56</v>
      </c>
      <c r="H14" s="27" t="s">
        <v>56</v>
      </c>
      <c r="I14" s="27" t="s">
        <v>55</v>
      </c>
      <c r="J14" s="27" t="s">
        <v>55</v>
      </c>
      <c r="K14" s="27" t="s">
        <v>56</v>
      </c>
      <c r="L14" s="27" t="s">
        <v>56</v>
      </c>
      <c r="M14" s="27" t="s">
        <v>55</v>
      </c>
      <c r="N14" s="27" t="s">
        <v>55</v>
      </c>
      <c r="O14" s="36" t="s">
        <v>55</v>
      </c>
      <c r="P14" s="36" t="s">
        <v>55</v>
      </c>
      <c r="Q14" s="36" t="s">
        <v>55</v>
      </c>
      <c r="R14" s="36" t="s">
        <v>55</v>
      </c>
      <c r="S14" s="28"/>
      <c r="T14" s="36">
        <v>8.8</v>
      </c>
      <c r="V14" s="24">
        <v>13.1</v>
      </c>
      <c r="W14" s="28">
        <v>2001.0</v>
      </c>
      <c r="X14" s="36">
        <v>9.5</v>
      </c>
      <c r="Z14" s="24">
        <v>24.11</v>
      </c>
      <c r="AA14" s="28">
        <v>1192.0</v>
      </c>
      <c r="AB14" s="36">
        <v>9.0</v>
      </c>
      <c r="AD14" s="24">
        <v>15.12</v>
      </c>
      <c r="AE14" s="28">
        <v>7777.0</v>
      </c>
      <c r="AF14" s="36">
        <v>8.5</v>
      </c>
      <c r="AH14" s="33"/>
      <c r="AI14" s="28">
        <v>0.4</v>
      </c>
      <c r="AO14" s="36">
        <v>6.0</v>
      </c>
      <c r="AP14" s="24">
        <v>9.25</v>
      </c>
      <c r="AQ14" s="28">
        <f>SUM(AO14:AP14)+1</f>
        <v>16.25</v>
      </c>
      <c r="AR14" s="21">
        <f t="shared" ref="AR14:AS14" si="31">SUM(AO14)</f>
        <v>6</v>
      </c>
      <c r="AS14">
        <f t="shared" si="31"/>
        <v>9.25</v>
      </c>
      <c r="AT14">
        <f t="shared" si="6"/>
        <v>8.8</v>
      </c>
      <c r="AU14">
        <f t="shared" si="7"/>
        <v>9.5</v>
      </c>
      <c r="AV14">
        <f t="shared" si="8"/>
        <v>9</v>
      </c>
      <c r="AW14">
        <f t="shared" si="16"/>
        <v>8.5</v>
      </c>
      <c r="AX14">
        <f t="shared" ref="AX14:BC14" si="32">SUM(AI14)</f>
        <v>0.4</v>
      </c>
      <c r="AY14">
        <f t="shared" si="32"/>
        <v>0</v>
      </c>
      <c r="AZ14">
        <f t="shared" si="32"/>
        <v>0</v>
      </c>
      <c r="BA14">
        <f t="shared" si="32"/>
        <v>0</v>
      </c>
      <c r="BB14">
        <f t="shared" si="32"/>
        <v>0</v>
      </c>
      <c r="BC14">
        <f t="shared" si="32"/>
        <v>0</v>
      </c>
      <c r="BD14">
        <f t="shared" si="11"/>
        <v>16.25</v>
      </c>
      <c r="BE14" s="4"/>
      <c r="BF14" s="50">
        <f t="shared" si="12"/>
        <v>67.7</v>
      </c>
      <c r="BG14" s="32">
        <v>1.0</v>
      </c>
    </row>
    <row r="15">
      <c r="A15" s="43">
        <v>463227.0</v>
      </c>
      <c r="B15" s="55" t="s">
        <v>412</v>
      </c>
      <c r="D15" s="25"/>
      <c r="E15" s="27" t="s">
        <v>56</v>
      </c>
      <c r="F15" s="27" t="s">
        <v>56</v>
      </c>
      <c r="G15" s="27" t="s">
        <v>55</v>
      </c>
      <c r="H15" s="27" t="s">
        <v>55</v>
      </c>
      <c r="I15" s="27" t="s">
        <v>55</v>
      </c>
      <c r="J15" s="27" t="s">
        <v>55</v>
      </c>
      <c r="K15" s="27" t="s">
        <v>56</v>
      </c>
      <c r="L15" s="27" t="s">
        <v>55</v>
      </c>
      <c r="M15" s="27" t="s">
        <v>55</v>
      </c>
      <c r="N15" s="27" t="s">
        <v>55</v>
      </c>
      <c r="O15" s="49" t="s">
        <v>56</v>
      </c>
      <c r="P15" s="49" t="s">
        <v>56</v>
      </c>
      <c r="Q15" s="49" t="s">
        <v>55</v>
      </c>
      <c r="R15" s="49" t="s">
        <v>55</v>
      </c>
      <c r="S15" s="49">
        <v>463227.0</v>
      </c>
      <c r="T15" s="36">
        <v>8.8</v>
      </c>
      <c r="V15" s="36">
        <v>13.1</v>
      </c>
      <c r="W15" s="28">
        <v>1902.0</v>
      </c>
      <c r="X15" s="36">
        <v>8.9</v>
      </c>
      <c r="Z15" s="36">
        <v>17.11</v>
      </c>
      <c r="AA15" s="28">
        <v>2322.0</v>
      </c>
      <c r="AB15" s="36">
        <v>9.0</v>
      </c>
      <c r="AD15" s="36">
        <v>15.12</v>
      </c>
      <c r="AE15" s="28">
        <v>78.0</v>
      </c>
      <c r="AF15" s="36">
        <v>8.5</v>
      </c>
      <c r="AH15" s="85"/>
      <c r="AI15" s="28"/>
      <c r="AJ15" s="36">
        <v>0.01</v>
      </c>
      <c r="AK15" s="36">
        <v>0.01</v>
      </c>
      <c r="AL15" s="36">
        <v>0.3</v>
      </c>
      <c r="AM15" s="36">
        <v>1.2</v>
      </c>
      <c r="AN15" s="36">
        <v>0.01</v>
      </c>
      <c r="AO15" s="36">
        <v>6.0</v>
      </c>
      <c r="AP15" s="36">
        <v>9.0</v>
      </c>
      <c r="AQ15" s="28">
        <f t="shared" ref="AQ15:AQ16" si="35">SUM(AO15:AP15)</f>
        <v>15</v>
      </c>
      <c r="AR15" s="21">
        <f t="shared" ref="AR15:AS15" si="33">SUM(AO15)</f>
        <v>6</v>
      </c>
      <c r="AS15">
        <f t="shared" si="33"/>
        <v>9</v>
      </c>
      <c r="AT15">
        <f t="shared" si="6"/>
        <v>8.8</v>
      </c>
      <c r="AU15">
        <f t="shared" si="7"/>
        <v>8.9</v>
      </c>
      <c r="AV15">
        <f t="shared" si="8"/>
        <v>9</v>
      </c>
      <c r="AW15">
        <f t="shared" si="16"/>
        <v>8.5</v>
      </c>
      <c r="AX15">
        <f t="shared" ref="AX15:BC15" si="34">SUM(AI15)</f>
        <v>0</v>
      </c>
      <c r="AY15">
        <f t="shared" si="34"/>
        <v>0.01</v>
      </c>
      <c r="AZ15">
        <f t="shared" si="34"/>
        <v>0.01</v>
      </c>
      <c r="BA15">
        <f t="shared" si="34"/>
        <v>0.3</v>
      </c>
      <c r="BB15">
        <f t="shared" si="34"/>
        <v>1.2</v>
      </c>
      <c r="BC15">
        <f t="shared" si="34"/>
        <v>0.01</v>
      </c>
      <c r="BD15">
        <f t="shared" si="11"/>
        <v>15</v>
      </c>
      <c r="BE15" s="4"/>
      <c r="BF15" s="50">
        <f t="shared" si="12"/>
        <v>66.73</v>
      </c>
      <c r="BG15" s="32">
        <v>1.0</v>
      </c>
    </row>
    <row r="16" ht="16.5" customHeight="1">
      <c r="A16" s="43">
        <v>467870.0</v>
      </c>
      <c r="B16" s="55" t="s">
        <v>413</v>
      </c>
      <c r="C16" s="24"/>
      <c r="D16" s="25"/>
      <c r="E16" s="27" t="s">
        <v>55</v>
      </c>
      <c r="F16" s="27" t="s">
        <v>56</v>
      </c>
      <c r="G16" s="27" t="s">
        <v>55</v>
      </c>
      <c r="H16" s="27" t="s">
        <v>55</v>
      </c>
      <c r="I16" s="27" t="s">
        <v>55</v>
      </c>
      <c r="J16" s="27" t="s">
        <v>55</v>
      </c>
      <c r="K16" s="27" t="s">
        <v>56</v>
      </c>
      <c r="L16" s="27" t="s">
        <v>55</v>
      </c>
      <c r="M16" s="27" t="s">
        <v>55</v>
      </c>
      <c r="N16" s="27" t="s">
        <v>56</v>
      </c>
      <c r="O16" s="49" t="s">
        <v>56</v>
      </c>
      <c r="P16" s="49" t="s">
        <v>55</v>
      </c>
      <c r="Q16" s="49" t="s">
        <v>55</v>
      </c>
      <c r="R16" s="49" t="s">
        <v>55</v>
      </c>
      <c r="S16" s="43">
        <v>467870.0</v>
      </c>
      <c r="T16" s="36">
        <v>8.8</v>
      </c>
      <c r="V16" s="24">
        <v>13.1</v>
      </c>
      <c r="W16" s="28">
        <v>1999.0</v>
      </c>
      <c r="X16" s="36">
        <v>9.0</v>
      </c>
      <c r="Z16" s="24">
        <v>10.11</v>
      </c>
      <c r="AA16" s="28">
        <v>1819.0</v>
      </c>
      <c r="AB16" s="36">
        <v>9.0</v>
      </c>
      <c r="AD16" s="24">
        <v>8.12</v>
      </c>
      <c r="AE16" s="28">
        <v>21.0</v>
      </c>
      <c r="AF16" s="36">
        <v>9.5</v>
      </c>
      <c r="AH16" s="24"/>
      <c r="AI16" s="28"/>
      <c r="AJ16" s="36">
        <v>1.1</v>
      </c>
      <c r="AL16" s="36">
        <v>0.8</v>
      </c>
      <c r="AM16" s="36">
        <v>1.6</v>
      </c>
      <c r="AN16" s="36">
        <v>0.8</v>
      </c>
      <c r="AO16" s="36">
        <v>6.0</v>
      </c>
      <c r="AP16" s="24">
        <v>7.5</v>
      </c>
      <c r="AQ16" s="28">
        <f t="shared" si="35"/>
        <v>13.5</v>
      </c>
      <c r="AR16" s="21">
        <f t="shared" ref="AR16:AS16" si="36">SUM(AO16)</f>
        <v>6</v>
      </c>
      <c r="AS16">
        <f t="shared" si="36"/>
        <v>7.5</v>
      </c>
      <c r="AT16">
        <f t="shared" si="6"/>
        <v>8.8</v>
      </c>
      <c r="AU16">
        <f t="shared" si="7"/>
        <v>9</v>
      </c>
      <c r="AV16">
        <f t="shared" si="8"/>
        <v>9</v>
      </c>
      <c r="AW16">
        <f t="shared" si="16"/>
        <v>9.5</v>
      </c>
      <c r="AX16">
        <f t="shared" ref="AX16:BC16" si="37">SUM(AI16)</f>
        <v>0</v>
      </c>
      <c r="AY16">
        <f t="shared" si="37"/>
        <v>1.1</v>
      </c>
      <c r="AZ16">
        <f t="shared" si="37"/>
        <v>0</v>
      </c>
      <c r="BA16">
        <f t="shared" si="37"/>
        <v>0.8</v>
      </c>
      <c r="BB16">
        <f t="shared" si="37"/>
        <v>1.6</v>
      </c>
      <c r="BC16">
        <f t="shared" si="37"/>
        <v>0.8</v>
      </c>
      <c r="BD16">
        <f t="shared" si="11"/>
        <v>13.5</v>
      </c>
      <c r="BE16" s="4"/>
      <c r="BF16" s="50">
        <f t="shared" si="12"/>
        <v>67.6</v>
      </c>
      <c r="BG16" s="32">
        <v>1.0</v>
      </c>
    </row>
    <row r="17">
      <c r="A17" s="36"/>
      <c r="C17" s="4"/>
      <c r="D17" s="2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36"/>
      <c r="P17" s="36"/>
      <c r="Q17" s="36"/>
      <c r="R17" s="36"/>
      <c r="S17" s="28"/>
      <c r="V17" s="38"/>
      <c r="W17" s="21"/>
      <c r="Z17" s="38"/>
      <c r="AA17" s="21"/>
      <c r="AD17" s="38"/>
      <c r="AE17" s="21"/>
      <c r="AH17" s="38"/>
      <c r="AI17" s="21"/>
      <c r="AP17" s="4"/>
      <c r="AQ17" s="28"/>
      <c r="AR17" s="21">
        <f t="shared" ref="AR17:AS17" si="38">SUM(AO17)</f>
        <v>0</v>
      </c>
      <c r="AS17">
        <f t="shared" si="38"/>
        <v>0</v>
      </c>
      <c r="AT17">
        <f t="shared" si="6"/>
        <v>0</v>
      </c>
      <c r="AU17">
        <f t="shared" si="7"/>
        <v>0</v>
      </c>
      <c r="AV17">
        <f t="shared" si="8"/>
        <v>0</v>
      </c>
      <c r="AW17">
        <f t="shared" si="16"/>
        <v>0</v>
      </c>
      <c r="AX17">
        <f t="shared" ref="AX17:BC17" si="39">SUM(AI17)</f>
        <v>0</v>
      </c>
      <c r="AY17">
        <f t="shared" si="39"/>
        <v>0</v>
      </c>
      <c r="AZ17">
        <f t="shared" si="39"/>
        <v>0</v>
      </c>
      <c r="BA17">
        <f t="shared" si="39"/>
        <v>0</v>
      </c>
      <c r="BB17">
        <f t="shared" si="39"/>
        <v>0</v>
      </c>
      <c r="BC17">
        <f t="shared" si="39"/>
        <v>0</v>
      </c>
      <c r="BD17">
        <f t="shared" si="11"/>
        <v>0</v>
      </c>
      <c r="BE17" s="4"/>
      <c r="BF17" s="50">
        <f t="shared" si="12"/>
        <v>0</v>
      </c>
      <c r="BG17" s="32"/>
    </row>
    <row r="18">
      <c r="A18" s="36"/>
      <c r="O18" s="36"/>
      <c r="P18" s="36"/>
      <c r="Q18" s="36"/>
      <c r="R18" s="36"/>
      <c r="S18" s="36"/>
      <c r="T18" s="36"/>
      <c r="U18" s="36"/>
      <c r="V18" s="37"/>
      <c r="X18" s="36"/>
      <c r="Y18" s="36"/>
      <c r="Z18" s="37"/>
      <c r="AB18" s="36"/>
      <c r="AC18" s="36"/>
      <c r="AD18" s="37"/>
      <c r="AF18" s="36"/>
      <c r="AG18" s="36"/>
      <c r="AH18" s="36"/>
      <c r="AI18" s="36"/>
      <c r="AO18" s="36">
        <f t="shared" ref="AO18:AP18" si="40">COUNTA($B$4:$B$16)-COUNTIF(AO4:AO16,"&gt;=6")</f>
        <v>1</v>
      </c>
      <c r="AP18" s="36">
        <f t="shared" si="40"/>
        <v>2</v>
      </c>
      <c r="BF18" s="39"/>
      <c r="BG18" s="32"/>
    </row>
    <row r="19">
      <c r="A19" s="43">
        <v>408537.0</v>
      </c>
      <c r="B19" s="239" t="s">
        <v>414</v>
      </c>
      <c r="C19" s="24"/>
      <c r="D19" s="25"/>
      <c r="E19" s="27" t="s">
        <v>56</v>
      </c>
      <c r="F19" s="27" t="s">
        <v>56</v>
      </c>
      <c r="G19" s="27" t="s">
        <v>56</v>
      </c>
      <c r="H19" s="27" t="s">
        <v>56</v>
      </c>
      <c r="I19" s="27" t="s">
        <v>56</v>
      </c>
      <c r="J19" s="27" t="s">
        <v>56</v>
      </c>
      <c r="K19" s="27" t="s">
        <v>56</v>
      </c>
      <c r="L19" s="36" t="s">
        <v>56</v>
      </c>
      <c r="M19" s="27" t="s">
        <v>56</v>
      </c>
      <c r="N19" s="27" t="s">
        <v>56</v>
      </c>
      <c r="O19" s="49" t="s">
        <v>56</v>
      </c>
      <c r="P19" s="49" t="s">
        <v>56</v>
      </c>
      <c r="Q19" s="49" t="s">
        <v>56</v>
      </c>
      <c r="R19" s="49" t="s">
        <v>56</v>
      </c>
      <c r="S19" s="43">
        <v>408537.0</v>
      </c>
      <c r="V19" s="38"/>
      <c r="W19" s="21"/>
      <c r="Z19" s="38"/>
      <c r="AA19" s="21"/>
      <c r="AD19" s="38"/>
      <c r="AE19" s="21"/>
      <c r="AH19" s="38"/>
      <c r="AI19" s="28"/>
      <c r="AP19" s="4"/>
      <c r="AQ19" s="30"/>
      <c r="AR19">
        <f t="shared" ref="AR19:AS19" si="41">SUM(AO19)</f>
        <v>0</v>
      </c>
      <c r="AS19">
        <f t="shared" si="41"/>
        <v>0</v>
      </c>
      <c r="AT19" s="21">
        <f t="shared" ref="AT19:AT21" si="44">SUM(T19,U19)</f>
        <v>0</v>
      </c>
      <c r="AU19">
        <f t="shared" ref="AU19:AU21" si="45">SUM(X19,Y19)</f>
        <v>0</v>
      </c>
      <c r="AV19">
        <f t="shared" ref="AV19:AV21" si="46">SUM(AB19,AC19)</f>
        <v>0</v>
      </c>
      <c r="AW19">
        <f t="shared" ref="AW19:AW21" si="47">SUM(AF19,AG19)</f>
        <v>0</v>
      </c>
      <c r="AX19">
        <f t="shared" ref="AX19:BC19" si="42">SUM(AI19)</f>
        <v>0</v>
      </c>
      <c r="AY19">
        <f t="shared" si="42"/>
        <v>0</v>
      </c>
      <c r="AZ19">
        <f t="shared" si="42"/>
        <v>0</v>
      </c>
      <c r="BA19">
        <f t="shared" si="42"/>
        <v>0</v>
      </c>
      <c r="BB19">
        <f t="shared" si="42"/>
        <v>0</v>
      </c>
      <c r="BC19">
        <f t="shared" si="42"/>
        <v>0</v>
      </c>
      <c r="BD19">
        <f t="shared" ref="BD19:BD21" si="49">SUM(AQ19)</f>
        <v>0</v>
      </c>
      <c r="BF19" s="31">
        <f t="shared" ref="BF19:BF21" si="50">SUM(AT19:BE19)</f>
        <v>0</v>
      </c>
      <c r="BG19" s="32"/>
    </row>
    <row r="20">
      <c r="A20" s="43">
        <v>452772.0</v>
      </c>
      <c r="B20" s="239" t="s">
        <v>415</v>
      </c>
      <c r="C20" s="24"/>
      <c r="D20" s="25"/>
      <c r="E20" s="27" t="s">
        <v>55</v>
      </c>
      <c r="F20" s="27" t="s">
        <v>56</v>
      </c>
      <c r="G20" s="27" t="s">
        <v>56</v>
      </c>
      <c r="H20" s="27" t="s">
        <v>56</v>
      </c>
      <c r="I20" s="27" t="s">
        <v>56</v>
      </c>
      <c r="J20" s="27" t="s">
        <v>56</v>
      </c>
      <c r="K20" s="27" t="s">
        <v>56</v>
      </c>
      <c r="L20" s="27" t="s">
        <v>56</v>
      </c>
      <c r="M20" s="27" t="s">
        <v>56</v>
      </c>
      <c r="N20" s="27" t="s">
        <v>56</v>
      </c>
      <c r="O20" s="49" t="s">
        <v>56</v>
      </c>
      <c r="P20" s="49" t="s">
        <v>56</v>
      </c>
      <c r="Q20" s="49" t="s">
        <v>56</v>
      </c>
      <c r="R20" s="49" t="s">
        <v>56</v>
      </c>
      <c r="S20" s="43">
        <v>452772.0</v>
      </c>
      <c r="V20" s="24"/>
      <c r="W20" s="28"/>
      <c r="Z20" s="68"/>
      <c r="AA20" s="28"/>
      <c r="AD20" s="33"/>
      <c r="AE20" s="28"/>
      <c r="AH20" s="24"/>
      <c r="AI20" s="28">
        <v>0.01</v>
      </c>
      <c r="AP20" s="24"/>
      <c r="AQ20" s="30"/>
      <c r="AR20">
        <f t="shared" ref="AR20:AS20" si="43">SUM(AO20)</f>
        <v>0</v>
      </c>
      <c r="AS20">
        <f t="shared" si="43"/>
        <v>0</v>
      </c>
      <c r="AT20" s="21">
        <f t="shared" si="44"/>
        <v>0</v>
      </c>
      <c r="AU20">
        <f t="shared" si="45"/>
        <v>0</v>
      </c>
      <c r="AV20">
        <f t="shared" si="46"/>
        <v>0</v>
      </c>
      <c r="AW20">
        <f t="shared" si="47"/>
        <v>0</v>
      </c>
      <c r="AX20">
        <f t="shared" ref="AX20:BC20" si="48">SUM(AI20)</f>
        <v>0.01</v>
      </c>
      <c r="AY20">
        <f t="shared" si="48"/>
        <v>0</v>
      </c>
      <c r="AZ20">
        <f t="shared" si="48"/>
        <v>0</v>
      </c>
      <c r="BA20">
        <f t="shared" si="48"/>
        <v>0</v>
      </c>
      <c r="BB20">
        <f t="shared" si="48"/>
        <v>0</v>
      </c>
      <c r="BC20">
        <f t="shared" si="48"/>
        <v>0</v>
      </c>
      <c r="BD20">
        <f t="shared" si="49"/>
        <v>0</v>
      </c>
      <c r="BF20" s="31">
        <f t="shared" si="50"/>
        <v>0.01</v>
      </c>
      <c r="BG20" s="32"/>
    </row>
    <row r="21">
      <c r="A21" s="43">
        <v>467144.0</v>
      </c>
      <c r="B21" s="239" t="s">
        <v>416</v>
      </c>
      <c r="C21" s="24"/>
      <c r="D21" s="34"/>
      <c r="E21" s="27" t="s">
        <v>56</v>
      </c>
      <c r="F21" s="27" t="s">
        <v>56</v>
      </c>
      <c r="G21" s="27" t="s">
        <v>56</v>
      </c>
      <c r="H21" s="27" t="s">
        <v>56</v>
      </c>
      <c r="I21" s="27" t="s">
        <v>56</v>
      </c>
      <c r="J21" s="27" t="s">
        <v>56</v>
      </c>
      <c r="K21" s="27" t="s">
        <v>56</v>
      </c>
      <c r="L21" s="27" t="s">
        <v>56</v>
      </c>
      <c r="M21" s="27" t="s">
        <v>56</v>
      </c>
      <c r="N21" s="27" t="s">
        <v>56</v>
      </c>
      <c r="O21" s="49" t="s">
        <v>56</v>
      </c>
      <c r="P21" s="49" t="s">
        <v>56</v>
      </c>
      <c r="Q21" s="49" t="s">
        <v>56</v>
      </c>
      <c r="R21" s="49" t="s">
        <v>56</v>
      </c>
      <c r="S21" s="43">
        <v>467144.0</v>
      </c>
      <c r="V21" s="33"/>
      <c r="W21" s="28"/>
      <c r="Z21" s="68"/>
      <c r="AA21" s="28"/>
      <c r="AD21" s="63"/>
      <c r="AE21" s="28"/>
      <c r="AH21" s="24"/>
      <c r="AI21" s="28"/>
      <c r="AP21" s="24"/>
      <c r="AQ21" s="30"/>
      <c r="AR21">
        <f t="shared" ref="AR21:AS21" si="51">SUM(AO21)</f>
        <v>0</v>
      </c>
      <c r="AS21">
        <f t="shared" si="51"/>
        <v>0</v>
      </c>
      <c r="AT21" s="21">
        <f t="shared" si="44"/>
        <v>0</v>
      </c>
      <c r="AU21">
        <f t="shared" si="45"/>
        <v>0</v>
      </c>
      <c r="AV21">
        <f t="shared" si="46"/>
        <v>0</v>
      </c>
      <c r="AW21">
        <f t="shared" si="47"/>
        <v>0</v>
      </c>
      <c r="AX21">
        <f t="shared" ref="AX21:BC21" si="52">SUM(AI21)</f>
        <v>0</v>
      </c>
      <c r="AY21">
        <f t="shared" si="52"/>
        <v>0</v>
      </c>
      <c r="AZ21">
        <f t="shared" si="52"/>
        <v>0</v>
      </c>
      <c r="BA21">
        <f t="shared" si="52"/>
        <v>0</v>
      </c>
      <c r="BB21">
        <f t="shared" si="52"/>
        <v>0</v>
      </c>
      <c r="BC21">
        <f t="shared" si="52"/>
        <v>0</v>
      </c>
      <c r="BD21">
        <f t="shared" si="49"/>
        <v>0</v>
      </c>
      <c r="BF21" s="31">
        <f t="shared" si="50"/>
        <v>0</v>
      </c>
      <c r="BG21" s="32"/>
    </row>
  </sheetData>
  <mergeCells count="40">
    <mergeCell ref="S1:V1"/>
    <mergeCell ref="S2:S3"/>
    <mergeCell ref="V2:V3"/>
    <mergeCell ref="W2:W3"/>
    <mergeCell ref="Z2:Z3"/>
    <mergeCell ref="AA2:AA3"/>
    <mergeCell ref="AD2:AD3"/>
    <mergeCell ref="AE2:AE3"/>
    <mergeCell ref="AH2:AH3"/>
    <mergeCell ref="A1:B1"/>
    <mergeCell ref="C1:C3"/>
    <mergeCell ref="D1:N1"/>
    <mergeCell ref="W1:Z1"/>
    <mergeCell ref="AA1:AD1"/>
    <mergeCell ref="AE1:AH1"/>
    <mergeCell ref="N2:N3"/>
    <mergeCell ref="AO2:AO3"/>
    <mergeCell ref="AP2:AP3"/>
    <mergeCell ref="AR1:BD2"/>
    <mergeCell ref="BF1:BF3"/>
    <mergeCell ref="BG1:BG3"/>
    <mergeCell ref="AI2:AI3"/>
    <mergeCell ref="AJ2:AJ3"/>
    <mergeCell ref="AK2:AK3"/>
    <mergeCell ref="AL2:AL3"/>
    <mergeCell ref="AQ2:AQ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M2:AM3"/>
    <mergeCell ref="AN2:AN3"/>
  </mergeCells>
  <conditionalFormatting sqref="Z4">
    <cfRule type="timePeriod" dxfId="0" priority="1" timePeriod="last7Days"/>
  </conditionalFormatting>
  <conditionalFormatting sqref="AD4">
    <cfRule type="timePeriod" dxfId="0" priority="2" timePeriod="last7Days"/>
  </conditionalFormatting>
  <conditionalFormatting sqref="AD4">
    <cfRule type="timePeriod" dxfId="0" priority="3" timePeriod="last7Days"/>
  </conditionalFormatting>
  <conditionalFormatting sqref="V4 Z4 AD4">
    <cfRule type="timePeriod" dxfId="0" priority="4" timePeriod="last7Days"/>
  </conditionalFormatting>
  <conditionalFormatting sqref="V4">
    <cfRule type="timePeriod" dxfId="0" priority="5" timePeriod="last7Days"/>
  </conditionalFormatting>
  <conditionalFormatting sqref="V4">
    <cfRule type="timePeriod" dxfId="0" priority="6" timePeriod="last7Days"/>
  </conditionalFormatting>
  <conditionalFormatting sqref="AD4">
    <cfRule type="timePeriod" dxfId="0" priority="7" timePeriod="last7Days"/>
  </conditionalFormatting>
  <conditionalFormatting sqref="AR4:BE21">
    <cfRule type="cellIs" dxfId="1" priority="8" operator="lessThan">
      <formula>0.1</formula>
    </cfRule>
  </conditionalFormatting>
  <conditionalFormatting sqref="AR4:BE21">
    <cfRule type="cellIs" dxfId="2" priority="9" operator="greaterThan">
      <formula>0.1</formula>
    </cfRule>
  </conditionalFormatting>
  <conditionalFormatting sqref="BF4:BG21">
    <cfRule type="cellIs" dxfId="3" priority="10" operator="between">
      <formula>60</formula>
      <formula>68</formula>
    </cfRule>
  </conditionalFormatting>
  <conditionalFormatting sqref="BF4:BG21">
    <cfRule type="cellIs" dxfId="4" priority="11" operator="between">
      <formula>68</formula>
      <formula>74</formula>
    </cfRule>
  </conditionalFormatting>
  <conditionalFormatting sqref="BF4:BG21">
    <cfRule type="cellIs" dxfId="2" priority="12" operator="between">
      <formula>74</formula>
      <formula>81</formula>
    </cfRule>
  </conditionalFormatting>
  <conditionalFormatting sqref="BF4:BG21">
    <cfRule type="cellIs" dxfId="5" priority="13" operator="between">
      <formula>81</formula>
      <formula>90</formula>
    </cfRule>
  </conditionalFormatting>
  <conditionalFormatting sqref="BF4:BG21">
    <cfRule type="cellIs" dxfId="6" priority="14" operator="greaterThan">
      <formula>90</formula>
    </cfRule>
  </conditionalFormatting>
  <conditionalFormatting sqref="Z4">
    <cfRule type="timePeriod" dxfId="0" priority="15" timePeriod="last7Days"/>
  </conditionalFormatting>
  <conditionalFormatting sqref="G4:G14 G16:G17 G19:G21">
    <cfRule type="containsText" dxfId="7" priority="16" operator="containsText" text="н">
      <formula>NOT(ISERROR(SEARCH(("н"),(G4))))</formula>
    </cfRule>
  </conditionalFormatting>
  <conditionalFormatting sqref="G4:G14 G16:G17 G19:G21">
    <cfRule type="containsText" dxfId="7" priority="17" operator="containsText" text="n">
      <formula>NOT(ISERROR(SEARCH(("n"),(G4))))</formula>
    </cfRule>
  </conditionalFormatting>
  <conditionalFormatting sqref="F4:F14 F16:F17 F19:F21">
    <cfRule type="containsText" dxfId="7" priority="18" operator="containsText" text="н">
      <formula>NOT(ISERROR(SEARCH(("н"),(F4))))</formula>
    </cfRule>
  </conditionalFormatting>
  <conditionalFormatting sqref="F4:F14 F16:F17 F19:F21">
    <cfRule type="containsText" dxfId="7" priority="19" operator="containsText" text="n">
      <formula>NOT(ISERROR(SEARCH(("n"),(F4))))</formula>
    </cfRule>
  </conditionalFormatting>
  <conditionalFormatting sqref="T4:U4">
    <cfRule type="cellIs" dxfId="8" priority="20" operator="equal">
      <formula>0</formula>
    </cfRule>
  </conditionalFormatting>
  <conditionalFormatting sqref="X4:Y4">
    <cfRule type="cellIs" dxfId="8" priority="21" operator="equal">
      <formula>0</formula>
    </cfRule>
  </conditionalFormatting>
  <conditionalFormatting sqref="AB4:AC4">
    <cfRule type="cellIs" dxfId="8" priority="22" operator="equal">
      <formula>0</formula>
    </cfRule>
  </conditionalFormatting>
  <conditionalFormatting sqref="AF4">
    <cfRule type="cellIs" dxfId="8" priority="23" operator="equal">
      <formula>0</formula>
    </cfRule>
  </conditionalFormatting>
  <conditionalFormatting sqref="AI4:AP4">
    <cfRule type="cellIs" dxfId="8" priority="24" operator="equal">
      <formula>0</formula>
    </cfRule>
  </conditionalFormatting>
  <conditionalFormatting sqref="D1:N21">
    <cfRule type="containsText" dxfId="7" priority="25" operator="containsText" text="н">
      <formula>NOT(ISERROR(SEARCH(("н"),(D1))))</formula>
    </cfRule>
  </conditionalFormatting>
  <conditionalFormatting sqref="D1:N21">
    <cfRule type="containsText" dxfId="7" priority="26" operator="containsText" text="n">
      <formula>NOT(ISERROR(SEARCH(("n"),(D1))))</formula>
    </cfRule>
  </conditionalFormatting>
  <conditionalFormatting sqref="V4">
    <cfRule type="timePeriod" dxfId="0" priority="27" timePeriod="last7Days"/>
  </conditionalFormatting>
  <conditionalFormatting sqref="Z4">
    <cfRule type="timePeriod" dxfId="0" priority="28" timePeriod="last7Days"/>
  </conditionalFormatting>
  <conditionalFormatting sqref="AD4">
    <cfRule type="timePeriod" dxfId="0" priority="29" timePeriod="last7Days"/>
  </conditionalFormatting>
  <conditionalFormatting sqref="AH4">
    <cfRule type="timePeriod" dxfId="0" priority="30" timePeriod="last7Days"/>
  </conditionalFormatting>
  <conditionalFormatting sqref="BF1:BG21">
    <cfRule type="cellIs" dxfId="3" priority="31" operator="between">
      <formula>60</formula>
      <formula>68</formula>
    </cfRule>
  </conditionalFormatting>
  <conditionalFormatting sqref="AQ4:AQ21">
    <cfRule type="cellIs" dxfId="6" priority="32" operator="between">
      <formula>12</formula>
      <formula>1000</formula>
    </cfRule>
  </conditionalFormatting>
  <conditionalFormatting sqref="BF1:BG21">
    <cfRule type="cellIs" dxfId="4" priority="33" operator="between">
      <formula>68</formula>
      <formula>74</formula>
    </cfRule>
  </conditionalFormatting>
  <conditionalFormatting sqref="BF1:BG21">
    <cfRule type="cellIs" dxfId="2" priority="34" operator="between">
      <formula>74</formula>
      <formula>81</formula>
    </cfRule>
  </conditionalFormatting>
  <conditionalFormatting sqref="BF1:BG21">
    <cfRule type="cellIs" dxfId="5" priority="35" operator="between">
      <formula>81</formula>
      <formula>90</formula>
    </cfRule>
  </conditionalFormatting>
  <conditionalFormatting sqref="BF1:BG21">
    <cfRule type="cellIs" dxfId="6" priority="36" operator="greaterThan">
      <formula>90</formula>
    </cfRule>
  </conditionalFormatting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26" width="2.88"/>
    <col customWidth="1" min="27" max="27" width="6.38"/>
    <col customWidth="1" min="28" max="28" width="5.0"/>
    <col customWidth="1" min="29" max="29" width="3.88"/>
    <col customWidth="1" min="30" max="30" width="5.0"/>
    <col customWidth="1" min="31" max="31" width="6.5"/>
    <col customWidth="1" min="32" max="32" width="5.13"/>
    <col customWidth="1" min="33" max="33" width="4.0"/>
    <col customWidth="1" min="34" max="34" width="5.0"/>
    <col customWidth="1" min="35" max="35" width="6.38"/>
    <col customWidth="1" min="36" max="36" width="5.13"/>
    <col customWidth="1" min="37" max="37" width="4.0"/>
    <col customWidth="1" min="38" max="38" width="5.0"/>
    <col customWidth="1" min="39" max="39" width="7.63"/>
    <col customWidth="1" min="40" max="40" width="5.0"/>
    <col customWidth="1" min="41" max="41" width="4.5"/>
    <col customWidth="1" min="42" max="42" width="5.0"/>
    <col customWidth="1" min="43" max="43" width="5.63"/>
    <col customWidth="1" min="44" max="44" width="5.13"/>
    <col customWidth="1" min="45" max="45" width="5.38"/>
    <col customWidth="1" min="46" max="46" width="5.0"/>
    <col customWidth="1" min="47" max="48" width="5.38"/>
    <col customWidth="1" min="49" max="50" width="5.88"/>
    <col customWidth="1" min="51" max="51" width="5.63"/>
    <col customWidth="1" min="52" max="52" width="4.5"/>
    <col customWidth="1" min="53" max="53" width="4.38"/>
    <col customWidth="1" min="54" max="58" width="4.25"/>
    <col customWidth="1" min="59" max="59" width="4.63"/>
    <col customWidth="1" min="60" max="60" width="4.5"/>
    <col customWidth="1" min="61" max="62" width="4.63"/>
    <col customWidth="1" min="63" max="63" width="4.5"/>
    <col customWidth="1" min="64" max="65" width="4.38"/>
    <col customWidth="1" min="66" max="66" width="6.63"/>
    <col customWidth="1" min="67" max="67" width="3.25"/>
  </cols>
  <sheetData>
    <row r="1">
      <c r="A1" s="1" t="s">
        <v>276</v>
      </c>
      <c r="C1" s="2" t="s">
        <v>1</v>
      </c>
      <c r="D1" s="3" t="s">
        <v>2</v>
      </c>
      <c r="W1" s="5" t="s">
        <v>53</v>
      </c>
      <c r="Z1" s="4"/>
      <c r="AA1" s="5" t="s">
        <v>3</v>
      </c>
      <c r="AD1" s="4"/>
      <c r="AE1" s="5" t="s">
        <v>4</v>
      </c>
      <c r="AH1" s="4"/>
      <c r="AI1" s="5" t="s">
        <v>5</v>
      </c>
      <c r="AL1" s="4"/>
      <c r="AM1" s="5" t="s">
        <v>6</v>
      </c>
      <c r="AP1" s="4"/>
      <c r="AQ1" s="3" t="s">
        <v>7</v>
      </c>
      <c r="AR1" s="6" t="s">
        <v>8</v>
      </c>
      <c r="AS1" s="6" t="s">
        <v>9</v>
      </c>
      <c r="AT1" s="6" t="s">
        <v>10</v>
      </c>
      <c r="AU1" s="6" t="s">
        <v>11</v>
      </c>
      <c r="AV1" s="6" t="s">
        <v>12</v>
      </c>
      <c r="AW1" s="6" t="s">
        <v>13</v>
      </c>
      <c r="AX1" s="7" t="s">
        <v>14</v>
      </c>
      <c r="AY1" s="3" t="s">
        <v>15</v>
      </c>
      <c r="AZ1" s="3" t="s">
        <v>16</v>
      </c>
      <c r="BM1" s="7"/>
      <c r="BN1" s="41" t="s">
        <v>17</v>
      </c>
      <c r="BO1" s="10" t="s">
        <v>18</v>
      </c>
    </row>
    <row r="2">
      <c r="A2" s="11" t="s">
        <v>19</v>
      </c>
      <c r="B2" s="11" t="s">
        <v>20</v>
      </c>
      <c r="C2" s="4"/>
      <c r="D2" s="12">
        <v>45901.0</v>
      </c>
      <c r="E2" s="12">
        <f t="shared" ref="E2:U2" si="1">D2+7</f>
        <v>45908</v>
      </c>
      <c r="F2" s="12">
        <f t="shared" si="1"/>
        <v>45915</v>
      </c>
      <c r="G2" s="12">
        <f t="shared" si="1"/>
        <v>45922</v>
      </c>
      <c r="H2" s="12">
        <f t="shared" si="1"/>
        <v>45929</v>
      </c>
      <c r="I2" s="12">
        <f t="shared" si="1"/>
        <v>45936</v>
      </c>
      <c r="J2" s="12">
        <f t="shared" si="1"/>
        <v>45943</v>
      </c>
      <c r="K2" s="12">
        <f t="shared" si="1"/>
        <v>45950</v>
      </c>
      <c r="L2" s="12">
        <f t="shared" si="1"/>
        <v>45957</v>
      </c>
      <c r="M2" s="12">
        <f t="shared" si="1"/>
        <v>45964</v>
      </c>
      <c r="N2" s="12">
        <f t="shared" si="1"/>
        <v>45971</v>
      </c>
      <c r="O2" s="12">
        <f t="shared" si="1"/>
        <v>45978</v>
      </c>
      <c r="P2" s="12">
        <f t="shared" si="1"/>
        <v>45985</v>
      </c>
      <c r="Q2" s="12">
        <f t="shared" si="1"/>
        <v>45992</v>
      </c>
      <c r="R2" s="12">
        <f t="shared" si="1"/>
        <v>45999</v>
      </c>
      <c r="S2" s="12">
        <f t="shared" si="1"/>
        <v>46006</v>
      </c>
      <c r="T2" s="12">
        <f t="shared" si="1"/>
        <v>46013</v>
      </c>
      <c r="U2" s="12">
        <f t="shared" si="1"/>
        <v>46020</v>
      </c>
      <c r="V2" s="13">
        <v>12.01</v>
      </c>
      <c r="W2" s="72">
        <v>6.02</v>
      </c>
      <c r="X2" s="13">
        <f t="shared" ref="X2:Y2" si="2">W2+7</f>
        <v>13.02</v>
      </c>
      <c r="Y2" s="13">
        <f t="shared" si="2"/>
        <v>20.02</v>
      </c>
      <c r="Z2" s="151">
        <v>24.02</v>
      </c>
      <c r="AA2" s="15" t="s">
        <v>21</v>
      </c>
      <c r="AB2" s="15" t="s">
        <v>22</v>
      </c>
      <c r="AC2" s="15" t="s">
        <v>23</v>
      </c>
      <c r="AD2" s="16" t="s">
        <v>24</v>
      </c>
      <c r="AE2" s="14" t="s">
        <v>21</v>
      </c>
      <c r="AF2" s="15" t="s">
        <v>22</v>
      </c>
      <c r="AG2" s="15" t="s">
        <v>23</v>
      </c>
      <c r="AH2" s="16" t="s">
        <v>24</v>
      </c>
      <c r="AI2" s="14" t="s">
        <v>21</v>
      </c>
      <c r="AJ2" s="15" t="s">
        <v>22</v>
      </c>
      <c r="AK2" s="15" t="s">
        <v>23</v>
      </c>
      <c r="AL2" s="16" t="s">
        <v>24</v>
      </c>
      <c r="AM2" s="14" t="s">
        <v>21</v>
      </c>
      <c r="AN2" s="15" t="s">
        <v>22</v>
      </c>
      <c r="AO2" s="15" t="s">
        <v>23</v>
      </c>
      <c r="AP2" s="16" t="s">
        <v>24</v>
      </c>
      <c r="AQ2" s="17" t="s">
        <v>25</v>
      </c>
      <c r="AR2" s="18" t="s">
        <v>25</v>
      </c>
      <c r="AS2" s="18" t="s">
        <v>25</v>
      </c>
      <c r="AT2" s="18" t="s">
        <v>25</v>
      </c>
      <c r="AU2" s="18" t="s">
        <v>25</v>
      </c>
      <c r="AV2" s="18" t="s">
        <v>25</v>
      </c>
      <c r="AW2" s="15" t="s">
        <v>26</v>
      </c>
      <c r="AX2" s="19" t="s">
        <v>26</v>
      </c>
      <c r="AY2" s="14" t="s">
        <v>27</v>
      </c>
      <c r="AZ2" s="21"/>
      <c r="BM2" s="7"/>
      <c r="BN2" s="4"/>
    </row>
    <row r="3">
      <c r="C3" s="4"/>
      <c r="W3" s="21"/>
      <c r="AB3" s="15" t="s">
        <v>26</v>
      </c>
      <c r="AC3" s="15" t="s">
        <v>28</v>
      </c>
      <c r="AD3" s="4"/>
      <c r="AE3" s="21"/>
      <c r="AF3" s="15" t="s">
        <v>26</v>
      </c>
      <c r="AG3" s="15" t="s">
        <v>28</v>
      </c>
      <c r="AH3" s="4"/>
      <c r="AI3" s="21"/>
      <c r="AJ3" s="15" t="s">
        <v>26</v>
      </c>
      <c r="AK3" s="15" t="s">
        <v>28</v>
      </c>
      <c r="AL3" s="4"/>
      <c r="AM3" s="21"/>
      <c r="AN3" s="15" t="s">
        <v>26</v>
      </c>
      <c r="AO3" s="15" t="s">
        <v>28</v>
      </c>
      <c r="AP3" s="4"/>
      <c r="AQ3" s="21"/>
      <c r="AX3" s="4"/>
      <c r="AY3" s="21"/>
      <c r="AZ3" s="17" t="s">
        <v>29</v>
      </c>
      <c r="BA3" s="18" t="s">
        <v>30</v>
      </c>
      <c r="BB3" s="18" t="s">
        <v>3</v>
      </c>
      <c r="BC3" s="18" t="s">
        <v>4</v>
      </c>
      <c r="BD3" s="18" t="s">
        <v>5</v>
      </c>
      <c r="BE3" s="18" t="s">
        <v>6</v>
      </c>
      <c r="BF3" s="18" t="s">
        <v>7</v>
      </c>
      <c r="BG3" s="18" t="s">
        <v>8</v>
      </c>
      <c r="BH3" s="18" t="s">
        <v>9</v>
      </c>
      <c r="BI3" s="18" t="s">
        <v>10</v>
      </c>
      <c r="BJ3" s="18" t="s">
        <v>11</v>
      </c>
      <c r="BK3" s="18" t="s">
        <v>12</v>
      </c>
      <c r="BL3" s="18" t="s">
        <v>31</v>
      </c>
      <c r="BM3" s="23" t="s">
        <v>23</v>
      </c>
      <c r="BN3" s="4"/>
    </row>
    <row r="4">
      <c r="A4" s="43">
        <v>471835.0</v>
      </c>
      <c r="B4" s="55" t="s">
        <v>417</v>
      </c>
      <c r="C4" s="24"/>
      <c r="D4" s="153" t="s">
        <v>278</v>
      </c>
      <c r="E4" s="152"/>
      <c r="F4" s="152"/>
      <c r="G4" s="152"/>
      <c r="H4" s="152"/>
      <c r="I4" s="153" t="s">
        <v>278</v>
      </c>
      <c r="J4" s="153" t="s">
        <v>278</v>
      </c>
      <c r="K4" s="153" t="s">
        <v>278</v>
      </c>
      <c r="L4" s="152"/>
      <c r="M4" s="152"/>
      <c r="N4" s="152"/>
      <c r="O4" s="153" t="s">
        <v>278</v>
      </c>
      <c r="P4" s="153" t="s">
        <v>278</v>
      </c>
      <c r="Q4" s="152"/>
      <c r="R4" s="152">
        <v>1.0</v>
      </c>
      <c r="S4" s="152"/>
      <c r="T4" s="153" t="s">
        <v>278</v>
      </c>
      <c r="U4" s="153" t="s">
        <v>278</v>
      </c>
      <c r="V4" s="153" t="s">
        <v>278</v>
      </c>
      <c r="W4" s="163"/>
      <c r="X4" s="152">
        <v>1.0</v>
      </c>
      <c r="Y4" s="154">
        <v>1.0</v>
      </c>
      <c r="Z4" s="166" t="s">
        <v>278</v>
      </c>
      <c r="AA4" s="43">
        <v>471835.0</v>
      </c>
      <c r="AB4" s="36">
        <v>6.0</v>
      </c>
      <c r="AC4" s="36">
        <v>0.0</v>
      </c>
      <c r="AD4" s="24">
        <v>20.02</v>
      </c>
      <c r="AE4" s="28">
        <v>60005.0</v>
      </c>
      <c r="AH4" s="24"/>
      <c r="AI4" s="28"/>
      <c r="AL4" s="24"/>
      <c r="AM4" s="28"/>
      <c r="AN4" s="29"/>
      <c r="AP4" s="68"/>
      <c r="AQ4" s="28">
        <v>0.3</v>
      </c>
      <c r="AU4" s="36">
        <v>1.2</v>
      </c>
      <c r="AV4" s="36">
        <v>0.4</v>
      </c>
      <c r="AW4" s="36">
        <v>6.0</v>
      </c>
      <c r="AX4" s="24">
        <v>6.0</v>
      </c>
      <c r="AY4" s="28"/>
      <c r="AZ4" s="21">
        <f t="shared" ref="AZ4:BA4" si="3">SUM(AW4)</f>
        <v>6</v>
      </c>
      <c r="BA4">
        <f t="shared" si="3"/>
        <v>6</v>
      </c>
      <c r="BB4">
        <f t="shared" ref="BB4:BB18" si="6">SUM(AB4,AC4)</f>
        <v>6</v>
      </c>
      <c r="BC4">
        <f t="shared" ref="BC4:BC18" si="7">SUM(AF4,AG4)</f>
        <v>0</v>
      </c>
      <c r="BD4">
        <f t="shared" ref="BD4:BD18" si="8">SUM(AJ4,AK4)</f>
        <v>0</v>
      </c>
      <c r="BE4">
        <f t="shared" ref="BE4:BE18" si="9">SUM(AN4,AO4)</f>
        <v>0</v>
      </c>
      <c r="BF4">
        <f t="shared" ref="BF4:BK4" si="4">SUM(AQ4)</f>
        <v>0.3</v>
      </c>
      <c r="BG4">
        <f t="shared" si="4"/>
        <v>0</v>
      </c>
      <c r="BH4">
        <f t="shared" si="4"/>
        <v>0</v>
      </c>
      <c r="BI4">
        <f t="shared" si="4"/>
        <v>0</v>
      </c>
      <c r="BJ4">
        <f t="shared" si="4"/>
        <v>1.2</v>
      </c>
      <c r="BK4">
        <f t="shared" si="4"/>
        <v>0.4</v>
      </c>
      <c r="BL4">
        <f t="shared" ref="BL4:BL18" si="11">SUM(AY4)</f>
        <v>0</v>
      </c>
      <c r="BM4" s="4"/>
      <c r="BN4" s="50">
        <f t="shared" ref="BN4:BN18" si="12">SUM(AZ4:BM4)</f>
        <v>19.9</v>
      </c>
      <c r="BO4" s="32"/>
    </row>
    <row r="5">
      <c r="A5" s="43">
        <v>474277.0</v>
      </c>
      <c r="B5" s="55" t="s">
        <v>418</v>
      </c>
      <c r="C5" s="24"/>
      <c r="D5" s="153" t="s">
        <v>278</v>
      </c>
      <c r="E5" s="152"/>
      <c r="F5" s="153" t="s">
        <v>278</v>
      </c>
      <c r="G5" s="152"/>
      <c r="H5" s="153" t="s">
        <v>278</v>
      </c>
      <c r="I5" s="152">
        <v>1.0</v>
      </c>
      <c r="J5" s="153" t="s">
        <v>278</v>
      </c>
      <c r="K5" s="152">
        <v>2.0</v>
      </c>
      <c r="L5" s="154">
        <v>2.0</v>
      </c>
      <c r="M5" s="153" t="s">
        <v>278</v>
      </c>
      <c r="N5" s="152">
        <v>1.0</v>
      </c>
      <c r="O5" s="154">
        <v>2.0</v>
      </c>
      <c r="P5" s="153" t="s">
        <v>278</v>
      </c>
      <c r="Q5" s="153" t="s">
        <v>278</v>
      </c>
      <c r="R5" s="152">
        <v>1.0</v>
      </c>
      <c r="S5" s="152">
        <v>2.0</v>
      </c>
      <c r="T5" s="154">
        <v>2.0</v>
      </c>
      <c r="U5" s="153" t="s">
        <v>278</v>
      </c>
      <c r="V5" s="154">
        <v>4.0</v>
      </c>
      <c r="W5" s="240"/>
      <c r="X5" s="241"/>
      <c r="Y5" s="241"/>
      <c r="Z5" s="242"/>
      <c r="AA5" s="43">
        <v>474277.0</v>
      </c>
      <c r="AB5" s="36">
        <v>8.0</v>
      </c>
      <c r="AC5" s="36">
        <v>0.0</v>
      </c>
      <c r="AD5" s="106">
        <v>45957.0</v>
      </c>
      <c r="AE5" s="28">
        <v>59009.0</v>
      </c>
      <c r="AF5" s="36">
        <v>8.0</v>
      </c>
      <c r="AG5" s="36">
        <v>1.0</v>
      </c>
      <c r="AH5" s="106">
        <v>45978.0</v>
      </c>
      <c r="AI5" s="28">
        <v>75033.0</v>
      </c>
      <c r="AJ5" s="36">
        <v>8.0</v>
      </c>
      <c r="AK5" s="36">
        <v>1.0</v>
      </c>
      <c r="AL5" s="24">
        <v>22.12</v>
      </c>
      <c r="AM5" s="28">
        <v>74931.0</v>
      </c>
      <c r="AN5" s="36">
        <v>7.5</v>
      </c>
      <c r="AO5" s="36">
        <v>1.0</v>
      </c>
      <c r="AP5" s="24">
        <v>12.01</v>
      </c>
      <c r="AQ5" s="28">
        <v>0.5</v>
      </c>
      <c r="AW5" s="36">
        <v>6.0</v>
      </c>
      <c r="AX5" s="24">
        <v>6.0</v>
      </c>
      <c r="AY5" s="28">
        <f>SUM(AW5:AX5)</f>
        <v>12</v>
      </c>
      <c r="AZ5" s="21">
        <f t="shared" ref="AZ5:BA5" si="5">SUM(AW5)</f>
        <v>6</v>
      </c>
      <c r="BA5">
        <f t="shared" si="5"/>
        <v>6</v>
      </c>
      <c r="BB5">
        <f t="shared" si="6"/>
        <v>8</v>
      </c>
      <c r="BC5">
        <f t="shared" si="7"/>
        <v>9</v>
      </c>
      <c r="BD5">
        <f t="shared" si="8"/>
        <v>9</v>
      </c>
      <c r="BE5">
        <f t="shared" si="9"/>
        <v>8.5</v>
      </c>
      <c r="BF5">
        <f t="shared" ref="BF5:BK5" si="10">SUM(AQ5)</f>
        <v>0.5</v>
      </c>
      <c r="BG5">
        <f t="shared" si="10"/>
        <v>0</v>
      </c>
      <c r="BH5">
        <f t="shared" si="10"/>
        <v>0</v>
      </c>
      <c r="BI5">
        <f t="shared" si="10"/>
        <v>0</v>
      </c>
      <c r="BJ5">
        <f t="shared" si="10"/>
        <v>0</v>
      </c>
      <c r="BK5">
        <f t="shared" si="10"/>
        <v>0</v>
      </c>
      <c r="BL5">
        <f t="shared" si="11"/>
        <v>12</v>
      </c>
      <c r="BM5" s="24">
        <v>1.0</v>
      </c>
      <c r="BN5" s="50">
        <f t="shared" si="12"/>
        <v>60</v>
      </c>
      <c r="BO5" s="32">
        <v>1.0</v>
      </c>
    </row>
    <row r="6">
      <c r="A6" s="43">
        <v>414549.0</v>
      </c>
      <c r="B6" s="55" t="s">
        <v>419</v>
      </c>
      <c r="C6" s="24"/>
      <c r="D6" s="153" t="s">
        <v>278</v>
      </c>
      <c r="E6" s="153" t="s">
        <v>278</v>
      </c>
      <c r="F6" s="153" t="s">
        <v>278</v>
      </c>
      <c r="G6" s="152"/>
      <c r="H6" s="152"/>
      <c r="I6" s="153" t="s">
        <v>278</v>
      </c>
      <c r="J6" s="153" t="s">
        <v>278</v>
      </c>
      <c r="K6" s="152"/>
      <c r="L6" s="152"/>
      <c r="M6" s="153" t="s">
        <v>278</v>
      </c>
      <c r="N6" s="152"/>
      <c r="O6" s="153" t="s">
        <v>278</v>
      </c>
      <c r="P6" s="153" t="s">
        <v>278</v>
      </c>
      <c r="Q6" s="153" t="s">
        <v>278</v>
      </c>
      <c r="R6" s="152"/>
      <c r="S6" s="153" t="s">
        <v>278</v>
      </c>
      <c r="T6" s="153" t="s">
        <v>278</v>
      </c>
      <c r="U6" s="153" t="s">
        <v>278</v>
      </c>
      <c r="V6" s="153" t="s">
        <v>278</v>
      </c>
      <c r="W6" s="159" t="s">
        <v>278</v>
      </c>
      <c r="X6" s="153" t="s">
        <v>278</v>
      </c>
      <c r="Y6" s="153" t="s">
        <v>278</v>
      </c>
      <c r="Z6" s="166" t="s">
        <v>278</v>
      </c>
      <c r="AA6" s="43">
        <v>414549.0</v>
      </c>
      <c r="AD6" s="38"/>
      <c r="AE6" s="21"/>
      <c r="AH6" s="38"/>
      <c r="AI6" s="21"/>
      <c r="AM6" s="21"/>
      <c r="AP6" s="38"/>
      <c r="AQ6" s="28"/>
      <c r="AR6" s="36">
        <v>0.4</v>
      </c>
      <c r="AW6" s="36">
        <v>0.01</v>
      </c>
      <c r="AX6" s="24">
        <v>6.0</v>
      </c>
      <c r="AY6" s="28"/>
      <c r="AZ6" s="21">
        <f t="shared" ref="AZ6:BA6" si="13">SUM(AW6)</f>
        <v>0.01</v>
      </c>
      <c r="BA6">
        <f t="shared" si="13"/>
        <v>6</v>
      </c>
      <c r="BB6">
        <f t="shared" si="6"/>
        <v>0</v>
      </c>
      <c r="BC6">
        <f t="shared" si="7"/>
        <v>0</v>
      </c>
      <c r="BD6">
        <f t="shared" si="8"/>
        <v>0</v>
      </c>
      <c r="BE6">
        <f t="shared" si="9"/>
        <v>0</v>
      </c>
      <c r="BF6">
        <f t="shared" ref="BF6:BK6" si="14">SUM(AQ6)</f>
        <v>0</v>
      </c>
      <c r="BG6">
        <f t="shared" si="14"/>
        <v>0.4</v>
      </c>
      <c r="BH6">
        <f t="shared" si="14"/>
        <v>0</v>
      </c>
      <c r="BI6">
        <f t="shared" si="14"/>
        <v>0</v>
      </c>
      <c r="BJ6">
        <f t="shared" si="14"/>
        <v>0</v>
      </c>
      <c r="BK6">
        <f t="shared" si="14"/>
        <v>0</v>
      </c>
      <c r="BL6">
        <f t="shared" si="11"/>
        <v>0</v>
      </c>
      <c r="BM6" s="4"/>
      <c r="BN6" s="50">
        <f t="shared" si="12"/>
        <v>6.41</v>
      </c>
      <c r="BO6" s="32"/>
    </row>
    <row r="7">
      <c r="A7" s="43">
        <v>466150.0</v>
      </c>
      <c r="B7" s="55" t="s">
        <v>420</v>
      </c>
      <c r="C7" s="24"/>
      <c r="D7" s="153" t="s">
        <v>278</v>
      </c>
      <c r="E7" s="152"/>
      <c r="F7" s="153" t="s">
        <v>278</v>
      </c>
      <c r="G7" s="152"/>
      <c r="H7" s="153" t="s">
        <v>278</v>
      </c>
      <c r="I7" s="153" t="s">
        <v>278</v>
      </c>
      <c r="J7" s="153" t="s">
        <v>278</v>
      </c>
      <c r="K7" s="153" t="s">
        <v>278</v>
      </c>
      <c r="L7" s="152"/>
      <c r="M7" s="152">
        <v>1.0</v>
      </c>
      <c r="N7" s="152"/>
      <c r="O7" s="154">
        <v>2.0</v>
      </c>
      <c r="P7" s="153" t="s">
        <v>278</v>
      </c>
      <c r="Q7" s="152">
        <v>1.0</v>
      </c>
      <c r="R7" s="152">
        <v>1.0</v>
      </c>
      <c r="S7" s="154">
        <v>1.0</v>
      </c>
      <c r="T7" s="153" t="s">
        <v>278</v>
      </c>
      <c r="U7" s="154">
        <v>2.0</v>
      </c>
      <c r="V7" s="153" t="s">
        <v>278</v>
      </c>
      <c r="W7" s="159" t="s">
        <v>278</v>
      </c>
      <c r="X7" s="153" t="s">
        <v>278</v>
      </c>
      <c r="Y7" s="154">
        <v>1.0</v>
      </c>
      <c r="Z7" s="242"/>
      <c r="AA7" s="43">
        <v>466150.0</v>
      </c>
      <c r="AB7" s="36">
        <v>8.0</v>
      </c>
      <c r="AC7" s="36">
        <v>0.0</v>
      </c>
      <c r="AD7" s="106">
        <v>45978.0</v>
      </c>
      <c r="AE7" s="28">
        <v>59523.0</v>
      </c>
      <c r="AF7" s="36">
        <v>8.0</v>
      </c>
      <c r="AG7" s="36">
        <v>0.0</v>
      </c>
      <c r="AH7" s="24">
        <v>15.12</v>
      </c>
      <c r="AI7" s="28">
        <v>75049.0</v>
      </c>
      <c r="AJ7" s="36">
        <v>7.5</v>
      </c>
      <c r="AK7" s="36">
        <v>1.0</v>
      </c>
      <c r="AL7" s="24">
        <v>29.12</v>
      </c>
      <c r="AM7" s="28">
        <v>74961.0</v>
      </c>
      <c r="AN7" s="36">
        <v>6.0</v>
      </c>
      <c r="AO7" s="36">
        <v>0.0</v>
      </c>
      <c r="AP7" s="24">
        <v>20.02</v>
      </c>
      <c r="AQ7" s="28"/>
      <c r="AR7" s="36">
        <v>0.5</v>
      </c>
      <c r="AT7" s="36">
        <v>0.2</v>
      </c>
      <c r="AW7" s="36">
        <v>6.0</v>
      </c>
      <c r="AX7" s="24">
        <v>6.0</v>
      </c>
      <c r="AY7" s="28">
        <f>SUM(AW7:AX7)+2</f>
        <v>14</v>
      </c>
      <c r="AZ7" s="21">
        <f t="shared" ref="AZ7:BA7" si="15">SUM(AW7)</f>
        <v>6</v>
      </c>
      <c r="BA7">
        <f t="shared" si="15"/>
        <v>6</v>
      </c>
      <c r="BB7">
        <f t="shared" si="6"/>
        <v>8</v>
      </c>
      <c r="BC7">
        <f t="shared" si="7"/>
        <v>8</v>
      </c>
      <c r="BD7">
        <f t="shared" si="8"/>
        <v>8.5</v>
      </c>
      <c r="BE7">
        <f t="shared" si="9"/>
        <v>6</v>
      </c>
      <c r="BF7">
        <f t="shared" ref="BF7:BK7" si="16">SUM(AQ7)</f>
        <v>0</v>
      </c>
      <c r="BG7">
        <f t="shared" si="16"/>
        <v>0.5</v>
      </c>
      <c r="BH7">
        <f t="shared" si="16"/>
        <v>0</v>
      </c>
      <c r="BI7">
        <f t="shared" si="16"/>
        <v>0.2</v>
      </c>
      <c r="BJ7">
        <f t="shared" si="16"/>
        <v>0</v>
      </c>
      <c r="BK7">
        <f t="shared" si="16"/>
        <v>0</v>
      </c>
      <c r="BL7">
        <f t="shared" si="11"/>
        <v>14</v>
      </c>
      <c r="BM7" s="24">
        <v>3.0</v>
      </c>
      <c r="BN7" s="50">
        <f t="shared" si="12"/>
        <v>60.2</v>
      </c>
      <c r="BO7" s="32">
        <v>2.0</v>
      </c>
    </row>
    <row r="8">
      <c r="A8" s="43">
        <v>474305.0</v>
      </c>
      <c r="B8" s="55" t="s">
        <v>421</v>
      </c>
      <c r="C8" s="24"/>
      <c r="D8" s="153" t="s">
        <v>278</v>
      </c>
      <c r="E8" s="152">
        <v>1.0</v>
      </c>
      <c r="F8" s="152">
        <v>1.0</v>
      </c>
      <c r="G8" s="152">
        <v>1.0</v>
      </c>
      <c r="H8" s="154">
        <v>3.0</v>
      </c>
      <c r="I8" s="153" t="s">
        <v>278</v>
      </c>
      <c r="J8" s="153" t="s">
        <v>278</v>
      </c>
      <c r="K8" s="152"/>
      <c r="L8" s="152">
        <v>1.0</v>
      </c>
      <c r="M8" s="154">
        <v>4.0</v>
      </c>
      <c r="N8" s="153" t="s">
        <v>278</v>
      </c>
      <c r="O8" s="153" t="s">
        <v>278</v>
      </c>
      <c r="P8" s="153" t="s">
        <v>278</v>
      </c>
      <c r="Q8" s="152">
        <v>2.0</v>
      </c>
      <c r="R8" s="154">
        <v>3.0</v>
      </c>
      <c r="S8" s="152"/>
      <c r="T8" s="152"/>
      <c r="U8" s="152">
        <v>1.0</v>
      </c>
      <c r="V8" s="154">
        <v>3.0</v>
      </c>
      <c r="W8" s="240"/>
      <c r="X8" s="241"/>
      <c r="Y8" s="241"/>
      <c r="Z8" s="242"/>
      <c r="AA8" s="43">
        <v>474305.0</v>
      </c>
      <c r="AB8" s="36">
        <v>9.0</v>
      </c>
      <c r="AC8" s="36">
        <v>2.0</v>
      </c>
      <c r="AD8" s="36">
        <v>29.09</v>
      </c>
      <c r="AE8" s="28">
        <v>56374.0</v>
      </c>
      <c r="AF8" s="36">
        <v>10.0</v>
      </c>
      <c r="AG8" s="36">
        <v>2.0</v>
      </c>
      <c r="AH8" s="106">
        <v>45964.0</v>
      </c>
      <c r="AI8" s="28">
        <v>74823.0</v>
      </c>
      <c r="AJ8" s="36">
        <v>9.0</v>
      </c>
      <c r="AK8" s="36">
        <v>2.0</v>
      </c>
      <c r="AL8" s="24">
        <v>8.12</v>
      </c>
      <c r="AM8" s="28">
        <v>74906.0</v>
      </c>
      <c r="AN8" s="36">
        <v>8.0</v>
      </c>
      <c r="AO8" s="36">
        <v>1.0</v>
      </c>
      <c r="AP8" s="24">
        <v>12.01</v>
      </c>
      <c r="AQ8" s="28">
        <v>0.5</v>
      </c>
      <c r="AW8" s="36">
        <v>6.5</v>
      </c>
      <c r="AX8" s="24">
        <v>6.0</v>
      </c>
      <c r="AY8" s="28">
        <f t="shared" ref="AY8:AY10" si="19">SUM(AW8:AX8)</f>
        <v>12.5</v>
      </c>
      <c r="AZ8" s="21">
        <f t="shared" ref="AZ8:BA8" si="17">SUM(AW8)</f>
        <v>6.5</v>
      </c>
      <c r="BA8">
        <f t="shared" si="17"/>
        <v>6</v>
      </c>
      <c r="BB8">
        <f t="shared" si="6"/>
        <v>11</v>
      </c>
      <c r="BC8">
        <f t="shared" si="7"/>
        <v>12</v>
      </c>
      <c r="BD8">
        <f t="shared" si="8"/>
        <v>11</v>
      </c>
      <c r="BE8">
        <f t="shared" si="9"/>
        <v>9</v>
      </c>
      <c r="BF8">
        <f t="shared" ref="BF8:BK8" si="18">SUM(AQ8)</f>
        <v>0.5</v>
      </c>
      <c r="BG8">
        <f t="shared" si="18"/>
        <v>0</v>
      </c>
      <c r="BH8">
        <f t="shared" si="18"/>
        <v>0</v>
      </c>
      <c r="BI8">
        <f t="shared" si="18"/>
        <v>0</v>
      </c>
      <c r="BJ8">
        <f t="shared" si="18"/>
        <v>0</v>
      </c>
      <c r="BK8">
        <f t="shared" si="18"/>
        <v>0</v>
      </c>
      <c r="BL8">
        <f t="shared" si="11"/>
        <v>12.5</v>
      </c>
      <c r="BM8" s="4"/>
      <c r="BN8" s="50">
        <f t="shared" si="12"/>
        <v>68.5</v>
      </c>
      <c r="BO8" s="32">
        <v>1.0</v>
      </c>
    </row>
    <row r="9">
      <c r="A9" s="43">
        <v>405271.0</v>
      </c>
      <c r="B9" s="55" t="s">
        <v>422</v>
      </c>
      <c r="C9" s="24"/>
      <c r="D9" s="153" t="s">
        <v>278</v>
      </c>
      <c r="E9" s="152"/>
      <c r="F9" s="152"/>
      <c r="G9" s="153" t="s">
        <v>278</v>
      </c>
      <c r="H9" s="152"/>
      <c r="I9" s="152">
        <v>1.0</v>
      </c>
      <c r="J9" s="153" t="s">
        <v>278</v>
      </c>
      <c r="K9" s="152">
        <v>2.0</v>
      </c>
      <c r="L9" s="154">
        <v>1.0</v>
      </c>
      <c r="M9" s="152">
        <v>1.0</v>
      </c>
      <c r="N9" s="154">
        <v>4.0</v>
      </c>
      <c r="O9" s="152"/>
      <c r="P9" s="153" t="s">
        <v>278</v>
      </c>
      <c r="Q9" s="152"/>
      <c r="R9" s="152">
        <v>1.0</v>
      </c>
      <c r="S9" s="152">
        <v>1.0</v>
      </c>
      <c r="T9" s="154">
        <v>3.0</v>
      </c>
      <c r="U9" s="153" t="s">
        <v>278</v>
      </c>
      <c r="V9" s="154">
        <v>6.0</v>
      </c>
      <c r="W9" s="240"/>
      <c r="X9" s="241"/>
      <c r="Y9" s="241"/>
      <c r="Z9" s="242"/>
      <c r="AA9" s="43">
        <v>405271.0</v>
      </c>
      <c r="AB9" s="36">
        <v>8.0</v>
      </c>
      <c r="AC9" s="36">
        <v>1.0</v>
      </c>
      <c r="AD9" s="106">
        <v>45957.0</v>
      </c>
      <c r="AE9" s="28">
        <v>58999.0</v>
      </c>
      <c r="AF9" s="36">
        <v>8.5</v>
      </c>
      <c r="AG9" s="36">
        <v>1.0</v>
      </c>
      <c r="AH9" s="106">
        <v>45971.0</v>
      </c>
      <c r="AI9" s="28">
        <v>75009.0</v>
      </c>
      <c r="AJ9" s="36">
        <v>8.0</v>
      </c>
      <c r="AK9" s="36">
        <v>1.0</v>
      </c>
      <c r="AL9" s="24">
        <v>22.12</v>
      </c>
      <c r="AM9" s="21">
        <v>74932.0</v>
      </c>
      <c r="AN9" s="36">
        <v>7.0</v>
      </c>
      <c r="AO9" s="36">
        <v>1.0</v>
      </c>
      <c r="AP9" s="24">
        <v>12.01</v>
      </c>
      <c r="AQ9" s="28">
        <v>0.1</v>
      </c>
      <c r="AU9" s="36">
        <v>1.2</v>
      </c>
      <c r="AV9" s="36">
        <v>0.8</v>
      </c>
      <c r="AW9" s="36">
        <v>6.5</v>
      </c>
      <c r="AX9" s="24">
        <v>6.0</v>
      </c>
      <c r="AY9" s="28">
        <f t="shared" si="19"/>
        <v>12.5</v>
      </c>
      <c r="AZ9" s="21">
        <f t="shared" ref="AZ9:BA9" si="20">SUM(AW9)</f>
        <v>6.5</v>
      </c>
      <c r="BA9">
        <f t="shared" si="20"/>
        <v>6</v>
      </c>
      <c r="BB9">
        <f t="shared" si="6"/>
        <v>9</v>
      </c>
      <c r="BC9">
        <f t="shared" si="7"/>
        <v>9.5</v>
      </c>
      <c r="BD9">
        <f t="shared" si="8"/>
        <v>9</v>
      </c>
      <c r="BE9">
        <f t="shared" si="9"/>
        <v>8</v>
      </c>
      <c r="BF9">
        <f t="shared" ref="BF9:BK9" si="21">SUM(AQ9)</f>
        <v>0.1</v>
      </c>
      <c r="BG9">
        <f t="shared" si="21"/>
        <v>0</v>
      </c>
      <c r="BH9">
        <f t="shared" si="21"/>
        <v>0</v>
      </c>
      <c r="BI9">
        <f t="shared" si="21"/>
        <v>0</v>
      </c>
      <c r="BJ9">
        <f t="shared" si="21"/>
        <v>1.2</v>
      </c>
      <c r="BK9">
        <f t="shared" si="21"/>
        <v>0.8</v>
      </c>
      <c r="BL9">
        <f t="shared" si="11"/>
        <v>12.5</v>
      </c>
      <c r="BM9" s="4"/>
      <c r="BN9" s="50">
        <f t="shared" si="12"/>
        <v>62.6</v>
      </c>
      <c r="BO9" s="32">
        <v>1.0</v>
      </c>
    </row>
    <row r="10">
      <c r="A10" s="43">
        <v>406672.0</v>
      </c>
      <c r="B10" s="55" t="s">
        <v>423</v>
      </c>
      <c r="C10" s="24"/>
      <c r="D10" s="153" t="s">
        <v>278</v>
      </c>
      <c r="E10" s="152"/>
      <c r="F10" s="153" t="s">
        <v>278</v>
      </c>
      <c r="G10" s="152"/>
      <c r="H10" s="153" t="s">
        <v>278</v>
      </c>
      <c r="I10" s="152"/>
      <c r="J10" s="153" t="s">
        <v>278</v>
      </c>
      <c r="K10" s="152">
        <v>2.0</v>
      </c>
      <c r="L10" s="152">
        <v>1.0</v>
      </c>
      <c r="M10" s="154">
        <v>1.0</v>
      </c>
      <c r="N10" s="153" t="s">
        <v>278</v>
      </c>
      <c r="O10" s="152">
        <v>2.0</v>
      </c>
      <c r="P10" s="153" t="s">
        <v>278</v>
      </c>
      <c r="Q10" s="154">
        <v>3.0</v>
      </c>
      <c r="R10" s="153" t="s">
        <v>278</v>
      </c>
      <c r="S10" s="152"/>
      <c r="T10" s="152">
        <v>1.0</v>
      </c>
      <c r="U10" s="154">
        <v>2.0</v>
      </c>
      <c r="V10" s="154">
        <v>2.0</v>
      </c>
      <c r="W10" s="240"/>
      <c r="X10" s="241"/>
      <c r="Y10" s="241"/>
      <c r="Z10" s="242"/>
      <c r="AA10" s="43">
        <v>406672.0</v>
      </c>
      <c r="AB10" s="36">
        <v>8.0</v>
      </c>
      <c r="AC10" s="36">
        <v>1.0</v>
      </c>
      <c r="AD10" s="106">
        <v>45964.0</v>
      </c>
      <c r="AE10" s="28">
        <v>59505.0</v>
      </c>
      <c r="AF10" s="36">
        <v>8.0</v>
      </c>
      <c r="AG10" s="36">
        <v>0.0</v>
      </c>
      <c r="AH10" s="24">
        <v>1.12</v>
      </c>
      <c r="AI10" s="28">
        <v>75044.0</v>
      </c>
      <c r="AJ10" s="36">
        <v>8.5</v>
      </c>
      <c r="AK10" s="36">
        <v>1.0</v>
      </c>
      <c r="AL10" s="24">
        <v>29.12</v>
      </c>
      <c r="AM10" s="28">
        <v>74958.0</v>
      </c>
      <c r="AN10" s="36">
        <v>9.0</v>
      </c>
      <c r="AO10" s="36">
        <v>1.0</v>
      </c>
      <c r="AP10" s="24">
        <v>12.01</v>
      </c>
      <c r="AQ10" s="28"/>
      <c r="AT10" s="36">
        <v>1.4</v>
      </c>
      <c r="AU10" s="36">
        <v>0.01</v>
      </c>
      <c r="AW10" s="36">
        <v>6.0</v>
      </c>
      <c r="AX10" s="24">
        <v>6.0</v>
      </c>
      <c r="AY10" s="28">
        <f t="shared" si="19"/>
        <v>12</v>
      </c>
      <c r="AZ10" s="21">
        <f t="shared" ref="AZ10:BA10" si="22">SUM(AW10)</f>
        <v>6</v>
      </c>
      <c r="BA10">
        <f t="shared" si="22"/>
        <v>6</v>
      </c>
      <c r="BB10">
        <f t="shared" si="6"/>
        <v>9</v>
      </c>
      <c r="BC10">
        <f t="shared" si="7"/>
        <v>8</v>
      </c>
      <c r="BD10">
        <f t="shared" si="8"/>
        <v>9.5</v>
      </c>
      <c r="BE10">
        <f t="shared" si="9"/>
        <v>10</v>
      </c>
      <c r="BF10">
        <f t="shared" ref="BF10:BK10" si="23">SUM(AQ10)</f>
        <v>0</v>
      </c>
      <c r="BG10">
        <f t="shared" si="23"/>
        <v>0</v>
      </c>
      <c r="BH10">
        <f t="shared" si="23"/>
        <v>0</v>
      </c>
      <c r="BI10">
        <f t="shared" si="23"/>
        <v>1.4</v>
      </c>
      <c r="BJ10">
        <f t="shared" si="23"/>
        <v>0.01</v>
      </c>
      <c r="BK10">
        <f t="shared" si="23"/>
        <v>0</v>
      </c>
      <c r="BL10">
        <f t="shared" si="11"/>
        <v>12</v>
      </c>
      <c r="BM10" s="4"/>
      <c r="BN10" s="50">
        <f t="shared" si="12"/>
        <v>61.91</v>
      </c>
      <c r="BO10" s="32">
        <v>1.0</v>
      </c>
    </row>
    <row r="11">
      <c r="A11" s="43">
        <v>467222.0</v>
      </c>
      <c r="B11" s="55" t="s">
        <v>424</v>
      </c>
      <c r="C11" s="24"/>
      <c r="D11" s="153" t="s">
        <v>278</v>
      </c>
      <c r="E11" s="153" t="s">
        <v>278</v>
      </c>
      <c r="F11" s="153" t="s">
        <v>278</v>
      </c>
      <c r="G11" s="153" t="s">
        <v>278</v>
      </c>
      <c r="H11" s="153" t="s">
        <v>278</v>
      </c>
      <c r="I11" s="153" t="s">
        <v>278</v>
      </c>
      <c r="J11" s="153" t="s">
        <v>278</v>
      </c>
      <c r="K11" s="152"/>
      <c r="L11" s="153" t="s">
        <v>278</v>
      </c>
      <c r="M11" s="152"/>
      <c r="N11" s="152"/>
      <c r="O11" s="152">
        <v>2.0</v>
      </c>
      <c r="P11" s="153" t="s">
        <v>278</v>
      </c>
      <c r="Q11" s="152">
        <v>4.0</v>
      </c>
      <c r="R11" s="154">
        <v>3.0</v>
      </c>
      <c r="S11" s="152">
        <v>1.0</v>
      </c>
      <c r="T11" s="154">
        <v>2.0</v>
      </c>
      <c r="U11" s="154">
        <v>2.0</v>
      </c>
      <c r="V11" s="152">
        <v>2.0</v>
      </c>
      <c r="W11" s="159" t="s">
        <v>278</v>
      </c>
      <c r="X11" s="154">
        <v>1.0</v>
      </c>
      <c r="Y11" s="241"/>
      <c r="Z11" s="242"/>
      <c r="AA11" s="43">
        <v>467222.0</v>
      </c>
      <c r="AB11" s="36">
        <v>8.0</v>
      </c>
      <c r="AC11" s="36">
        <v>0.0</v>
      </c>
      <c r="AD11" s="24">
        <v>8.12</v>
      </c>
      <c r="AE11" s="28">
        <v>60001.0</v>
      </c>
      <c r="AF11" s="36">
        <v>7.0</v>
      </c>
      <c r="AG11" s="36">
        <v>0.0</v>
      </c>
      <c r="AH11" s="24">
        <v>22.12</v>
      </c>
      <c r="AI11" s="21">
        <v>75050.0</v>
      </c>
      <c r="AJ11" s="36">
        <v>8.0</v>
      </c>
      <c r="AK11" s="36">
        <v>1.0</v>
      </c>
      <c r="AL11" s="24">
        <v>29.12</v>
      </c>
      <c r="AM11" s="28">
        <v>74977.0</v>
      </c>
      <c r="AN11" s="36">
        <v>6.0</v>
      </c>
      <c r="AO11" s="36">
        <v>0.0</v>
      </c>
      <c r="AP11" s="24">
        <v>13.02</v>
      </c>
      <c r="AQ11" s="28">
        <v>1.4</v>
      </c>
      <c r="AV11" s="36">
        <v>0.01</v>
      </c>
      <c r="AW11" s="36">
        <v>6.0</v>
      </c>
      <c r="AX11" s="24">
        <v>6.0</v>
      </c>
      <c r="AY11" s="28">
        <f>SUM(AW11:AX11)+2</f>
        <v>14</v>
      </c>
      <c r="AZ11" s="21">
        <f t="shared" ref="AZ11:BA11" si="24">SUM(AW11)</f>
        <v>6</v>
      </c>
      <c r="BA11">
        <f t="shared" si="24"/>
        <v>6</v>
      </c>
      <c r="BB11">
        <f t="shared" si="6"/>
        <v>8</v>
      </c>
      <c r="BC11">
        <f t="shared" si="7"/>
        <v>7</v>
      </c>
      <c r="BD11">
        <f t="shared" si="8"/>
        <v>9</v>
      </c>
      <c r="BE11">
        <f t="shared" si="9"/>
        <v>6</v>
      </c>
      <c r="BF11">
        <f t="shared" ref="BF11:BK11" si="25">SUM(AQ11)</f>
        <v>1.4</v>
      </c>
      <c r="BG11">
        <f t="shared" si="25"/>
        <v>0</v>
      </c>
      <c r="BH11">
        <f t="shared" si="25"/>
        <v>0</v>
      </c>
      <c r="BI11">
        <f t="shared" si="25"/>
        <v>0</v>
      </c>
      <c r="BJ11">
        <f t="shared" si="25"/>
        <v>0</v>
      </c>
      <c r="BK11">
        <f t="shared" si="25"/>
        <v>0.01</v>
      </c>
      <c r="BL11">
        <f t="shared" si="11"/>
        <v>14</v>
      </c>
      <c r="BM11" s="24">
        <v>3.0</v>
      </c>
      <c r="BN11" s="50">
        <f t="shared" si="12"/>
        <v>60.41</v>
      </c>
      <c r="BO11" s="32">
        <v>2.0</v>
      </c>
    </row>
    <row r="12">
      <c r="A12" s="43">
        <v>467305.0</v>
      </c>
      <c r="B12" s="55" t="s">
        <v>425</v>
      </c>
      <c r="C12" s="24"/>
      <c r="D12" s="153" t="s">
        <v>278</v>
      </c>
      <c r="E12" s="152"/>
      <c r="F12" s="152"/>
      <c r="G12" s="152"/>
      <c r="H12" s="152"/>
      <c r="I12" s="152">
        <v>3.0</v>
      </c>
      <c r="J12" s="153" t="s">
        <v>278</v>
      </c>
      <c r="K12" s="152">
        <v>2.0</v>
      </c>
      <c r="L12" s="154">
        <v>2.0</v>
      </c>
      <c r="M12" s="153" t="s">
        <v>278</v>
      </c>
      <c r="N12" s="152"/>
      <c r="O12" s="154">
        <v>2.0</v>
      </c>
      <c r="P12" s="153" t="s">
        <v>278</v>
      </c>
      <c r="Q12" s="153" t="s">
        <v>278</v>
      </c>
      <c r="R12" s="152"/>
      <c r="S12" s="152">
        <v>2.0</v>
      </c>
      <c r="T12" s="154">
        <v>1.0</v>
      </c>
      <c r="U12" s="153" t="s">
        <v>278</v>
      </c>
      <c r="V12" s="152">
        <v>4.0</v>
      </c>
      <c r="W12" s="161">
        <v>2.0</v>
      </c>
      <c r="X12" s="241"/>
      <c r="Y12" s="241"/>
      <c r="Z12" s="242"/>
      <c r="AA12" s="43">
        <v>467305.0</v>
      </c>
      <c r="AB12" s="36">
        <v>8.0</v>
      </c>
      <c r="AC12" s="36">
        <v>1.0</v>
      </c>
      <c r="AD12" s="106">
        <v>45957.0</v>
      </c>
      <c r="AE12" s="28">
        <v>59499.0</v>
      </c>
      <c r="AF12" s="36">
        <v>8.0</v>
      </c>
      <c r="AG12" s="36">
        <v>1.0</v>
      </c>
      <c r="AH12" s="106">
        <v>45978.0</v>
      </c>
      <c r="AI12" s="28">
        <v>75019.0</v>
      </c>
      <c r="AJ12" s="36">
        <v>8.0</v>
      </c>
      <c r="AK12" s="36">
        <v>1.0</v>
      </c>
      <c r="AL12" s="24">
        <v>22.12</v>
      </c>
      <c r="AM12" s="28">
        <v>74937.0</v>
      </c>
      <c r="AN12" s="36">
        <v>6.0</v>
      </c>
      <c r="AO12" s="36">
        <v>0.0</v>
      </c>
      <c r="AP12" s="24">
        <v>6.02</v>
      </c>
      <c r="AQ12" s="28">
        <v>0.01</v>
      </c>
      <c r="AR12" s="36">
        <v>0.2</v>
      </c>
      <c r="AT12" s="36">
        <v>1.2</v>
      </c>
      <c r="AU12" s="36">
        <v>1.2</v>
      </c>
      <c r="AW12" s="36">
        <v>6.0</v>
      </c>
      <c r="AX12" s="24">
        <v>6.0</v>
      </c>
      <c r="AY12" s="28">
        <f t="shared" ref="AY12:AY18" si="28">SUM(AW12:AX12)</f>
        <v>12</v>
      </c>
      <c r="AZ12" s="21">
        <f t="shared" ref="AZ12:BA12" si="26">SUM(AW12)</f>
        <v>6</v>
      </c>
      <c r="BA12">
        <f t="shared" si="26"/>
        <v>6</v>
      </c>
      <c r="BB12">
        <f t="shared" si="6"/>
        <v>9</v>
      </c>
      <c r="BC12">
        <f t="shared" si="7"/>
        <v>9</v>
      </c>
      <c r="BD12">
        <f t="shared" si="8"/>
        <v>9</v>
      </c>
      <c r="BE12">
        <f t="shared" si="9"/>
        <v>6</v>
      </c>
      <c r="BF12">
        <f t="shared" ref="BF12:BK12" si="27">SUM(AQ12)</f>
        <v>0.01</v>
      </c>
      <c r="BG12">
        <f t="shared" si="27"/>
        <v>0.2</v>
      </c>
      <c r="BH12">
        <f t="shared" si="27"/>
        <v>0</v>
      </c>
      <c r="BI12">
        <f t="shared" si="27"/>
        <v>1.2</v>
      </c>
      <c r="BJ12">
        <f t="shared" si="27"/>
        <v>1.2</v>
      </c>
      <c r="BK12">
        <f t="shared" si="27"/>
        <v>0</v>
      </c>
      <c r="BL12">
        <f t="shared" si="11"/>
        <v>12</v>
      </c>
      <c r="BM12" s="24">
        <v>1.0</v>
      </c>
      <c r="BN12" s="50">
        <f t="shared" si="12"/>
        <v>60.61</v>
      </c>
      <c r="BO12" s="32">
        <v>2.0</v>
      </c>
    </row>
    <row r="13">
      <c r="A13" s="43">
        <v>467371.0</v>
      </c>
      <c r="B13" s="55" t="s">
        <v>426</v>
      </c>
      <c r="D13" s="159" t="s">
        <v>278</v>
      </c>
      <c r="E13" s="152">
        <v>1.0</v>
      </c>
      <c r="F13" s="152">
        <v>1.0</v>
      </c>
      <c r="G13" s="152"/>
      <c r="H13" s="154">
        <v>5.0</v>
      </c>
      <c r="I13" s="153" t="s">
        <v>278</v>
      </c>
      <c r="J13" s="153" t="s">
        <v>278</v>
      </c>
      <c r="K13" s="152"/>
      <c r="L13" s="152">
        <v>1.0</v>
      </c>
      <c r="M13" s="154">
        <v>5.0</v>
      </c>
      <c r="N13" s="153" t="s">
        <v>278</v>
      </c>
      <c r="O13" s="153" t="s">
        <v>278</v>
      </c>
      <c r="P13" s="153" t="s">
        <v>278</v>
      </c>
      <c r="Q13" s="154">
        <v>4.0</v>
      </c>
      <c r="R13" s="153" t="s">
        <v>278</v>
      </c>
      <c r="S13" s="152"/>
      <c r="T13" s="154">
        <v>3.0</v>
      </c>
      <c r="U13" s="241"/>
      <c r="V13" s="241"/>
      <c r="W13" s="240"/>
      <c r="X13" s="241"/>
      <c r="Y13" s="241"/>
      <c r="Z13" s="242"/>
      <c r="AA13" s="43">
        <v>467371.0</v>
      </c>
      <c r="AB13" s="36">
        <v>10.0</v>
      </c>
      <c r="AC13" s="36">
        <v>2.0</v>
      </c>
      <c r="AD13" s="36">
        <v>29.09</v>
      </c>
      <c r="AE13" s="21">
        <v>56375.0</v>
      </c>
      <c r="AF13" s="36">
        <v>10.0</v>
      </c>
      <c r="AG13" s="36">
        <v>2.0</v>
      </c>
      <c r="AH13" s="106">
        <v>45964.0</v>
      </c>
      <c r="AI13" s="28">
        <v>74834.0</v>
      </c>
      <c r="AJ13" s="36">
        <v>10.0</v>
      </c>
      <c r="AK13" s="36">
        <v>2.0</v>
      </c>
      <c r="AL13" s="24">
        <v>1.12</v>
      </c>
      <c r="AM13" s="28">
        <v>55455.0</v>
      </c>
      <c r="AN13" s="36">
        <v>10.0</v>
      </c>
      <c r="AO13" s="36">
        <v>2.0</v>
      </c>
      <c r="AP13" s="24">
        <v>22.12</v>
      </c>
      <c r="AQ13" s="28">
        <v>0.3</v>
      </c>
      <c r="AU13" s="36">
        <v>2.0</v>
      </c>
      <c r="AV13" s="36">
        <v>0.01</v>
      </c>
      <c r="AW13" s="36">
        <v>9.5</v>
      </c>
      <c r="AX13" s="36">
        <v>6.0</v>
      </c>
      <c r="AY13" s="28">
        <f t="shared" si="28"/>
        <v>15.5</v>
      </c>
      <c r="AZ13" s="21">
        <f t="shared" ref="AZ13:BA13" si="29">SUM(AW13)</f>
        <v>9.5</v>
      </c>
      <c r="BA13">
        <f t="shared" si="29"/>
        <v>6</v>
      </c>
      <c r="BB13">
        <f t="shared" si="6"/>
        <v>12</v>
      </c>
      <c r="BC13">
        <f t="shared" si="7"/>
        <v>12</v>
      </c>
      <c r="BD13">
        <f t="shared" si="8"/>
        <v>12</v>
      </c>
      <c r="BE13">
        <f t="shared" si="9"/>
        <v>12</v>
      </c>
      <c r="BF13">
        <f t="shared" ref="BF13:BK13" si="30">SUM(AQ13)</f>
        <v>0.3</v>
      </c>
      <c r="BG13">
        <f t="shared" si="30"/>
        <v>0</v>
      </c>
      <c r="BH13">
        <f t="shared" si="30"/>
        <v>0</v>
      </c>
      <c r="BI13">
        <f t="shared" si="30"/>
        <v>0</v>
      </c>
      <c r="BJ13">
        <f t="shared" si="30"/>
        <v>2</v>
      </c>
      <c r="BK13">
        <f t="shared" si="30"/>
        <v>0.01</v>
      </c>
      <c r="BL13">
        <f t="shared" si="11"/>
        <v>15.5</v>
      </c>
      <c r="BM13" s="24">
        <v>2.0</v>
      </c>
      <c r="BN13" s="50">
        <f t="shared" si="12"/>
        <v>83.31</v>
      </c>
      <c r="BO13" s="32">
        <v>1.0</v>
      </c>
    </row>
    <row r="14">
      <c r="A14" s="43">
        <v>467422.0</v>
      </c>
      <c r="B14" s="55" t="s">
        <v>427</v>
      </c>
      <c r="D14" s="159" t="s">
        <v>278</v>
      </c>
      <c r="E14" s="152"/>
      <c r="F14" s="152"/>
      <c r="G14" s="152"/>
      <c r="H14" s="152"/>
      <c r="I14" s="152">
        <v>1.0</v>
      </c>
      <c r="J14" s="153" t="s">
        <v>278</v>
      </c>
      <c r="K14" s="152">
        <v>1.0</v>
      </c>
      <c r="L14" s="154">
        <v>1.0</v>
      </c>
      <c r="M14" s="153" t="s">
        <v>278</v>
      </c>
      <c r="N14" s="152"/>
      <c r="O14" s="154">
        <v>2.0</v>
      </c>
      <c r="P14" s="153" t="s">
        <v>278</v>
      </c>
      <c r="Q14" s="153" t="s">
        <v>278</v>
      </c>
      <c r="R14" s="152"/>
      <c r="S14" s="152"/>
      <c r="T14" s="152">
        <v>1.0</v>
      </c>
      <c r="U14" s="154">
        <v>2.0</v>
      </c>
      <c r="V14" s="154">
        <v>4.0</v>
      </c>
      <c r="W14" s="240"/>
      <c r="X14" s="241"/>
      <c r="Y14" s="241"/>
      <c r="Z14" s="242"/>
      <c r="AA14" s="43">
        <v>467422.0</v>
      </c>
      <c r="AB14" s="36">
        <v>8.0</v>
      </c>
      <c r="AC14" s="36">
        <v>1.0</v>
      </c>
      <c r="AD14" s="106">
        <v>45957.0</v>
      </c>
      <c r="AE14" s="28">
        <v>59002.0</v>
      </c>
      <c r="AF14" s="36">
        <v>8.5</v>
      </c>
      <c r="AG14" s="36">
        <v>1.0</v>
      </c>
      <c r="AH14" s="106">
        <v>45978.0</v>
      </c>
      <c r="AI14" s="28">
        <v>75011.0</v>
      </c>
      <c r="AJ14" s="36">
        <v>7.5</v>
      </c>
      <c r="AK14" s="36">
        <v>1.0</v>
      </c>
      <c r="AL14" s="24">
        <v>29.12</v>
      </c>
      <c r="AM14" s="28">
        <v>74949.0</v>
      </c>
      <c r="AN14" s="36">
        <v>7.0</v>
      </c>
      <c r="AO14" s="36">
        <v>1.0</v>
      </c>
      <c r="AP14" s="24">
        <v>12.01</v>
      </c>
      <c r="AQ14" s="28">
        <v>0.4</v>
      </c>
      <c r="AR14" s="36">
        <v>0.3</v>
      </c>
      <c r="AU14" s="36">
        <v>1.2</v>
      </c>
      <c r="AW14" s="36">
        <v>6.0</v>
      </c>
      <c r="AX14" s="36">
        <v>6.0</v>
      </c>
      <c r="AY14" s="28">
        <f t="shared" si="28"/>
        <v>12</v>
      </c>
      <c r="AZ14" s="21">
        <f t="shared" ref="AZ14:BA14" si="31">SUM(AW14)</f>
        <v>6</v>
      </c>
      <c r="BA14">
        <f t="shared" si="31"/>
        <v>6</v>
      </c>
      <c r="BB14">
        <f t="shared" si="6"/>
        <v>9</v>
      </c>
      <c r="BC14">
        <f t="shared" si="7"/>
        <v>9.5</v>
      </c>
      <c r="BD14">
        <f t="shared" si="8"/>
        <v>8.5</v>
      </c>
      <c r="BE14">
        <f t="shared" si="9"/>
        <v>8</v>
      </c>
      <c r="BF14">
        <f t="shared" ref="BF14:BK14" si="32">SUM(AQ14)</f>
        <v>0.4</v>
      </c>
      <c r="BG14">
        <f t="shared" si="32"/>
        <v>0.3</v>
      </c>
      <c r="BH14">
        <f t="shared" si="32"/>
        <v>0</v>
      </c>
      <c r="BI14">
        <f t="shared" si="32"/>
        <v>0</v>
      </c>
      <c r="BJ14">
        <f t="shared" si="32"/>
        <v>1.2</v>
      </c>
      <c r="BK14">
        <f t="shared" si="32"/>
        <v>0</v>
      </c>
      <c r="BL14">
        <f t="shared" si="11"/>
        <v>12</v>
      </c>
      <c r="BM14" s="4"/>
      <c r="BN14" s="50">
        <f t="shared" si="12"/>
        <v>60.9</v>
      </c>
      <c r="BO14" s="32">
        <v>1.0</v>
      </c>
    </row>
    <row r="15">
      <c r="A15" s="43">
        <v>467495.0</v>
      </c>
      <c r="B15" s="55" t="s">
        <v>428</v>
      </c>
      <c r="D15" s="159" t="s">
        <v>278</v>
      </c>
      <c r="E15" s="153" t="s">
        <v>278</v>
      </c>
      <c r="F15" s="153" t="s">
        <v>278</v>
      </c>
      <c r="G15" s="152"/>
      <c r="H15" s="152">
        <v>2.0</v>
      </c>
      <c r="I15" s="154">
        <v>4.0</v>
      </c>
      <c r="J15" s="153" t="s">
        <v>278</v>
      </c>
      <c r="K15" s="152"/>
      <c r="L15" s="152">
        <v>1.0</v>
      </c>
      <c r="M15" s="154">
        <v>3.0</v>
      </c>
      <c r="N15" s="153" t="s">
        <v>278</v>
      </c>
      <c r="O15" s="153" t="s">
        <v>278</v>
      </c>
      <c r="P15" s="153" t="s">
        <v>278</v>
      </c>
      <c r="Q15" s="154">
        <v>4.0</v>
      </c>
      <c r="R15" s="152"/>
      <c r="S15" s="152">
        <v>1.0</v>
      </c>
      <c r="T15" s="152">
        <v>2.0</v>
      </c>
      <c r="U15" s="154">
        <v>1.0</v>
      </c>
      <c r="V15" s="241"/>
      <c r="W15" s="240"/>
      <c r="X15" s="241"/>
      <c r="Y15" s="241"/>
      <c r="Z15" s="242"/>
      <c r="AA15" s="43">
        <v>467495.0</v>
      </c>
      <c r="AB15" s="36">
        <v>9.0</v>
      </c>
      <c r="AC15" s="36">
        <v>2.0</v>
      </c>
      <c r="AD15" s="243">
        <v>45936.0</v>
      </c>
      <c r="AE15" s="28">
        <v>57834.0</v>
      </c>
      <c r="AF15" s="36">
        <v>10.0</v>
      </c>
      <c r="AG15" s="36">
        <v>2.0</v>
      </c>
      <c r="AH15" s="106">
        <v>45964.0</v>
      </c>
      <c r="AI15" s="28">
        <v>74899.0</v>
      </c>
      <c r="AJ15" s="36">
        <v>9.0</v>
      </c>
      <c r="AK15" s="36">
        <v>2.0</v>
      </c>
      <c r="AL15" s="24">
        <v>1.12</v>
      </c>
      <c r="AM15" s="28">
        <v>74902.0</v>
      </c>
      <c r="AN15" s="36">
        <v>10.0</v>
      </c>
      <c r="AO15" s="36">
        <v>2.0</v>
      </c>
      <c r="AP15" s="24">
        <v>29.12</v>
      </c>
      <c r="AQ15" s="28">
        <v>0.7</v>
      </c>
      <c r="AR15" s="36">
        <v>1.7</v>
      </c>
      <c r="AW15" s="36">
        <v>7.0</v>
      </c>
      <c r="AX15" s="36">
        <v>6.0</v>
      </c>
      <c r="AY15" s="28">
        <f t="shared" si="28"/>
        <v>13</v>
      </c>
      <c r="AZ15" s="21">
        <f t="shared" ref="AZ15:BA15" si="33">SUM(AW15)</f>
        <v>7</v>
      </c>
      <c r="BA15">
        <f t="shared" si="33"/>
        <v>6</v>
      </c>
      <c r="BB15">
        <f t="shared" si="6"/>
        <v>11</v>
      </c>
      <c r="BC15">
        <f t="shared" si="7"/>
        <v>12</v>
      </c>
      <c r="BD15">
        <f t="shared" si="8"/>
        <v>11</v>
      </c>
      <c r="BE15">
        <f t="shared" si="9"/>
        <v>12</v>
      </c>
      <c r="BF15">
        <f t="shared" ref="BF15:BK15" si="34">SUM(AQ15)</f>
        <v>0.7</v>
      </c>
      <c r="BG15">
        <f t="shared" si="34"/>
        <v>1.7</v>
      </c>
      <c r="BH15">
        <f t="shared" si="34"/>
        <v>0</v>
      </c>
      <c r="BI15">
        <f t="shared" si="34"/>
        <v>0</v>
      </c>
      <c r="BJ15">
        <f t="shared" si="34"/>
        <v>0</v>
      </c>
      <c r="BK15">
        <f t="shared" si="34"/>
        <v>0</v>
      </c>
      <c r="BL15">
        <f t="shared" si="11"/>
        <v>13</v>
      </c>
      <c r="BM15" s="4"/>
      <c r="BN15" s="50">
        <f t="shared" si="12"/>
        <v>74.4</v>
      </c>
      <c r="BO15" s="32">
        <v>1.0</v>
      </c>
    </row>
    <row r="16">
      <c r="A16" s="43">
        <v>476011.0</v>
      </c>
      <c r="B16" s="55" t="s">
        <v>429</v>
      </c>
      <c r="C16" s="24"/>
      <c r="D16" s="153" t="s">
        <v>278</v>
      </c>
      <c r="E16" s="152"/>
      <c r="F16" s="152"/>
      <c r="G16" s="152"/>
      <c r="H16" s="152">
        <v>2.0</v>
      </c>
      <c r="I16" s="152">
        <v>4.0</v>
      </c>
      <c r="J16" s="153" t="s">
        <v>278</v>
      </c>
      <c r="K16" s="154">
        <v>3.0</v>
      </c>
      <c r="L16" s="152">
        <v>1.0</v>
      </c>
      <c r="M16" s="152">
        <v>1.0</v>
      </c>
      <c r="N16" s="154">
        <v>4.0</v>
      </c>
      <c r="O16" s="153" t="s">
        <v>278</v>
      </c>
      <c r="P16" s="153" t="s">
        <v>278</v>
      </c>
      <c r="Q16" s="153" t="s">
        <v>278</v>
      </c>
      <c r="R16" s="153" t="s">
        <v>278</v>
      </c>
      <c r="S16" s="152"/>
      <c r="T16" s="154">
        <v>2.0</v>
      </c>
      <c r="U16" s="152">
        <v>2.0</v>
      </c>
      <c r="V16" s="154">
        <v>4.0</v>
      </c>
      <c r="W16" s="240"/>
      <c r="X16" s="241"/>
      <c r="Y16" s="241"/>
      <c r="Z16" s="242"/>
      <c r="AA16" s="43">
        <v>476011.0</v>
      </c>
      <c r="AB16" s="36">
        <v>9.0</v>
      </c>
      <c r="AC16" s="36">
        <v>1.0</v>
      </c>
      <c r="AD16" s="243">
        <v>45950.0</v>
      </c>
      <c r="AE16" s="28">
        <v>57999.0</v>
      </c>
      <c r="AF16" s="36">
        <v>8.5</v>
      </c>
      <c r="AG16" s="36">
        <v>1.0</v>
      </c>
      <c r="AH16" s="106">
        <v>45971.0</v>
      </c>
      <c r="AI16" s="28">
        <v>75001.0</v>
      </c>
      <c r="AJ16" s="36">
        <v>9.0</v>
      </c>
      <c r="AK16" s="36">
        <v>1.0</v>
      </c>
      <c r="AL16" s="24">
        <v>22.12</v>
      </c>
      <c r="AM16" s="21">
        <v>74925.0</v>
      </c>
      <c r="AN16" s="36">
        <v>8.5</v>
      </c>
      <c r="AO16" s="36">
        <v>1.0</v>
      </c>
      <c r="AP16" s="24">
        <v>12.01</v>
      </c>
      <c r="AQ16" s="28">
        <v>1.3</v>
      </c>
      <c r="AR16" s="36">
        <v>0.7</v>
      </c>
      <c r="AW16" s="36">
        <v>9.0</v>
      </c>
      <c r="AX16" s="24">
        <v>6.0</v>
      </c>
      <c r="AY16" s="28">
        <f t="shared" si="28"/>
        <v>15</v>
      </c>
      <c r="AZ16" s="21">
        <f t="shared" ref="AZ16:BA16" si="35">SUM(AW16)</f>
        <v>9</v>
      </c>
      <c r="BA16">
        <f t="shared" si="35"/>
        <v>6</v>
      </c>
      <c r="BB16">
        <f t="shared" si="6"/>
        <v>10</v>
      </c>
      <c r="BC16">
        <f t="shared" si="7"/>
        <v>9.5</v>
      </c>
      <c r="BD16">
        <f t="shared" si="8"/>
        <v>10</v>
      </c>
      <c r="BE16">
        <f t="shared" si="9"/>
        <v>9.5</v>
      </c>
      <c r="BF16">
        <f t="shared" ref="BF16:BK16" si="36">SUM(AQ16)</f>
        <v>1.3</v>
      </c>
      <c r="BG16">
        <f t="shared" si="36"/>
        <v>0.7</v>
      </c>
      <c r="BH16">
        <f t="shared" si="36"/>
        <v>0</v>
      </c>
      <c r="BI16">
        <f t="shared" si="36"/>
        <v>0</v>
      </c>
      <c r="BJ16">
        <f t="shared" si="36"/>
        <v>0</v>
      </c>
      <c r="BK16">
        <f t="shared" si="36"/>
        <v>0</v>
      </c>
      <c r="BL16">
        <f t="shared" si="11"/>
        <v>15</v>
      </c>
      <c r="BM16" s="4"/>
      <c r="BN16" s="50">
        <f t="shared" si="12"/>
        <v>71</v>
      </c>
      <c r="BO16" s="32">
        <v>1.0</v>
      </c>
    </row>
    <row r="17">
      <c r="A17" s="43">
        <v>467550.0</v>
      </c>
      <c r="B17" s="55" t="s">
        <v>430</v>
      </c>
      <c r="C17" s="24"/>
      <c r="D17" s="153" t="s">
        <v>278</v>
      </c>
      <c r="E17" s="152"/>
      <c r="F17" s="152"/>
      <c r="G17" s="153" t="s">
        <v>278</v>
      </c>
      <c r="H17" s="152">
        <v>1.0</v>
      </c>
      <c r="I17" s="152">
        <v>2.0</v>
      </c>
      <c r="J17" s="153" t="s">
        <v>278</v>
      </c>
      <c r="K17" s="154">
        <v>3.0</v>
      </c>
      <c r="L17" s="152"/>
      <c r="M17" s="152">
        <v>1.0</v>
      </c>
      <c r="N17" s="154">
        <v>3.0</v>
      </c>
      <c r="O17" s="153" t="s">
        <v>278</v>
      </c>
      <c r="P17" s="153" t="s">
        <v>278</v>
      </c>
      <c r="Q17" s="152"/>
      <c r="R17" s="154">
        <v>2.0</v>
      </c>
      <c r="S17" s="152"/>
      <c r="T17" s="153" t="s">
        <v>278</v>
      </c>
      <c r="U17" s="152">
        <v>1.0</v>
      </c>
      <c r="V17" s="154">
        <v>3.0</v>
      </c>
      <c r="W17" s="240"/>
      <c r="X17" s="241"/>
      <c r="Y17" s="241"/>
      <c r="Z17" s="242"/>
      <c r="AA17" s="43">
        <v>467550.0</v>
      </c>
      <c r="AB17" s="36">
        <v>9.0</v>
      </c>
      <c r="AC17" s="36">
        <v>1.0</v>
      </c>
      <c r="AD17" s="243">
        <v>45950.0</v>
      </c>
      <c r="AE17" s="28">
        <v>58902.0</v>
      </c>
      <c r="AF17" s="36">
        <v>9.0</v>
      </c>
      <c r="AG17" s="36">
        <v>1.0</v>
      </c>
      <c r="AH17" s="106">
        <v>45971.0</v>
      </c>
      <c r="AI17" s="28">
        <v>74999.0</v>
      </c>
      <c r="AJ17" s="36">
        <v>9.0</v>
      </c>
      <c r="AK17" s="36">
        <v>2.0</v>
      </c>
      <c r="AL17" s="24">
        <v>8.12</v>
      </c>
      <c r="AM17" s="28">
        <v>74923.0</v>
      </c>
      <c r="AN17" s="36">
        <v>7.0</v>
      </c>
      <c r="AO17" s="36">
        <v>1.0</v>
      </c>
      <c r="AP17" s="24">
        <v>12.01</v>
      </c>
      <c r="AQ17" s="28"/>
      <c r="AR17" s="36">
        <v>0.4</v>
      </c>
      <c r="AS17" s="36">
        <v>1.3</v>
      </c>
      <c r="AT17" s="36">
        <v>1.1</v>
      </c>
      <c r="AU17" s="36">
        <v>2.0</v>
      </c>
      <c r="AV17" s="36">
        <v>0.01</v>
      </c>
      <c r="AW17" s="36">
        <v>9.0</v>
      </c>
      <c r="AX17" s="24">
        <v>7.71</v>
      </c>
      <c r="AY17" s="28">
        <f t="shared" si="28"/>
        <v>16.71</v>
      </c>
      <c r="AZ17" s="21">
        <f t="shared" ref="AZ17:BA17" si="37">SUM(AW17)</f>
        <v>9</v>
      </c>
      <c r="BA17">
        <f t="shared" si="37"/>
        <v>7.71</v>
      </c>
      <c r="BB17">
        <f t="shared" si="6"/>
        <v>10</v>
      </c>
      <c r="BC17">
        <f t="shared" si="7"/>
        <v>10</v>
      </c>
      <c r="BD17">
        <f t="shared" si="8"/>
        <v>11</v>
      </c>
      <c r="BE17">
        <f t="shared" si="9"/>
        <v>8</v>
      </c>
      <c r="BF17">
        <f t="shared" ref="BF17:BK17" si="38">SUM(AQ17)</f>
        <v>0</v>
      </c>
      <c r="BG17">
        <f t="shared" si="38"/>
        <v>0.4</v>
      </c>
      <c r="BH17">
        <f t="shared" si="38"/>
        <v>1.3</v>
      </c>
      <c r="BI17">
        <f t="shared" si="38"/>
        <v>1.1</v>
      </c>
      <c r="BJ17">
        <f t="shared" si="38"/>
        <v>2</v>
      </c>
      <c r="BK17">
        <f t="shared" si="38"/>
        <v>0.01</v>
      </c>
      <c r="BL17">
        <f t="shared" si="11"/>
        <v>16.71</v>
      </c>
      <c r="BM17" s="4"/>
      <c r="BN17" s="50">
        <f t="shared" si="12"/>
        <v>77.23</v>
      </c>
      <c r="BO17" s="32">
        <v>1.0</v>
      </c>
    </row>
    <row r="18">
      <c r="A18" s="43">
        <v>467906.0</v>
      </c>
      <c r="B18" s="55" t="s">
        <v>431</v>
      </c>
      <c r="C18" s="4"/>
      <c r="D18" s="153" t="s">
        <v>278</v>
      </c>
      <c r="E18" s="152"/>
      <c r="F18" s="152"/>
      <c r="G18" s="152"/>
      <c r="H18" s="153" t="s">
        <v>278</v>
      </c>
      <c r="I18" s="152"/>
      <c r="J18" s="153" t="s">
        <v>278</v>
      </c>
      <c r="K18" s="152">
        <v>1.0</v>
      </c>
      <c r="L18" s="152">
        <v>1.0</v>
      </c>
      <c r="M18" s="154">
        <v>5.0</v>
      </c>
      <c r="N18" s="152">
        <v>1.0</v>
      </c>
      <c r="O18" s="154">
        <v>2.0</v>
      </c>
      <c r="P18" s="153" t="s">
        <v>278</v>
      </c>
      <c r="Q18" s="152"/>
      <c r="R18" s="152">
        <v>2.0</v>
      </c>
      <c r="S18" s="154">
        <v>3.0</v>
      </c>
      <c r="T18" s="153" t="s">
        <v>278</v>
      </c>
      <c r="U18" s="153" t="s">
        <v>278</v>
      </c>
      <c r="V18" s="152">
        <v>3.0</v>
      </c>
      <c r="W18" s="159" t="s">
        <v>278</v>
      </c>
      <c r="X18" s="152">
        <v>1.0</v>
      </c>
      <c r="Y18" s="154">
        <v>1.0</v>
      </c>
      <c r="Z18" s="242"/>
      <c r="AA18" s="43">
        <v>467906.0</v>
      </c>
      <c r="AB18" s="36">
        <v>8.0</v>
      </c>
      <c r="AC18" s="36">
        <v>0.0</v>
      </c>
      <c r="AD18" s="106">
        <v>45964.0</v>
      </c>
      <c r="AE18" s="28">
        <v>59501.0</v>
      </c>
      <c r="AF18" s="36">
        <v>8.0</v>
      </c>
      <c r="AG18" s="36">
        <v>1.0</v>
      </c>
      <c r="AH18" s="106">
        <v>45978.0</v>
      </c>
      <c r="AI18" s="28">
        <v>75021.0</v>
      </c>
      <c r="AJ18" s="36">
        <v>8.0</v>
      </c>
      <c r="AK18" s="36">
        <v>0.0</v>
      </c>
      <c r="AL18" s="24">
        <v>15.12</v>
      </c>
      <c r="AM18" s="21">
        <v>74924.0</v>
      </c>
      <c r="AN18" s="36">
        <v>6.0</v>
      </c>
      <c r="AO18" s="36">
        <v>0.0</v>
      </c>
      <c r="AP18" s="24">
        <v>20.02</v>
      </c>
      <c r="AQ18" s="21"/>
      <c r="AR18" s="36">
        <v>1.4</v>
      </c>
      <c r="AS18" s="36">
        <v>1.1</v>
      </c>
      <c r="AU18" s="36">
        <v>1.6</v>
      </c>
      <c r="AV18" s="36">
        <v>0.01</v>
      </c>
      <c r="AW18" s="36">
        <v>6.0</v>
      </c>
      <c r="AX18" s="24">
        <v>6.0</v>
      </c>
      <c r="AY18" s="28">
        <f t="shared" si="28"/>
        <v>12</v>
      </c>
      <c r="AZ18" s="21">
        <f t="shared" ref="AZ18:BA18" si="39">SUM(AW18)</f>
        <v>6</v>
      </c>
      <c r="BA18">
        <f t="shared" si="39"/>
        <v>6</v>
      </c>
      <c r="BB18">
        <f t="shared" si="6"/>
        <v>8</v>
      </c>
      <c r="BC18">
        <f t="shared" si="7"/>
        <v>9</v>
      </c>
      <c r="BD18">
        <f t="shared" si="8"/>
        <v>8</v>
      </c>
      <c r="BE18">
        <f t="shared" si="9"/>
        <v>6</v>
      </c>
      <c r="BF18">
        <f t="shared" ref="BF18:BK18" si="40">SUM(AQ18)</f>
        <v>0</v>
      </c>
      <c r="BG18">
        <f t="shared" si="40"/>
        <v>1.4</v>
      </c>
      <c r="BH18">
        <f t="shared" si="40"/>
        <v>1.1</v>
      </c>
      <c r="BI18">
        <f t="shared" si="40"/>
        <v>0</v>
      </c>
      <c r="BJ18">
        <f t="shared" si="40"/>
        <v>1.6</v>
      </c>
      <c r="BK18">
        <f t="shared" si="40"/>
        <v>0.01</v>
      </c>
      <c r="BL18">
        <f t="shared" si="11"/>
        <v>12</v>
      </c>
      <c r="BM18" s="24">
        <v>1.0</v>
      </c>
      <c r="BN18" s="50">
        <f t="shared" si="12"/>
        <v>60.11</v>
      </c>
      <c r="BO18" s="32">
        <v>2.0</v>
      </c>
    </row>
    <row r="19">
      <c r="A19" s="36"/>
      <c r="W19" s="21"/>
      <c r="Z19" s="4"/>
      <c r="AA19" s="36"/>
      <c r="AB19" s="36"/>
      <c r="AC19" s="36"/>
      <c r="AD19" s="37"/>
      <c r="AF19" s="36"/>
      <c r="AG19" s="36"/>
      <c r="AH19" s="37"/>
      <c r="AJ19" s="36"/>
      <c r="AK19" s="36"/>
      <c r="AL19" s="37"/>
      <c r="AN19" s="36"/>
      <c r="AO19" s="36"/>
      <c r="AP19" s="36"/>
      <c r="AQ19" s="36"/>
      <c r="BN19" s="39"/>
      <c r="BO19" s="32"/>
    </row>
    <row r="20">
      <c r="A20" s="36"/>
      <c r="W20" s="21"/>
      <c r="Z20" s="4"/>
      <c r="AA20" s="36"/>
      <c r="AB20" s="36"/>
      <c r="AC20" s="36"/>
      <c r="AD20" s="37"/>
      <c r="AF20" s="36"/>
      <c r="AG20" s="36"/>
      <c r="AH20" s="37"/>
      <c r="AJ20" s="36"/>
      <c r="AK20" s="36"/>
      <c r="AL20" s="37"/>
      <c r="AN20" s="36"/>
      <c r="AO20" s="36"/>
      <c r="AP20" s="36"/>
      <c r="AQ20" s="36"/>
      <c r="AW20" s="36">
        <f t="shared" ref="AW20:AX20" si="41">COUNTA($B$4:$B$18)-COUNTIF(AW4:AW18,"&gt;=6")</f>
        <v>1</v>
      </c>
      <c r="AX20" s="36">
        <f t="shared" si="41"/>
        <v>0</v>
      </c>
      <c r="BN20" s="39"/>
      <c r="BO20" s="32"/>
    </row>
    <row r="21">
      <c r="A21" s="43">
        <v>466932.0</v>
      </c>
      <c r="B21" s="69" t="s">
        <v>432</v>
      </c>
      <c r="C21" s="4"/>
      <c r="D21" s="153" t="s">
        <v>278</v>
      </c>
      <c r="E21" s="152"/>
      <c r="F21" s="153" t="s">
        <v>278</v>
      </c>
      <c r="G21" s="153" t="s">
        <v>278</v>
      </c>
      <c r="H21" s="153" t="s">
        <v>278</v>
      </c>
      <c r="I21" s="153" t="s">
        <v>278</v>
      </c>
      <c r="J21" s="153" t="s">
        <v>278</v>
      </c>
      <c r="K21" s="153" t="s">
        <v>278</v>
      </c>
      <c r="L21" s="153" t="s">
        <v>278</v>
      </c>
      <c r="M21" s="153" t="s">
        <v>278</v>
      </c>
      <c r="N21" s="153" t="s">
        <v>278</v>
      </c>
      <c r="O21" s="153" t="s">
        <v>278</v>
      </c>
      <c r="P21" s="153" t="s">
        <v>278</v>
      </c>
      <c r="Q21" s="153" t="s">
        <v>278</v>
      </c>
      <c r="R21" s="153" t="s">
        <v>278</v>
      </c>
      <c r="S21" s="153" t="s">
        <v>278</v>
      </c>
      <c r="T21" s="153" t="s">
        <v>278</v>
      </c>
      <c r="U21" s="153" t="s">
        <v>278</v>
      </c>
      <c r="V21" s="153" t="s">
        <v>278</v>
      </c>
      <c r="W21" s="159"/>
      <c r="X21" s="153"/>
      <c r="Y21" s="153"/>
      <c r="Z21" s="166"/>
      <c r="AA21" s="43">
        <v>466932.0</v>
      </c>
      <c r="AB21" s="58"/>
      <c r="AC21" s="58"/>
      <c r="AD21" s="135"/>
      <c r="AE21" s="60"/>
      <c r="AF21" s="58"/>
      <c r="AG21" s="58"/>
      <c r="AH21" s="135"/>
      <c r="AI21" s="60"/>
      <c r="AL21" s="24"/>
      <c r="AM21" s="28"/>
      <c r="AP21" s="63"/>
      <c r="AQ21" s="21"/>
      <c r="AX21" s="24"/>
      <c r="AY21" s="28"/>
      <c r="AZ21">
        <f t="shared" ref="AZ21:BA21" si="42">SUM(AW21)</f>
        <v>0</v>
      </c>
      <c r="BA21">
        <f t="shared" si="42"/>
        <v>0</v>
      </c>
      <c r="BB21">
        <f t="shared" ref="BB21:BB22" si="45">SUM(AB21,AC21)</f>
        <v>0</v>
      </c>
      <c r="BC21">
        <f t="shared" ref="BC21:BC22" si="46">SUM(AF21,AG21)</f>
        <v>0</v>
      </c>
      <c r="BD21">
        <f t="shared" ref="BD21:BD22" si="47">SUM(AJ21,AK21)</f>
        <v>0</v>
      </c>
      <c r="BE21">
        <f t="shared" ref="BE21:BE22" si="48">SUM(AN21,AO21)</f>
        <v>0</v>
      </c>
      <c r="BF21">
        <f t="shared" ref="BF21:BK21" si="43">SUM(AQ21)</f>
        <v>0</v>
      </c>
      <c r="BG21">
        <f t="shared" si="43"/>
        <v>0</v>
      </c>
      <c r="BH21">
        <f t="shared" si="43"/>
        <v>0</v>
      </c>
      <c r="BI21">
        <f t="shared" si="43"/>
        <v>0</v>
      </c>
      <c r="BJ21">
        <f t="shared" si="43"/>
        <v>0</v>
      </c>
      <c r="BK21">
        <f t="shared" si="43"/>
        <v>0</v>
      </c>
      <c r="BL21">
        <f t="shared" ref="BL21:BL22" si="50">SUM(AY21)</f>
        <v>0</v>
      </c>
      <c r="BN21" s="50">
        <f t="shared" ref="BN21:BN22" si="51">SUM(BB21:BM21)</f>
        <v>0</v>
      </c>
      <c r="BO21" s="32"/>
    </row>
    <row r="22">
      <c r="A22" s="168">
        <v>468012.0</v>
      </c>
      <c r="B22" s="169" t="s">
        <v>433</v>
      </c>
      <c r="C22" s="157"/>
      <c r="D22" s="162" t="s">
        <v>278</v>
      </c>
      <c r="E22" s="162" t="s">
        <v>278</v>
      </c>
      <c r="F22" s="162" t="s">
        <v>278</v>
      </c>
      <c r="G22" s="162" t="s">
        <v>278</v>
      </c>
      <c r="H22" s="162" t="s">
        <v>278</v>
      </c>
      <c r="I22" s="162" t="s">
        <v>278</v>
      </c>
      <c r="J22" s="162" t="s">
        <v>278</v>
      </c>
      <c r="K22" s="162" t="s">
        <v>278</v>
      </c>
      <c r="L22" s="162" t="s">
        <v>278</v>
      </c>
      <c r="M22" s="162" t="s">
        <v>278</v>
      </c>
      <c r="N22" s="162" t="s">
        <v>278</v>
      </c>
      <c r="O22" s="162" t="s">
        <v>278</v>
      </c>
      <c r="P22" s="162" t="s">
        <v>278</v>
      </c>
      <c r="Q22" s="162" t="s">
        <v>278</v>
      </c>
      <c r="R22" s="162" t="s">
        <v>278</v>
      </c>
      <c r="S22" s="162" t="s">
        <v>278</v>
      </c>
      <c r="T22" s="162" t="s">
        <v>278</v>
      </c>
      <c r="U22" s="162" t="s">
        <v>278</v>
      </c>
      <c r="V22" s="162" t="s">
        <v>278</v>
      </c>
      <c r="W22" s="170"/>
      <c r="X22" s="162"/>
      <c r="Y22" s="162"/>
      <c r="Z22" s="178"/>
      <c r="AA22" s="168">
        <v>468012.0</v>
      </c>
      <c r="AB22" s="156"/>
      <c r="AC22" s="156"/>
      <c r="AD22" s="172"/>
      <c r="AE22" s="155"/>
      <c r="AF22" s="156"/>
      <c r="AG22" s="156"/>
      <c r="AH22" s="157"/>
      <c r="AI22" s="155"/>
      <c r="AJ22" s="156"/>
      <c r="AK22" s="156"/>
      <c r="AL22" s="244"/>
      <c r="AM22" s="155"/>
      <c r="AN22" s="156"/>
      <c r="AO22" s="156"/>
      <c r="AP22" s="172"/>
      <c r="AQ22" s="173">
        <v>0.8</v>
      </c>
      <c r="AR22" s="174">
        <v>0.7</v>
      </c>
      <c r="AS22" s="156"/>
      <c r="AT22" s="174">
        <v>0.9</v>
      </c>
      <c r="AU22" s="156"/>
      <c r="AV22" s="156"/>
      <c r="AW22" s="156"/>
      <c r="AX22" s="157"/>
      <c r="AY22" s="173"/>
      <c r="AZ22" s="156">
        <f t="shared" ref="AZ22:BA22" si="44">SUM(AW22)</f>
        <v>0</v>
      </c>
      <c r="BA22" s="156">
        <f t="shared" si="44"/>
        <v>0</v>
      </c>
      <c r="BB22" s="156">
        <f t="shared" si="45"/>
        <v>0</v>
      </c>
      <c r="BC22" s="156">
        <f t="shared" si="46"/>
        <v>0</v>
      </c>
      <c r="BD22" s="156">
        <f t="shared" si="47"/>
        <v>0</v>
      </c>
      <c r="BE22" s="156">
        <f t="shared" si="48"/>
        <v>0</v>
      </c>
      <c r="BF22" s="156">
        <f t="shared" ref="BF22:BK22" si="49">SUM(AQ22)</f>
        <v>0.8</v>
      </c>
      <c r="BG22" s="156">
        <f t="shared" si="49"/>
        <v>0.7</v>
      </c>
      <c r="BH22" s="156">
        <f t="shared" si="49"/>
        <v>0</v>
      </c>
      <c r="BI22" s="156">
        <f t="shared" si="49"/>
        <v>0.9</v>
      </c>
      <c r="BJ22" s="156">
        <f t="shared" si="49"/>
        <v>0</v>
      </c>
      <c r="BK22" s="156">
        <f t="shared" si="49"/>
        <v>0</v>
      </c>
      <c r="BL22" s="156">
        <f t="shared" si="50"/>
        <v>0</v>
      </c>
      <c r="BM22" s="156"/>
      <c r="BN22" s="245">
        <f t="shared" si="51"/>
        <v>2.4</v>
      </c>
      <c r="BO22" s="177"/>
    </row>
    <row r="23">
      <c r="A23" s="36"/>
      <c r="W23" s="21"/>
      <c r="Z23" s="4"/>
      <c r="AA23" s="36"/>
      <c r="AB23" s="36"/>
      <c r="AC23" s="36"/>
      <c r="AD23" s="37"/>
      <c r="AE23">
        <f>MAX(AE4:AE22)+1</f>
        <v>60006</v>
      </c>
      <c r="AF23" s="36"/>
      <c r="AG23" s="36"/>
      <c r="AH23" s="37"/>
      <c r="AI23">
        <f>MAX(AI4:AI22)+1</f>
        <v>75051</v>
      </c>
      <c r="AJ23" s="36"/>
      <c r="AK23" s="36"/>
      <c r="AL23" s="37"/>
      <c r="AM23">
        <f>MAX(AM4:AM22)+1</f>
        <v>74978</v>
      </c>
      <c r="AN23" s="36"/>
      <c r="AO23" s="36"/>
      <c r="AP23" s="36"/>
      <c r="AQ23" s="36"/>
      <c r="BN23" s="39"/>
      <c r="BO23" s="32"/>
    </row>
  </sheetData>
  <mergeCells count="53">
    <mergeCell ref="AD2:AD3"/>
    <mergeCell ref="AE2:AE3"/>
    <mergeCell ref="A1:B1"/>
    <mergeCell ref="C1:C3"/>
    <mergeCell ref="D1:V1"/>
    <mergeCell ref="W1:Z1"/>
    <mergeCell ref="AA1:AD1"/>
    <mergeCell ref="AE1:AH1"/>
    <mergeCell ref="AI1:AL1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M2:AM3"/>
    <mergeCell ref="AP2:AP3"/>
    <mergeCell ref="AS2:AS3"/>
    <mergeCell ref="AT2:AT3"/>
    <mergeCell ref="AU2:AU3"/>
    <mergeCell ref="AV2:AV3"/>
    <mergeCell ref="AW2:AW3"/>
    <mergeCell ref="AX2:AX3"/>
    <mergeCell ref="AM1:AP1"/>
    <mergeCell ref="AZ1:BL2"/>
    <mergeCell ref="BN1:BN3"/>
    <mergeCell ref="BO1:BO3"/>
    <mergeCell ref="AH2:AH3"/>
    <mergeCell ref="AI2:AI3"/>
    <mergeCell ref="AL2:AL3"/>
    <mergeCell ref="AY2:AY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Q2:AQ3"/>
    <mergeCell ref="AR2:AR3"/>
  </mergeCells>
  <conditionalFormatting sqref="AH4">
    <cfRule type="timePeriod" dxfId="0" priority="1" timePeriod="last7Days"/>
  </conditionalFormatting>
  <conditionalFormatting sqref="AL4">
    <cfRule type="timePeriod" dxfId="0" priority="2" timePeriod="last7Days"/>
  </conditionalFormatting>
  <conditionalFormatting sqref="AL4">
    <cfRule type="timePeriod" dxfId="0" priority="3" timePeriod="last7Days"/>
  </conditionalFormatting>
  <conditionalFormatting sqref="AD4 AH4 AL4">
    <cfRule type="timePeriod" dxfId="0" priority="4" timePeriod="last7Days"/>
  </conditionalFormatting>
  <conditionalFormatting sqref="AD4">
    <cfRule type="timePeriod" dxfId="0" priority="5" timePeriod="last7Days"/>
  </conditionalFormatting>
  <conditionalFormatting sqref="AD4">
    <cfRule type="timePeriod" dxfId="0" priority="6" timePeriod="last7Days"/>
  </conditionalFormatting>
  <conditionalFormatting sqref="AL4">
    <cfRule type="timePeriod" dxfId="0" priority="7" timePeriod="last7Days"/>
  </conditionalFormatting>
  <conditionalFormatting sqref="AZ4:BM23">
    <cfRule type="cellIs" dxfId="1" priority="8" operator="lessThan">
      <formula>0.1</formula>
    </cfRule>
  </conditionalFormatting>
  <conditionalFormatting sqref="AZ4:BM23">
    <cfRule type="cellIs" dxfId="2" priority="9" operator="greaterThan">
      <formula>0.1</formula>
    </cfRule>
  </conditionalFormatting>
  <conditionalFormatting sqref="BN4:BO23">
    <cfRule type="cellIs" dxfId="3" priority="10" operator="between">
      <formula>60</formula>
      <formula>68</formula>
    </cfRule>
  </conditionalFormatting>
  <conditionalFormatting sqref="BN4:BO23">
    <cfRule type="cellIs" dxfId="4" priority="11" operator="between">
      <formula>68</formula>
      <formula>74</formula>
    </cfRule>
  </conditionalFormatting>
  <conditionalFormatting sqref="BN4:BO23">
    <cfRule type="cellIs" dxfId="2" priority="12" operator="between">
      <formula>74</formula>
      <formula>81</formula>
    </cfRule>
  </conditionalFormatting>
  <conditionalFormatting sqref="BN4:BO23">
    <cfRule type="cellIs" dxfId="5" priority="13" operator="between">
      <formula>81</formula>
      <formula>90</formula>
    </cfRule>
  </conditionalFormatting>
  <conditionalFormatting sqref="BN4:BO23">
    <cfRule type="cellIs" dxfId="6" priority="14" operator="greaterThan">
      <formula>90</formula>
    </cfRule>
  </conditionalFormatting>
  <conditionalFormatting sqref="AH4">
    <cfRule type="timePeriod" dxfId="0" priority="15" timePeriod="last7Days"/>
  </conditionalFormatting>
  <conditionalFormatting sqref="G4:G18 H4 L4:L10 M4 N4:N7 Q4 R4:R9 S4:S5 X4:Y5 I5 K5:K6 O5 T5 V5:W5 Z5 H6 M7:M11 O7 Q7:Q11 S7:S18 U7:U8 Y7:Z12 H8:H9 K8:K18 T8:T16 V8:W10 X8:X12 I9:I10 N9 O9:O12 U10:U11 N11:N12 R11:R12 H12:H17 I12 L12:L18 W12 M13 Q13 I14:I18 N14:O14 R14:R15 U14:U17 V14:Z14 M15:M18 Q15 J16:J17 N16:N18 V16:W17 X16:Z18 Q17:R18 O18 G21:G22">
    <cfRule type="containsText" dxfId="7" priority="16" operator="containsText" text="н">
      <formula>NOT(ISERROR(SEARCH(("н"),(G4))))</formula>
    </cfRule>
  </conditionalFormatting>
  <conditionalFormatting sqref="G4:G18 H4 L4:L10 M4 N4:N7 Q4 R4:R9 S4:S5 X4:Y5 I5 K5:K6 O5 T5 V5:W5 Z5 H6 M7:M11 O7 Q7:Q11 S7:S18 U7:U8 Y7:Z12 H8:H9 K8:K18 T8:T16 V8:W10 X8:X12 I9:I10 N9 O9:O12 U10:U11 N11:N12 R11:R12 H12:H17 I12 L12:L18 W12 M13 Q13 I14:I18 N14:O14 R14:R15 U14:U17 V14:Z14 M15:M18 Q15 J16:J17 N16:N18 V16:W17 X16:Z18 Q17:R18 O18 G21:G22">
    <cfRule type="containsText" dxfId="7" priority="17" operator="containsText" text="n">
      <formula>NOT(ISERROR(SEARCH(("n"),(G4))))</formula>
    </cfRule>
  </conditionalFormatting>
  <conditionalFormatting sqref="F4:F14 G4:G8 H4 L4:L10 M4 N4:N7 Q4 R4:R9 S4:S5 X4:Y5 I5 K5:K6 O5 T5 V5:W5 Z5 H6 M7:M11 O7 Q7:Q11 S7:S18 U7:U8 Y7:Z12 H8:H9 K8:K18 T8:T16 V8:W10 X8:X12 I9:I10 N9 O9:O12 G10 U10:U11 N11:N12 R11:R12 G12:G16 H12:H17 I12 L12:L18 W12 M13 Q13 I14:I18 N14:O14 R14:R15 U14:U17 V14:Z14 M15:M18 Q15 F16:F18 J16:J17 N16:N18 V16:W17 X16:Z18 Q17:R18 G18 O18 F21:F22">
    <cfRule type="containsText" dxfId="7" priority="18" operator="containsText" text="н">
      <formula>NOT(ISERROR(SEARCH(("н"),(F4))))</formula>
    </cfRule>
  </conditionalFormatting>
  <conditionalFormatting sqref="F4:F14 G4:G8 H4 L4:L10 M4 N4:N7 Q4 R4:R9 S4:S5 X4:Y5 I5 K5:K6 O5 T5 V5:W5 Z5 H6 M7:M11 O7 Q7:Q11 S7:S18 U7:U8 Y7:Z12 H8:H9 K8:K18 T8:T16 V8:W10 X8:X12 I9:I10 N9 O9:O12 G10 U10:U11 N11:N12 R11:R12 G12:G16 H12:H17 I12 L12:L18 W12 M13 Q13 I14:I18 N14:O14 R14:R15 U14:U17 V14:Z14 M15:M18 Q15 F16:F18 J16:J17 N16:N18 V16:W17 X16:Z18 Q17:R18 G18 O18 F21:F22">
    <cfRule type="containsText" dxfId="7" priority="19" operator="containsText" text="n">
      <formula>NOT(ISERROR(SEARCH(("n"),(F4))))</formula>
    </cfRule>
  </conditionalFormatting>
  <conditionalFormatting sqref="AB4">
    <cfRule type="cellIs" dxfId="8" priority="20" operator="equal">
      <formula>0</formula>
    </cfRule>
  </conditionalFormatting>
  <conditionalFormatting sqref="AF4:AG4">
    <cfRule type="cellIs" dxfId="8" priority="21" operator="equal">
      <formula>0</formula>
    </cfRule>
  </conditionalFormatting>
  <conditionalFormatting sqref="AJ4:AK4">
    <cfRule type="cellIs" dxfId="8" priority="22" operator="equal">
      <formula>0</formula>
    </cfRule>
  </conditionalFormatting>
  <conditionalFormatting sqref="AN4:AO4">
    <cfRule type="cellIs" dxfId="8" priority="23" operator="equal">
      <formula>0</formula>
    </cfRule>
  </conditionalFormatting>
  <conditionalFormatting sqref="AQ4:AX4">
    <cfRule type="cellIs" dxfId="8" priority="24" operator="equal">
      <formula>0</formula>
    </cfRule>
  </conditionalFormatting>
  <conditionalFormatting sqref="D1:Z23">
    <cfRule type="containsText" dxfId="7" priority="25" operator="containsText" text="н">
      <formula>NOT(ISERROR(SEARCH(("н"),(D1))))</formula>
    </cfRule>
  </conditionalFormatting>
  <conditionalFormatting sqref="D1:Z23">
    <cfRule type="containsText" dxfId="7" priority="26" operator="containsText" text="n">
      <formula>NOT(ISERROR(SEARCH(("n"),(D1))))</formula>
    </cfRule>
  </conditionalFormatting>
  <conditionalFormatting sqref="AD4">
    <cfRule type="timePeriod" dxfId="0" priority="27" timePeriod="last7Days"/>
  </conditionalFormatting>
  <conditionalFormatting sqref="AH4">
    <cfRule type="timePeriod" dxfId="0" priority="28" timePeriod="last7Days"/>
  </conditionalFormatting>
  <conditionalFormatting sqref="AL4">
    <cfRule type="timePeriod" dxfId="0" priority="29" timePeriod="last7Days"/>
  </conditionalFormatting>
  <conditionalFormatting sqref="AP4">
    <cfRule type="timePeriod" dxfId="0" priority="30" timePeriod="last7Days"/>
  </conditionalFormatting>
  <conditionalFormatting sqref="BN1:BO23">
    <cfRule type="cellIs" dxfId="3" priority="31" operator="between">
      <formula>60</formula>
      <formula>68</formula>
    </cfRule>
  </conditionalFormatting>
  <conditionalFormatting sqref="AY4:AY23">
    <cfRule type="cellIs" dxfId="6" priority="32" operator="between">
      <formula>12</formula>
      <formula>1000</formula>
    </cfRule>
  </conditionalFormatting>
  <conditionalFormatting sqref="BN1:BO23">
    <cfRule type="cellIs" dxfId="4" priority="33" operator="between">
      <formula>68</formula>
      <formula>74</formula>
    </cfRule>
  </conditionalFormatting>
  <conditionalFormatting sqref="BN1:BO23">
    <cfRule type="cellIs" dxfId="2" priority="34" operator="between">
      <formula>74</formula>
      <formula>81</formula>
    </cfRule>
  </conditionalFormatting>
  <conditionalFormatting sqref="BN1:BO23">
    <cfRule type="cellIs" dxfId="5" priority="35" operator="between">
      <formula>81</formula>
      <formula>90</formula>
    </cfRule>
  </conditionalFormatting>
  <conditionalFormatting sqref="BN1:BO23">
    <cfRule type="cellIs" dxfId="6" priority="36" operator="greaterThan">
      <formula>90</formula>
    </cfRule>
  </conditionalFormatting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19" width="2.88"/>
    <col customWidth="1" min="20" max="20" width="7.13"/>
    <col customWidth="1" min="21" max="21" width="5.0"/>
    <col customWidth="1" min="22" max="22" width="3.88"/>
    <col customWidth="1" min="23" max="23" width="4.63"/>
    <col customWidth="1" min="24" max="24" width="6.5"/>
    <col customWidth="1" min="25" max="25" width="5.13"/>
    <col customWidth="1" min="26" max="26" width="4.0"/>
    <col customWidth="1" min="27" max="27" width="5.0"/>
    <col customWidth="1" min="28" max="28" width="6.38"/>
    <col customWidth="1" min="29" max="29" width="5.13"/>
    <col customWidth="1" min="30" max="30" width="4.0"/>
    <col customWidth="1" min="31" max="31" width="5.0"/>
    <col customWidth="1" min="32" max="32" width="7.63"/>
    <col customWidth="1" min="33" max="33" width="5.0"/>
    <col customWidth="1" min="34" max="34" width="4.5"/>
    <col customWidth="1" min="35" max="35" width="5.0"/>
    <col customWidth="1" min="36" max="36" width="5.63"/>
    <col customWidth="1" min="37" max="37" width="5.13"/>
    <col customWidth="1" min="38" max="38" width="5.38"/>
    <col customWidth="1" min="39" max="39" width="5.0"/>
    <col customWidth="1" min="40" max="41" width="5.38"/>
    <col customWidth="1" min="42" max="43" width="5.88"/>
    <col customWidth="1" min="44" max="44" width="5.63"/>
    <col customWidth="1" min="45" max="45" width="4.5"/>
    <col customWidth="1" min="46" max="46" width="4.38"/>
    <col customWidth="1" min="47" max="51" width="4.25"/>
    <col customWidth="1" min="52" max="52" width="4.63"/>
    <col customWidth="1" min="53" max="53" width="4.5"/>
    <col customWidth="1" min="54" max="55" width="4.63"/>
    <col customWidth="1" min="56" max="56" width="4.5"/>
    <col customWidth="1" min="57" max="58" width="4.38"/>
    <col customWidth="1" min="59" max="59" width="6.63"/>
    <col customWidth="1" min="60" max="60" width="3.25"/>
  </cols>
  <sheetData>
    <row r="1">
      <c r="A1" s="1" t="s">
        <v>319</v>
      </c>
      <c r="C1" s="2" t="s">
        <v>1</v>
      </c>
      <c r="D1" s="3" t="s">
        <v>2</v>
      </c>
      <c r="S1" s="4"/>
      <c r="T1" s="5" t="s">
        <v>3</v>
      </c>
      <c r="W1" s="4"/>
      <c r="X1" s="5" t="s">
        <v>4</v>
      </c>
      <c r="AA1" s="4"/>
      <c r="AB1" s="5" t="s">
        <v>5</v>
      </c>
      <c r="AE1" s="4"/>
      <c r="AF1" s="5" t="s">
        <v>6</v>
      </c>
      <c r="AI1" s="4"/>
      <c r="AJ1" s="3" t="s">
        <v>7</v>
      </c>
      <c r="AK1" s="6" t="s">
        <v>8</v>
      </c>
      <c r="AL1" s="6" t="s">
        <v>9</v>
      </c>
      <c r="AM1" s="6" t="s">
        <v>10</v>
      </c>
      <c r="AN1" s="6" t="s">
        <v>11</v>
      </c>
      <c r="AO1" s="6" t="s">
        <v>12</v>
      </c>
      <c r="AP1" s="6" t="s">
        <v>13</v>
      </c>
      <c r="AQ1" s="7" t="s">
        <v>14</v>
      </c>
      <c r="AR1" s="3" t="s">
        <v>15</v>
      </c>
      <c r="AS1" s="6" t="s">
        <v>16</v>
      </c>
      <c r="BF1" s="7"/>
      <c r="BG1" s="41" t="s">
        <v>17</v>
      </c>
      <c r="BH1" s="10" t="s">
        <v>18</v>
      </c>
    </row>
    <row r="2">
      <c r="A2" s="11" t="s">
        <v>19</v>
      </c>
      <c r="B2" s="11" t="s">
        <v>20</v>
      </c>
      <c r="C2" s="4"/>
      <c r="D2" s="12">
        <v>45538.0</v>
      </c>
      <c r="E2" s="12">
        <f t="shared" ref="E2:K2" si="1">D2+14</f>
        <v>45552</v>
      </c>
      <c r="F2" s="12">
        <f t="shared" si="1"/>
        <v>45566</v>
      </c>
      <c r="G2" s="12">
        <f t="shared" si="1"/>
        <v>45580</v>
      </c>
      <c r="H2" s="12">
        <f t="shared" si="1"/>
        <v>45594</v>
      </c>
      <c r="I2" s="12">
        <f t="shared" si="1"/>
        <v>45608</v>
      </c>
      <c r="J2" s="12">
        <f t="shared" si="1"/>
        <v>45622</v>
      </c>
      <c r="K2" s="12">
        <f t="shared" si="1"/>
        <v>45636</v>
      </c>
      <c r="L2" s="12"/>
      <c r="M2" s="98">
        <v>17.11</v>
      </c>
      <c r="N2" s="98">
        <v>24.11</v>
      </c>
      <c r="O2" s="98">
        <v>1.12</v>
      </c>
      <c r="P2" s="98">
        <v>8.12</v>
      </c>
      <c r="Q2" s="13" t="s">
        <v>320</v>
      </c>
      <c r="R2" s="13" t="s">
        <v>434</v>
      </c>
      <c r="S2" s="13"/>
      <c r="T2" s="14" t="s">
        <v>21</v>
      </c>
      <c r="U2" s="15" t="s">
        <v>22</v>
      </c>
      <c r="V2" s="15" t="s">
        <v>23</v>
      </c>
      <c r="W2" s="16" t="s">
        <v>24</v>
      </c>
      <c r="X2" s="14" t="s">
        <v>21</v>
      </c>
      <c r="Y2" s="15" t="s">
        <v>22</v>
      </c>
      <c r="Z2" s="15" t="s">
        <v>23</v>
      </c>
      <c r="AA2" s="16" t="s">
        <v>24</v>
      </c>
      <c r="AB2" s="14" t="s">
        <v>21</v>
      </c>
      <c r="AC2" s="15" t="s">
        <v>22</v>
      </c>
      <c r="AD2" s="15" t="s">
        <v>23</v>
      </c>
      <c r="AE2" s="16" t="s">
        <v>24</v>
      </c>
      <c r="AF2" s="14" t="s">
        <v>21</v>
      </c>
      <c r="AG2" s="15" t="s">
        <v>22</v>
      </c>
      <c r="AH2" s="15" t="s">
        <v>23</v>
      </c>
      <c r="AI2" s="16" t="s">
        <v>24</v>
      </c>
      <c r="AJ2" s="17" t="s">
        <v>25</v>
      </c>
      <c r="AK2" s="18" t="s">
        <v>25</v>
      </c>
      <c r="AL2" s="18" t="s">
        <v>25</v>
      </c>
      <c r="AM2" s="18" t="s">
        <v>25</v>
      </c>
      <c r="AN2" s="18" t="s">
        <v>25</v>
      </c>
      <c r="AO2" s="18" t="s">
        <v>25</v>
      </c>
      <c r="AP2" s="15" t="s">
        <v>26</v>
      </c>
      <c r="AQ2" s="19" t="s">
        <v>26</v>
      </c>
      <c r="AR2" s="14" t="s">
        <v>27</v>
      </c>
      <c r="BF2" s="7"/>
      <c r="BG2" s="4"/>
    </row>
    <row r="3">
      <c r="C3" s="4"/>
      <c r="T3" s="21"/>
      <c r="U3" s="15" t="s">
        <v>26</v>
      </c>
      <c r="V3" s="15" t="s">
        <v>28</v>
      </c>
      <c r="W3" s="4"/>
      <c r="X3" s="21"/>
      <c r="Y3" s="15" t="s">
        <v>26</v>
      </c>
      <c r="Z3" s="15" t="s">
        <v>28</v>
      </c>
      <c r="AA3" s="4"/>
      <c r="AB3" s="21"/>
      <c r="AC3" s="15" t="s">
        <v>26</v>
      </c>
      <c r="AD3" s="15" t="s">
        <v>28</v>
      </c>
      <c r="AE3" s="4"/>
      <c r="AF3" s="21"/>
      <c r="AG3" s="15" t="s">
        <v>26</v>
      </c>
      <c r="AH3" s="15" t="s">
        <v>28</v>
      </c>
      <c r="AI3" s="4"/>
      <c r="AJ3" s="21"/>
      <c r="AQ3" s="4"/>
      <c r="AR3" s="21"/>
      <c r="AS3" s="17" t="s">
        <v>29</v>
      </c>
      <c r="AT3" s="18" t="s">
        <v>30</v>
      </c>
      <c r="AU3" s="18" t="s">
        <v>3</v>
      </c>
      <c r="AV3" s="18" t="s">
        <v>4</v>
      </c>
      <c r="AW3" s="18" t="s">
        <v>5</v>
      </c>
      <c r="AX3" s="18" t="s">
        <v>6</v>
      </c>
      <c r="AY3" s="18" t="s">
        <v>7</v>
      </c>
      <c r="AZ3" s="18" t="s">
        <v>8</v>
      </c>
      <c r="BA3" s="18" t="s">
        <v>9</v>
      </c>
      <c r="BB3" s="18" t="s">
        <v>10</v>
      </c>
      <c r="BC3" s="18" t="s">
        <v>11</v>
      </c>
      <c r="BD3" s="18" t="s">
        <v>12</v>
      </c>
      <c r="BE3" s="18" t="s">
        <v>31</v>
      </c>
      <c r="BF3" s="23" t="s">
        <v>23</v>
      </c>
      <c r="BG3" s="4"/>
    </row>
    <row r="4">
      <c r="A4" s="43">
        <v>465555.0</v>
      </c>
      <c r="B4" s="55" t="s">
        <v>435</v>
      </c>
      <c r="C4" s="24"/>
      <c r="D4" s="25" t="s">
        <v>84</v>
      </c>
      <c r="E4" s="27" t="s">
        <v>91</v>
      </c>
      <c r="F4" s="27" t="s">
        <v>91</v>
      </c>
      <c r="G4" s="27" t="s">
        <v>91</v>
      </c>
      <c r="H4" s="27" t="s">
        <v>91</v>
      </c>
      <c r="I4" s="27" t="s">
        <v>91</v>
      </c>
      <c r="J4" s="27" t="s">
        <v>91</v>
      </c>
      <c r="K4" s="27" t="s">
        <v>91</v>
      </c>
      <c r="L4" s="27" t="s">
        <v>91</v>
      </c>
      <c r="M4" s="27" t="s">
        <v>91</v>
      </c>
      <c r="N4" s="27" t="s">
        <v>91</v>
      </c>
      <c r="O4" s="27" t="s">
        <v>91</v>
      </c>
      <c r="P4" s="27" t="s">
        <v>91</v>
      </c>
      <c r="Q4" s="27" t="s">
        <v>91</v>
      </c>
      <c r="R4" s="27" t="s">
        <v>91</v>
      </c>
      <c r="S4" s="27"/>
      <c r="T4" s="138">
        <v>465555.0</v>
      </c>
      <c r="W4" s="24"/>
      <c r="X4" s="28"/>
      <c r="AA4" s="67"/>
      <c r="AB4" s="28"/>
      <c r="AE4" s="24"/>
      <c r="AF4" s="28"/>
      <c r="AI4" s="68"/>
      <c r="AJ4" s="28"/>
      <c r="AQ4" s="24">
        <v>0.01</v>
      </c>
      <c r="AR4" s="28"/>
      <c r="AS4" s="21">
        <f t="shared" ref="AS4:AT4" si="2">SUM(AP4)</f>
        <v>0</v>
      </c>
      <c r="AT4">
        <f t="shared" si="2"/>
        <v>0.01</v>
      </c>
      <c r="AU4">
        <f t="shared" ref="AU4:AU15" si="5">SUM(U4,V4)</f>
        <v>0</v>
      </c>
      <c r="AV4">
        <f t="shared" ref="AV4:AV15" si="6">SUM(Y4,Z4)</f>
        <v>0</v>
      </c>
      <c r="AW4">
        <f t="shared" ref="AW4:AW15" si="7">SUM(AC4,AD4)</f>
        <v>0</v>
      </c>
      <c r="AX4">
        <f t="shared" ref="AX4:AX15" si="8">SUM(AG4,AH4)</f>
        <v>0</v>
      </c>
      <c r="AY4">
        <f t="shared" ref="AY4:BD4" si="3">SUM(AJ4)</f>
        <v>0</v>
      </c>
      <c r="AZ4">
        <f t="shared" si="3"/>
        <v>0</v>
      </c>
      <c r="BA4">
        <f t="shared" si="3"/>
        <v>0</v>
      </c>
      <c r="BB4">
        <f t="shared" si="3"/>
        <v>0</v>
      </c>
      <c r="BC4">
        <f t="shared" si="3"/>
        <v>0</v>
      </c>
      <c r="BD4">
        <f t="shared" si="3"/>
        <v>0</v>
      </c>
      <c r="BE4">
        <f t="shared" ref="BE4:BE15" si="10">SUM(AR4)</f>
        <v>0</v>
      </c>
      <c r="BF4" s="4"/>
      <c r="BG4" s="50">
        <f t="shared" ref="BG4:BG15" si="11">SUM(AS4:BF4)</f>
        <v>0.01</v>
      </c>
      <c r="BH4" s="32"/>
    </row>
    <row r="5">
      <c r="A5" s="43">
        <v>465798.0</v>
      </c>
      <c r="B5" s="209" t="s">
        <v>436</v>
      </c>
      <c r="C5" s="24"/>
      <c r="D5" s="25" t="s">
        <v>91</v>
      </c>
      <c r="E5" s="27" t="s">
        <v>91</v>
      </c>
      <c r="F5" s="27" t="s">
        <v>91</v>
      </c>
      <c r="G5" s="27" t="s">
        <v>91</v>
      </c>
      <c r="H5" s="27" t="s">
        <v>84</v>
      </c>
      <c r="I5" s="27" t="s">
        <v>91</v>
      </c>
      <c r="J5" s="27" t="s">
        <v>84</v>
      </c>
      <c r="K5" s="27" t="s">
        <v>84</v>
      </c>
      <c r="L5" s="27" t="s">
        <v>91</v>
      </c>
      <c r="M5" s="27" t="s">
        <v>84</v>
      </c>
      <c r="N5" s="27" t="s">
        <v>91</v>
      </c>
      <c r="O5" s="27" t="s">
        <v>91</v>
      </c>
      <c r="P5" s="27" t="s">
        <v>91</v>
      </c>
      <c r="Q5" s="27" t="s">
        <v>84</v>
      </c>
      <c r="R5" s="27" t="s">
        <v>91</v>
      </c>
      <c r="S5" s="27"/>
      <c r="T5" s="138">
        <v>465798.0</v>
      </c>
      <c r="U5" s="36">
        <v>10.0</v>
      </c>
      <c r="V5" s="36">
        <v>0.0</v>
      </c>
      <c r="W5" s="24" t="s">
        <v>336</v>
      </c>
      <c r="X5" s="28">
        <v>2845.0</v>
      </c>
      <c r="Y5" s="36">
        <v>10.0</v>
      </c>
      <c r="Z5" s="36">
        <v>2.0</v>
      </c>
      <c r="AA5" s="24" t="s">
        <v>437</v>
      </c>
      <c r="AB5" s="28">
        <v>3300.0</v>
      </c>
      <c r="AC5" s="36">
        <v>10.0</v>
      </c>
      <c r="AD5" s="36">
        <v>2.0</v>
      </c>
      <c r="AE5" s="24" t="s">
        <v>438</v>
      </c>
      <c r="AF5" s="28">
        <v>4253.0</v>
      </c>
      <c r="AG5" s="36">
        <v>10.0</v>
      </c>
      <c r="AH5" s="36">
        <v>2.0</v>
      </c>
      <c r="AI5" s="24" t="s">
        <v>439</v>
      </c>
      <c r="AJ5" s="28"/>
      <c r="AO5" s="36">
        <v>0.01</v>
      </c>
      <c r="AP5" s="36">
        <v>6.0</v>
      </c>
      <c r="AQ5" s="24">
        <v>6.0</v>
      </c>
      <c r="AR5" s="28">
        <f t="shared" ref="AR5:AR11" si="12">SUM(AP5:AQ5)</f>
        <v>12</v>
      </c>
      <c r="AS5" s="21">
        <f t="shared" ref="AS5:AT5" si="4">SUM(AP5)</f>
        <v>6</v>
      </c>
      <c r="AT5">
        <f t="shared" si="4"/>
        <v>6</v>
      </c>
      <c r="AU5">
        <f t="shared" si="5"/>
        <v>10</v>
      </c>
      <c r="AV5">
        <f t="shared" si="6"/>
        <v>12</v>
      </c>
      <c r="AW5">
        <f t="shared" si="7"/>
        <v>12</v>
      </c>
      <c r="AX5">
        <f t="shared" si="8"/>
        <v>12</v>
      </c>
      <c r="AY5">
        <f t="shared" ref="AY5:BD5" si="9">SUM(AJ5)</f>
        <v>0</v>
      </c>
      <c r="AZ5">
        <f t="shared" si="9"/>
        <v>0</v>
      </c>
      <c r="BA5">
        <f t="shared" si="9"/>
        <v>0</v>
      </c>
      <c r="BB5">
        <f t="shared" si="9"/>
        <v>0</v>
      </c>
      <c r="BC5">
        <f t="shared" si="9"/>
        <v>0</v>
      </c>
      <c r="BD5">
        <f t="shared" si="9"/>
        <v>0.01</v>
      </c>
      <c r="BE5">
        <f t="shared" si="10"/>
        <v>12</v>
      </c>
      <c r="BF5" s="4"/>
      <c r="BG5" s="50">
        <f t="shared" si="11"/>
        <v>70.01</v>
      </c>
      <c r="BH5" s="32">
        <v>1.0</v>
      </c>
    </row>
    <row r="6">
      <c r="A6" s="43">
        <v>466047.0</v>
      </c>
      <c r="B6" s="55" t="s">
        <v>440</v>
      </c>
      <c r="C6" s="24"/>
      <c r="D6" s="25" t="s">
        <v>84</v>
      </c>
      <c r="E6" s="27" t="s">
        <v>84</v>
      </c>
      <c r="F6" s="27" t="s">
        <v>91</v>
      </c>
      <c r="G6" s="27" t="s">
        <v>91</v>
      </c>
      <c r="H6" s="27" t="s">
        <v>84</v>
      </c>
      <c r="I6" s="27" t="s">
        <v>84</v>
      </c>
      <c r="J6" s="27" t="s">
        <v>91</v>
      </c>
      <c r="K6" s="27" t="s">
        <v>84</v>
      </c>
      <c r="L6" s="27" t="s">
        <v>84</v>
      </c>
      <c r="M6" s="27" t="s">
        <v>91</v>
      </c>
      <c r="N6" s="27" t="s">
        <v>91</v>
      </c>
      <c r="O6" s="27" t="s">
        <v>84</v>
      </c>
      <c r="P6" s="27" t="s">
        <v>91</v>
      </c>
      <c r="Q6" s="27" t="s">
        <v>84</v>
      </c>
      <c r="R6" s="27" t="s">
        <v>84</v>
      </c>
      <c r="S6" s="27"/>
      <c r="T6" s="138">
        <v>466047.0</v>
      </c>
      <c r="U6" s="36">
        <v>10.0</v>
      </c>
      <c r="V6" s="36">
        <v>0.0</v>
      </c>
      <c r="W6" s="33">
        <v>45818.0</v>
      </c>
      <c r="X6" s="28">
        <v>2632.0</v>
      </c>
      <c r="Y6" s="36">
        <v>10.0</v>
      </c>
      <c r="Z6" s="36">
        <v>0.0</v>
      </c>
      <c r="AA6" s="75" t="s">
        <v>441</v>
      </c>
      <c r="AB6" s="28">
        <v>3955.0</v>
      </c>
      <c r="AC6" s="36">
        <v>10.0</v>
      </c>
      <c r="AD6" s="36">
        <v>2.0</v>
      </c>
      <c r="AE6" s="33">
        <v>45669.0</v>
      </c>
      <c r="AF6" s="28">
        <v>3498.0</v>
      </c>
      <c r="AG6" s="36">
        <v>10.0</v>
      </c>
      <c r="AH6" s="36">
        <v>0.0</v>
      </c>
      <c r="AI6" s="24" t="s">
        <v>442</v>
      </c>
      <c r="AJ6" s="28">
        <v>0.2</v>
      </c>
      <c r="AK6" s="36">
        <v>0.7</v>
      </c>
      <c r="AL6" s="36">
        <v>0.6</v>
      </c>
      <c r="AN6" s="36">
        <v>1.2</v>
      </c>
      <c r="AO6" s="36">
        <v>0.8</v>
      </c>
      <c r="AP6" s="36">
        <v>6.0</v>
      </c>
      <c r="AQ6" s="24">
        <v>6.25</v>
      </c>
      <c r="AR6" s="28">
        <f t="shared" si="12"/>
        <v>12.25</v>
      </c>
      <c r="AS6" s="21">
        <f t="shared" ref="AS6:AT6" si="13">SUM(AP6)</f>
        <v>6</v>
      </c>
      <c r="AT6">
        <f t="shared" si="13"/>
        <v>6.25</v>
      </c>
      <c r="AU6">
        <f t="shared" si="5"/>
        <v>10</v>
      </c>
      <c r="AV6">
        <f t="shared" si="6"/>
        <v>10</v>
      </c>
      <c r="AW6">
        <f t="shared" si="7"/>
        <v>12</v>
      </c>
      <c r="AX6">
        <f t="shared" si="8"/>
        <v>10</v>
      </c>
      <c r="AY6">
        <f t="shared" ref="AY6:BD6" si="14">SUM(AJ6)</f>
        <v>0.2</v>
      </c>
      <c r="AZ6">
        <f t="shared" si="14"/>
        <v>0.7</v>
      </c>
      <c r="BA6">
        <f t="shared" si="14"/>
        <v>0.6</v>
      </c>
      <c r="BB6">
        <f t="shared" si="14"/>
        <v>0</v>
      </c>
      <c r="BC6">
        <f t="shared" si="14"/>
        <v>1.2</v>
      </c>
      <c r="BD6">
        <f t="shared" si="14"/>
        <v>0.8</v>
      </c>
      <c r="BE6">
        <f t="shared" si="10"/>
        <v>12.25</v>
      </c>
      <c r="BF6" s="4"/>
      <c r="BG6" s="50">
        <f t="shared" si="11"/>
        <v>70</v>
      </c>
      <c r="BH6" s="32">
        <v>2.0</v>
      </c>
    </row>
    <row r="7">
      <c r="A7" s="43">
        <v>343054.0</v>
      </c>
      <c r="B7" s="55" t="s">
        <v>443</v>
      </c>
      <c r="C7" s="24"/>
      <c r="D7" s="25" t="s">
        <v>91</v>
      </c>
      <c r="E7" s="27" t="s">
        <v>91</v>
      </c>
      <c r="F7" s="27" t="s">
        <v>91</v>
      </c>
      <c r="G7" s="27" t="s">
        <v>91</v>
      </c>
      <c r="H7" s="27" t="s">
        <v>91</v>
      </c>
      <c r="I7" s="27" t="s">
        <v>91</v>
      </c>
      <c r="J7" s="27" t="s">
        <v>91</v>
      </c>
      <c r="K7" s="27" t="s">
        <v>84</v>
      </c>
      <c r="L7" s="27" t="s">
        <v>91</v>
      </c>
      <c r="M7" s="27" t="s">
        <v>91</v>
      </c>
      <c r="N7" s="27" t="s">
        <v>84</v>
      </c>
      <c r="O7" s="27" t="s">
        <v>84</v>
      </c>
      <c r="P7" s="27" t="s">
        <v>91</v>
      </c>
      <c r="Q7" s="27" t="s">
        <v>84</v>
      </c>
      <c r="R7" s="27" t="s">
        <v>84</v>
      </c>
      <c r="S7" s="27"/>
      <c r="T7" s="138">
        <v>343054.0</v>
      </c>
      <c r="U7" s="36">
        <v>8.0</v>
      </c>
      <c r="V7" s="36">
        <v>0.0</v>
      </c>
      <c r="W7" s="33">
        <v>45669.0</v>
      </c>
      <c r="X7" s="28">
        <v>2555.0</v>
      </c>
      <c r="Y7" s="36">
        <v>10.0</v>
      </c>
      <c r="Z7" s="36">
        <v>0.0</v>
      </c>
      <c r="AA7" s="24" t="s">
        <v>439</v>
      </c>
      <c r="AB7" s="28">
        <v>4001.0</v>
      </c>
      <c r="AC7" s="36">
        <v>10.0</v>
      </c>
      <c r="AD7" s="36">
        <v>0.0</v>
      </c>
      <c r="AE7" s="24" t="s">
        <v>442</v>
      </c>
      <c r="AF7" s="28">
        <v>7567.0</v>
      </c>
      <c r="AG7" s="36">
        <v>9.0</v>
      </c>
      <c r="AH7" s="36">
        <v>0.0</v>
      </c>
      <c r="AI7" s="24" t="s">
        <v>325</v>
      </c>
      <c r="AJ7" s="28"/>
      <c r="AP7" s="36">
        <v>6.0</v>
      </c>
      <c r="AQ7" s="24">
        <v>6.0</v>
      </c>
      <c r="AR7" s="28">
        <f t="shared" si="12"/>
        <v>12</v>
      </c>
      <c r="AS7" s="21">
        <f t="shared" ref="AS7:AT7" si="15">SUM(AP7)</f>
        <v>6</v>
      </c>
      <c r="AT7">
        <f t="shared" si="15"/>
        <v>6</v>
      </c>
      <c r="AU7">
        <f t="shared" si="5"/>
        <v>8</v>
      </c>
      <c r="AV7">
        <f t="shared" si="6"/>
        <v>10</v>
      </c>
      <c r="AW7">
        <f t="shared" si="7"/>
        <v>10</v>
      </c>
      <c r="AX7">
        <f t="shared" si="8"/>
        <v>9</v>
      </c>
      <c r="AY7">
        <f t="shared" ref="AY7:BD7" si="16">SUM(AJ7)</f>
        <v>0</v>
      </c>
      <c r="AZ7">
        <f t="shared" si="16"/>
        <v>0</v>
      </c>
      <c r="BA7">
        <f t="shared" si="16"/>
        <v>0</v>
      </c>
      <c r="BB7">
        <f t="shared" si="16"/>
        <v>0</v>
      </c>
      <c r="BC7">
        <f t="shared" si="16"/>
        <v>0</v>
      </c>
      <c r="BD7">
        <f t="shared" si="16"/>
        <v>0</v>
      </c>
      <c r="BE7">
        <f t="shared" si="10"/>
        <v>12</v>
      </c>
      <c r="BF7" s="4"/>
      <c r="BG7" s="50">
        <f t="shared" si="11"/>
        <v>61</v>
      </c>
      <c r="BH7" s="32">
        <v>2.0</v>
      </c>
    </row>
    <row r="8">
      <c r="A8" s="43">
        <v>466391.0</v>
      </c>
      <c r="B8" s="55" t="s">
        <v>444</v>
      </c>
      <c r="C8" s="24"/>
      <c r="D8" s="25" t="s">
        <v>91</v>
      </c>
      <c r="E8" s="27" t="s">
        <v>91</v>
      </c>
      <c r="F8" s="27" t="s">
        <v>91</v>
      </c>
      <c r="G8" s="27" t="s">
        <v>91</v>
      </c>
      <c r="H8" s="27" t="s">
        <v>84</v>
      </c>
      <c r="I8" s="27" t="s">
        <v>91</v>
      </c>
      <c r="J8" s="27" t="s">
        <v>84</v>
      </c>
      <c r="K8" s="27" t="s">
        <v>84</v>
      </c>
      <c r="L8" s="27" t="s">
        <v>91</v>
      </c>
      <c r="M8" s="27" t="s">
        <v>91</v>
      </c>
      <c r="N8" s="27" t="s">
        <v>84</v>
      </c>
      <c r="O8" s="27" t="s">
        <v>84</v>
      </c>
      <c r="P8" s="27" t="s">
        <v>91</v>
      </c>
      <c r="Q8" s="27" t="s">
        <v>91</v>
      </c>
      <c r="R8" s="27" t="s">
        <v>84</v>
      </c>
      <c r="S8" s="27"/>
      <c r="T8" s="138">
        <v>466391.0</v>
      </c>
      <c r="U8" s="36">
        <v>10.0</v>
      </c>
      <c r="V8" s="36">
        <v>0.0</v>
      </c>
      <c r="W8" s="24" t="s">
        <v>437</v>
      </c>
      <c r="X8" s="28">
        <v>2747.0</v>
      </c>
      <c r="Y8" s="36">
        <v>10.0</v>
      </c>
      <c r="Z8" s="36">
        <v>2.0</v>
      </c>
      <c r="AA8" s="33">
        <v>45669.0</v>
      </c>
      <c r="AB8" s="28">
        <v>3888.0</v>
      </c>
      <c r="AC8" s="36">
        <v>9.0</v>
      </c>
      <c r="AD8" s="36">
        <v>0.0</v>
      </c>
      <c r="AE8" s="24" t="s">
        <v>324</v>
      </c>
      <c r="AF8" s="28">
        <v>6752.0</v>
      </c>
      <c r="AG8" s="36">
        <v>7.0</v>
      </c>
      <c r="AH8" s="36">
        <v>0.0</v>
      </c>
      <c r="AI8" s="24" t="s">
        <v>442</v>
      </c>
      <c r="AJ8" s="28">
        <v>1.3</v>
      </c>
      <c r="AK8" s="36">
        <v>0.8</v>
      </c>
      <c r="AM8" s="36">
        <v>0.3</v>
      </c>
      <c r="AN8" s="36">
        <v>0.01</v>
      </c>
      <c r="AO8" s="36">
        <v>0.2</v>
      </c>
      <c r="AP8" s="36">
        <v>6.0</v>
      </c>
      <c r="AQ8" s="24">
        <v>6.0</v>
      </c>
      <c r="AR8" s="28">
        <f t="shared" si="12"/>
        <v>12</v>
      </c>
      <c r="AS8" s="21">
        <f t="shared" ref="AS8:AT8" si="17">SUM(AP8)</f>
        <v>6</v>
      </c>
      <c r="AT8">
        <f t="shared" si="17"/>
        <v>6</v>
      </c>
      <c r="AU8">
        <f t="shared" si="5"/>
        <v>10</v>
      </c>
      <c r="AV8">
        <f t="shared" si="6"/>
        <v>12</v>
      </c>
      <c r="AW8">
        <f t="shared" si="7"/>
        <v>9</v>
      </c>
      <c r="AX8">
        <f t="shared" si="8"/>
        <v>7</v>
      </c>
      <c r="AY8">
        <f t="shared" ref="AY8:BD8" si="18">SUM(AJ8)</f>
        <v>1.3</v>
      </c>
      <c r="AZ8">
        <f t="shared" si="18"/>
        <v>0.8</v>
      </c>
      <c r="BA8">
        <f t="shared" si="18"/>
        <v>0</v>
      </c>
      <c r="BB8">
        <f t="shared" si="18"/>
        <v>0.3</v>
      </c>
      <c r="BC8">
        <f t="shared" si="18"/>
        <v>0.01</v>
      </c>
      <c r="BD8">
        <f t="shared" si="18"/>
        <v>0.2</v>
      </c>
      <c r="BE8">
        <f t="shared" si="10"/>
        <v>12</v>
      </c>
      <c r="BF8" s="4"/>
      <c r="BG8" s="50">
        <f t="shared" si="11"/>
        <v>64.61</v>
      </c>
      <c r="BH8" s="32">
        <v>2.0</v>
      </c>
    </row>
    <row r="9">
      <c r="A9" s="43">
        <v>466478.0</v>
      </c>
      <c r="B9" s="55" t="s">
        <v>445</v>
      </c>
      <c r="C9" s="4"/>
      <c r="D9" s="25" t="s">
        <v>84</v>
      </c>
      <c r="E9" s="27" t="s">
        <v>84</v>
      </c>
      <c r="F9" s="27" t="s">
        <v>91</v>
      </c>
      <c r="G9" s="27" t="s">
        <v>91</v>
      </c>
      <c r="H9" s="27" t="s">
        <v>84</v>
      </c>
      <c r="I9" s="27" t="s">
        <v>84</v>
      </c>
      <c r="J9" s="27" t="s">
        <v>91</v>
      </c>
      <c r="K9" s="27" t="s">
        <v>84</v>
      </c>
      <c r="L9" s="27" t="s">
        <v>84</v>
      </c>
      <c r="M9" s="27" t="s">
        <v>91</v>
      </c>
      <c r="N9" s="27" t="s">
        <v>91</v>
      </c>
      <c r="O9" s="27" t="s">
        <v>84</v>
      </c>
      <c r="P9" s="27" t="s">
        <v>84</v>
      </c>
      <c r="Q9" s="27" t="s">
        <v>84</v>
      </c>
      <c r="R9" s="27" t="s">
        <v>91</v>
      </c>
      <c r="S9" s="27"/>
      <c r="T9" s="138">
        <v>466478.0</v>
      </c>
      <c r="U9" s="61">
        <v>9.0</v>
      </c>
      <c r="V9" s="61">
        <v>0.0</v>
      </c>
      <c r="W9" s="109" t="s">
        <v>446</v>
      </c>
      <c r="X9" s="62">
        <v>2876.0</v>
      </c>
      <c r="Y9" s="61">
        <v>10.0</v>
      </c>
      <c r="Z9" s="61">
        <v>2.0</v>
      </c>
      <c r="AA9" s="79" t="s">
        <v>441</v>
      </c>
      <c r="AB9" s="62">
        <v>3678.0</v>
      </c>
      <c r="AC9" s="36">
        <v>10.0</v>
      </c>
      <c r="AD9" s="36">
        <v>2.0</v>
      </c>
      <c r="AE9" s="33">
        <v>45881.0</v>
      </c>
      <c r="AF9" s="28">
        <v>9045.0</v>
      </c>
      <c r="AG9" s="36">
        <v>10.0</v>
      </c>
      <c r="AH9" s="36">
        <v>0.0</v>
      </c>
      <c r="AI9" s="24" t="s">
        <v>324</v>
      </c>
      <c r="AJ9" s="28">
        <v>0.01</v>
      </c>
      <c r="AK9" s="36">
        <v>0.4</v>
      </c>
      <c r="AM9" s="36">
        <v>0.8</v>
      </c>
      <c r="AO9" s="36">
        <v>1.2</v>
      </c>
      <c r="AP9" s="36">
        <v>6.0</v>
      </c>
      <c r="AQ9" s="24">
        <v>6.0</v>
      </c>
      <c r="AR9" s="28">
        <f t="shared" si="12"/>
        <v>12</v>
      </c>
      <c r="AS9" s="21">
        <f t="shared" ref="AS9:AT9" si="19">SUM(AP9)</f>
        <v>6</v>
      </c>
      <c r="AT9">
        <f t="shared" si="19"/>
        <v>6</v>
      </c>
      <c r="AU9">
        <f t="shared" si="5"/>
        <v>9</v>
      </c>
      <c r="AV9">
        <f t="shared" si="6"/>
        <v>12</v>
      </c>
      <c r="AW9">
        <f t="shared" si="7"/>
        <v>12</v>
      </c>
      <c r="AX9">
        <f t="shared" si="8"/>
        <v>10</v>
      </c>
      <c r="AY9">
        <f t="shared" ref="AY9:BD9" si="20">SUM(AJ9)</f>
        <v>0.01</v>
      </c>
      <c r="AZ9">
        <f t="shared" si="20"/>
        <v>0.4</v>
      </c>
      <c r="BA9">
        <f t="shared" si="20"/>
        <v>0</v>
      </c>
      <c r="BB9">
        <f t="shared" si="20"/>
        <v>0.8</v>
      </c>
      <c r="BC9">
        <f t="shared" si="20"/>
        <v>0</v>
      </c>
      <c r="BD9">
        <f t="shared" si="20"/>
        <v>1.2</v>
      </c>
      <c r="BE9">
        <f t="shared" si="10"/>
        <v>12</v>
      </c>
      <c r="BF9" s="4"/>
      <c r="BG9" s="50">
        <f t="shared" si="11"/>
        <v>69.41</v>
      </c>
      <c r="BH9" s="32">
        <v>1.0</v>
      </c>
    </row>
    <row r="10">
      <c r="A10" s="43">
        <v>466481.0</v>
      </c>
      <c r="B10" s="55" t="s">
        <v>447</v>
      </c>
      <c r="C10" s="24"/>
      <c r="D10" s="25" t="s">
        <v>84</v>
      </c>
      <c r="E10" s="27" t="s">
        <v>84</v>
      </c>
      <c r="F10" s="27" t="s">
        <v>91</v>
      </c>
      <c r="G10" s="27" t="s">
        <v>91</v>
      </c>
      <c r="H10" s="27" t="s">
        <v>84</v>
      </c>
      <c r="I10" s="27" t="s">
        <v>84</v>
      </c>
      <c r="J10" s="27" t="s">
        <v>91</v>
      </c>
      <c r="K10" s="27" t="s">
        <v>84</v>
      </c>
      <c r="L10" s="27" t="s">
        <v>84</v>
      </c>
      <c r="M10" s="27" t="s">
        <v>91</v>
      </c>
      <c r="N10" s="27" t="s">
        <v>91</v>
      </c>
      <c r="O10" s="27" t="s">
        <v>84</v>
      </c>
      <c r="P10" s="27" t="s">
        <v>84</v>
      </c>
      <c r="Q10" s="27" t="s">
        <v>84</v>
      </c>
      <c r="R10" s="27" t="s">
        <v>91</v>
      </c>
      <c r="S10" s="27"/>
      <c r="T10" s="138">
        <v>466481.0</v>
      </c>
      <c r="U10" s="36">
        <v>9.0</v>
      </c>
      <c r="V10" s="36">
        <v>0.0</v>
      </c>
      <c r="W10" s="109" t="s">
        <v>446</v>
      </c>
      <c r="X10" s="28">
        <v>2987.0</v>
      </c>
      <c r="Y10" s="36">
        <v>9.0</v>
      </c>
      <c r="Z10" s="36">
        <v>0.0</v>
      </c>
      <c r="AA10" s="75" t="s">
        <v>441</v>
      </c>
      <c r="AB10" s="28">
        <v>3789.0</v>
      </c>
      <c r="AC10" s="36">
        <v>10.0</v>
      </c>
      <c r="AD10" s="36">
        <v>2.0</v>
      </c>
      <c r="AE10" s="75" t="s">
        <v>448</v>
      </c>
      <c r="AF10" s="28">
        <v>9055.0</v>
      </c>
      <c r="AG10" s="36">
        <v>10.0</v>
      </c>
      <c r="AH10" s="36">
        <v>0.0</v>
      </c>
      <c r="AI10" s="24" t="s">
        <v>324</v>
      </c>
      <c r="AJ10" s="28">
        <v>0.01</v>
      </c>
      <c r="AK10" s="36">
        <v>0.1</v>
      </c>
      <c r="AO10" s="36">
        <v>1.2</v>
      </c>
      <c r="AP10" s="36">
        <v>6.0</v>
      </c>
      <c r="AQ10" s="24">
        <v>6.0</v>
      </c>
      <c r="AR10" s="28">
        <f t="shared" si="12"/>
        <v>12</v>
      </c>
      <c r="AS10" s="21">
        <f t="shared" ref="AS10:AT10" si="21">SUM(AP10)</f>
        <v>6</v>
      </c>
      <c r="AT10">
        <f t="shared" si="21"/>
        <v>6</v>
      </c>
      <c r="AU10">
        <f t="shared" si="5"/>
        <v>9</v>
      </c>
      <c r="AV10">
        <f t="shared" si="6"/>
        <v>9</v>
      </c>
      <c r="AW10">
        <f t="shared" si="7"/>
        <v>12</v>
      </c>
      <c r="AX10">
        <f t="shared" si="8"/>
        <v>10</v>
      </c>
      <c r="AY10">
        <f t="shared" ref="AY10:BD10" si="22">SUM(AJ10)</f>
        <v>0.01</v>
      </c>
      <c r="AZ10">
        <f t="shared" si="22"/>
        <v>0.1</v>
      </c>
      <c r="BA10">
        <f t="shared" si="22"/>
        <v>0</v>
      </c>
      <c r="BB10">
        <f t="shared" si="22"/>
        <v>0</v>
      </c>
      <c r="BC10">
        <f t="shared" si="22"/>
        <v>0</v>
      </c>
      <c r="BD10">
        <f t="shared" si="22"/>
        <v>1.2</v>
      </c>
      <c r="BE10">
        <f t="shared" si="10"/>
        <v>12</v>
      </c>
      <c r="BF10" s="4"/>
      <c r="BG10" s="50">
        <f t="shared" si="11"/>
        <v>65.31</v>
      </c>
      <c r="BH10" s="32">
        <v>1.0</v>
      </c>
    </row>
    <row r="11">
      <c r="A11" s="43">
        <v>472154.0</v>
      </c>
      <c r="B11" s="55" t="s">
        <v>449</v>
      </c>
      <c r="C11" s="24"/>
      <c r="D11" s="25" t="s">
        <v>91</v>
      </c>
      <c r="E11" s="27" t="s">
        <v>91</v>
      </c>
      <c r="F11" s="27" t="s">
        <v>91</v>
      </c>
      <c r="G11" s="27" t="s">
        <v>91</v>
      </c>
      <c r="H11" s="27" t="s">
        <v>450</v>
      </c>
      <c r="I11" s="27" t="s">
        <v>84</v>
      </c>
      <c r="J11" s="27" t="s">
        <v>84</v>
      </c>
      <c r="K11" s="27" t="s">
        <v>84</v>
      </c>
      <c r="L11" s="27" t="s">
        <v>91</v>
      </c>
      <c r="M11" s="27" t="s">
        <v>91</v>
      </c>
      <c r="N11" s="27" t="s">
        <v>84</v>
      </c>
      <c r="O11" s="27" t="s">
        <v>84</v>
      </c>
      <c r="P11" s="27" t="s">
        <v>91</v>
      </c>
      <c r="Q11" s="27" t="s">
        <v>84</v>
      </c>
      <c r="R11" s="27" t="s">
        <v>84</v>
      </c>
      <c r="S11" s="27"/>
      <c r="T11" s="138">
        <v>472154.0</v>
      </c>
      <c r="U11" s="36">
        <v>10.0</v>
      </c>
      <c r="V11" s="36">
        <v>1.0</v>
      </c>
      <c r="W11" s="24" t="s">
        <v>437</v>
      </c>
      <c r="X11" s="28">
        <v>3188.0</v>
      </c>
      <c r="Y11" s="36">
        <v>10.0</v>
      </c>
      <c r="Z11" s="36">
        <v>1.0</v>
      </c>
      <c r="AA11" s="33">
        <v>45669.0</v>
      </c>
      <c r="AB11" s="28">
        <v>3999.0</v>
      </c>
      <c r="AC11" s="36">
        <v>10.0</v>
      </c>
      <c r="AD11" s="36">
        <v>1.0</v>
      </c>
      <c r="AE11" s="24" t="s">
        <v>439</v>
      </c>
      <c r="AF11" s="28">
        <v>9066.0</v>
      </c>
      <c r="AG11" s="36">
        <v>7.0</v>
      </c>
      <c r="AH11" s="36">
        <v>0.0</v>
      </c>
      <c r="AI11" s="24" t="s">
        <v>442</v>
      </c>
      <c r="AJ11" s="28">
        <v>0.5</v>
      </c>
      <c r="AL11" s="36">
        <v>0.3</v>
      </c>
      <c r="AP11" s="36">
        <v>6.0</v>
      </c>
      <c r="AQ11" s="24">
        <v>6.0</v>
      </c>
      <c r="AR11" s="28">
        <f t="shared" si="12"/>
        <v>12</v>
      </c>
      <c r="AS11" s="21">
        <f t="shared" ref="AS11:AT11" si="23">SUM(AP11)</f>
        <v>6</v>
      </c>
      <c r="AT11">
        <f t="shared" si="23"/>
        <v>6</v>
      </c>
      <c r="AU11">
        <f t="shared" si="5"/>
        <v>11</v>
      </c>
      <c r="AV11">
        <f t="shared" si="6"/>
        <v>11</v>
      </c>
      <c r="AW11">
        <f t="shared" si="7"/>
        <v>11</v>
      </c>
      <c r="AX11">
        <f t="shared" si="8"/>
        <v>7</v>
      </c>
      <c r="AY11">
        <f t="shared" ref="AY11:BD11" si="24">SUM(AJ11)</f>
        <v>0.5</v>
      </c>
      <c r="AZ11">
        <f t="shared" si="24"/>
        <v>0</v>
      </c>
      <c r="BA11">
        <f t="shared" si="24"/>
        <v>0.3</v>
      </c>
      <c r="BB11">
        <f t="shared" si="24"/>
        <v>0</v>
      </c>
      <c r="BC11">
        <f t="shared" si="24"/>
        <v>0</v>
      </c>
      <c r="BD11">
        <f t="shared" si="24"/>
        <v>0</v>
      </c>
      <c r="BE11">
        <f t="shared" si="10"/>
        <v>12</v>
      </c>
      <c r="BF11" s="4"/>
      <c r="BG11" s="50">
        <f t="shared" si="11"/>
        <v>64.8</v>
      </c>
      <c r="BH11" s="32">
        <v>2.0</v>
      </c>
    </row>
    <row r="12">
      <c r="A12" s="43">
        <v>466816.0</v>
      </c>
      <c r="B12" s="55" t="s">
        <v>451</v>
      </c>
      <c r="C12" s="24"/>
      <c r="D12" s="25" t="s">
        <v>84</v>
      </c>
      <c r="E12" s="27" t="s">
        <v>91</v>
      </c>
      <c r="F12" s="27" t="s">
        <v>91</v>
      </c>
      <c r="G12" s="27" t="s">
        <v>91</v>
      </c>
      <c r="H12" s="27" t="s">
        <v>91</v>
      </c>
      <c r="I12" s="27" t="s">
        <v>91</v>
      </c>
      <c r="J12" s="27" t="s">
        <v>84</v>
      </c>
      <c r="K12" s="27" t="s">
        <v>91</v>
      </c>
      <c r="L12" s="27" t="s">
        <v>91</v>
      </c>
      <c r="M12" s="27" t="s">
        <v>84</v>
      </c>
      <c r="N12" s="27" t="s">
        <v>91</v>
      </c>
      <c r="O12" s="27" t="s">
        <v>84</v>
      </c>
      <c r="P12" s="27" t="s">
        <v>84</v>
      </c>
      <c r="Q12" s="27" t="s">
        <v>84</v>
      </c>
      <c r="R12" s="27" t="s">
        <v>91</v>
      </c>
      <c r="S12" s="27"/>
      <c r="T12" s="138">
        <v>466816.0</v>
      </c>
      <c r="U12" s="36">
        <v>10.0</v>
      </c>
      <c r="V12" s="36">
        <v>0.0</v>
      </c>
      <c r="W12" s="24" t="s">
        <v>437</v>
      </c>
      <c r="X12" s="28">
        <v>3001.0</v>
      </c>
      <c r="Y12" s="36">
        <v>10.0</v>
      </c>
      <c r="Z12" s="36">
        <v>0.0</v>
      </c>
      <c r="AA12" s="68">
        <v>45881.0</v>
      </c>
      <c r="AB12" s="28">
        <v>3632.0</v>
      </c>
      <c r="AE12" s="63"/>
      <c r="AF12" s="28"/>
      <c r="AI12" s="24"/>
      <c r="AJ12" s="28"/>
      <c r="AM12" s="36">
        <v>0.3</v>
      </c>
      <c r="AN12" s="36">
        <v>1.6</v>
      </c>
      <c r="AO12" s="36">
        <v>0.01</v>
      </c>
      <c r="AP12" s="36">
        <v>6.0</v>
      </c>
      <c r="AQ12" s="24">
        <v>6.0</v>
      </c>
      <c r="AR12" s="28"/>
      <c r="AS12" s="21">
        <f t="shared" ref="AS12:AT12" si="25">SUM(AP12)</f>
        <v>6</v>
      </c>
      <c r="AT12">
        <f t="shared" si="25"/>
        <v>6</v>
      </c>
      <c r="AU12">
        <f t="shared" si="5"/>
        <v>10</v>
      </c>
      <c r="AV12">
        <f t="shared" si="6"/>
        <v>10</v>
      </c>
      <c r="AW12">
        <f t="shared" si="7"/>
        <v>0</v>
      </c>
      <c r="AX12">
        <f t="shared" si="8"/>
        <v>0</v>
      </c>
      <c r="AY12">
        <f t="shared" ref="AY12:BD12" si="26">SUM(AJ12)</f>
        <v>0</v>
      </c>
      <c r="AZ12">
        <f t="shared" si="26"/>
        <v>0</v>
      </c>
      <c r="BA12">
        <f t="shared" si="26"/>
        <v>0</v>
      </c>
      <c r="BB12">
        <f t="shared" si="26"/>
        <v>0.3</v>
      </c>
      <c r="BC12">
        <f t="shared" si="26"/>
        <v>1.6</v>
      </c>
      <c r="BD12">
        <f t="shared" si="26"/>
        <v>0.01</v>
      </c>
      <c r="BE12">
        <f t="shared" si="10"/>
        <v>0</v>
      </c>
      <c r="BF12" s="4"/>
      <c r="BG12" s="50">
        <f t="shared" si="11"/>
        <v>33.91</v>
      </c>
      <c r="BH12" s="32"/>
    </row>
    <row r="13">
      <c r="A13" s="43">
        <v>466855.0</v>
      </c>
      <c r="B13" s="55" t="s">
        <v>452</v>
      </c>
      <c r="D13" s="25" t="s">
        <v>91</v>
      </c>
      <c r="E13" s="27" t="s">
        <v>84</v>
      </c>
      <c r="F13" s="27" t="s">
        <v>84</v>
      </c>
      <c r="G13" s="27" t="s">
        <v>84</v>
      </c>
      <c r="H13" s="27" t="s">
        <v>84</v>
      </c>
      <c r="I13" s="27" t="s">
        <v>91</v>
      </c>
      <c r="J13" s="27" t="s">
        <v>84</v>
      </c>
      <c r="K13" s="27" t="s">
        <v>84</v>
      </c>
      <c r="L13" s="27" t="s">
        <v>91</v>
      </c>
      <c r="M13" s="27" t="s">
        <v>91</v>
      </c>
      <c r="N13" s="27" t="s">
        <v>84</v>
      </c>
      <c r="O13" s="27" t="s">
        <v>84</v>
      </c>
      <c r="P13" s="27" t="s">
        <v>91</v>
      </c>
      <c r="Q13" s="27" t="s">
        <v>84</v>
      </c>
      <c r="R13" s="27" t="s">
        <v>84</v>
      </c>
      <c r="S13" s="27"/>
      <c r="T13" s="138">
        <v>466855.0</v>
      </c>
      <c r="U13" s="36">
        <v>10.0</v>
      </c>
      <c r="V13" s="36">
        <v>0.0</v>
      </c>
      <c r="W13" s="85">
        <v>45818.0</v>
      </c>
      <c r="X13" s="28">
        <v>2387.0</v>
      </c>
      <c r="Y13" s="36">
        <v>9.0</v>
      </c>
      <c r="Z13" s="36">
        <v>0.0</v>
      </c>
      <c r="AA13" s="36" t="s">
        <v>437</v>
      </c>
      <c r="AB13" s="28">
        <v>3455.0</v>
      </c>
      <c r="AC13" s="36">
        <v>10.0</v>
      </c>
      <c r="AD13" s="36">
        <v>2.0</v>
      </c>
      <c r="AE13" s="85">
        <v>45669.0</v>
      </c>
      <c r="AF13" s="28">
        <v>6546.0</v>
      </c>
      <c r="AG13" s="36">
        <v>7.0</v>
      </c>
      <c r="AH13" s="36">
        <v>0.0</v>
      </c>
      <c r="AI13" s="36" t="s">
        <v>442</v>
      </c>
      <c r="AJ13" s="28"/>
      <c r="AM13" s="36">
        <v>0.01</v>
      </c>
      <c r="AN13" s="36">
        <v>1.6</v>
      </c>
      <c r="AP13" s="36">
        <v>7.0</v>
      </c>
      <c r="AQ13" s="36">
        <v>6.0</v>
      </c>
      <c r="AR13" s="28">
        <f t="shared" ref="AR13:AR15" si="29">SUM(AP13:AQ13)</f>
        <v>13</v>
      </c>
      <c r="AS13" s="21">
        <f t="shared" ref="AS13:AT13" si="27">SUM(AP13)</f>
        <v>7</v>
      </c>
      <c r="AT13">
        <f t="shared" si="27"/>
        <v>6</v>
      </c>
      <c r="AU13">
        <f t="shared" si="5"/>
        <v>10</v>
      </c>
      <c r="AV13">
        <f t="shared" si="6"/>
        <v>9</v>
      </c>
      <c r="AW13">
        <f t="shared" si="7"/>
        <v>12</v>
      </c>
      <c r="AX13">
        <f t="shared" si="8"/>
        <v>7</v>
      </c>
      <c r="AY13">
        <f t="shared" ref="AY13:BD13" si="28">SUM(AJ13)</f>
        <v>0</v>
      </c>
      <c r="AZ13">
        <f t="shared" si="28"/>
        <v>0</v>
      </c>
      <c r="BA13">
        <f t="shared" si="28"/>
        <v>0</v>
      </c>
      <c r="BB13">
        <f t="shared" si="28"/>
        <v>0.01</v>
      </c>
      <c r="BC13">
        <f t="shared" si="28"/>
        <v>1.6</v>
      </c>
      <c r="BD13">
        <f t="shared" si="28"/>
        <v>0</v>
      </c>
      <c r="BE13">
        <f t="shared" si="10"/>
        <v>13</v>
      </c>
      <c r="BF13" s="4"/>
      <c r="BG13" s="50">
        <f t="shared" si="11"/>
        <v>65.61</v>
      </c>
      <c r="BH13" s="32">
        <v>2.0</v>
      </c>
    </row>
    <row r="14">
      <c r="A14" s="43">
        <v>467297.0</v>
      </c>
      <c r="B14" s="208" t="s">
        <v>453</v>
      </c>
      <c r="D14" s="25" t="s">
        <v>91</v>
      </c>
      <c r="E14" s="27" t="s">
        <v>84</v>
      </c>
      <c r="F14" s="27" t="s">
        <v>84</v>
      </c>
      <c r="G14" s="27" t="s">
        <v>91</v>
      </c>
      <c r="H14" s="27" t="s">
        <v>84</v>
      </c>
      <c r="I14" s="27" t="s">
        <v>91</v>
      </c>
      <c r="J14" s="27" t="s">
        <v>84</v>
      </c>
      <c r="K14" s="27" t="s">
        <v>84</v>
      </c>
      <c r="L14" s="27" t="s">
        <v>91</v>
      </c>
      <c r="M14" s="27" t="s">
        <v>91</v>
      </c>
      <c r="N14" s="27" t="s">
        <v>91</v>
      </c>
      <c r="O14" s="27" t="s">
        <v>91</v>
      </c>
      <c r="P14" s="27" t="s">
        <v>84</v>
      </c>
      <c r="Q14" s="27" t="s">
        <v>84</v>
      </c>
      <c r="R14" s="27" t="s">
        <v>91</v>
      </c>
      <c r="S14" s="27"/>
      <c r="T14" s="138">
        <v>467297.0</v>
      </c>
      <c r="U14" s="36">
        <v>10.0</v>
      </c>
      <c r="V14" s="36">
        <v>2.0</v>
      </c>
      <c r="W14" s="36" t="s">
        <v>336</v>
      </c>
      <c r="X14" s="28">
        <v>2498.0</v>
      </c>
      <c r="Y14" s="36">
        <v>10.0</v>
      </c>
      <c r="Z14" s="36">
        <v>2.0</v>
      </c>
      <c r="AA14" s="36" t="s">
        <v>437</v>
      </c>
      <c r="AB14" s="28">
        <v>3288.0</v>
      </c>
      <c r="AC14" s="36">
        <v>10.0</v>
      </c>
      <c r="AD14" s="36">
        <v>2.0</v>
      </c>
      <c r="AE14" s="85">
        <v>45881.0</v>
      </c>
      <c r="AF14" s="28">
        <v>84000.0</v>
      </c>
      <c r="AG14" s="36">
        <v>10.0</v>
      </c>
      <c r="AH14" s="36">
        <v>2.0</v>
      </c>
      <c r="AI14" s="36" t="s">
        <v>324</v>
      </c>
      <c r="AJ14" s="28">
        <v>0.4</v>
      </c>
      <c r="AN14" s="36">
        <v>2.0</v>
      </c>
      <c r="AO14" s="36">
        <v>0.4</v>
      </c>
      <c r="AP14" s="36">
        <v>6.0</v>
      </c>
      <c r="AQ14" s="36">
        <v>6.0</v>
      </c>
      <c r="AR14" s="28">
        <f t="shared" si="29"/>
        <v>12</v>
      </c>
      <c r="AS14" s="21">
        <f t="shared" ref="AS14:AT14" si="30">SUM(AP14)</f>
        <v>6</v>
      </c>
      <c r="AT14">
        <f t="shared" si="30"/>
        <v>6</v>
      </c>
      <c r="AU14">
        <f t="shared" si="5"/>
        <v>12</v>
      </c>
      <c r="AV14">
        <f t="shared" si="6"/>
        <v>12</v>
      </c>
      <c r="AW14">
        <f t="shared" si="7"/>
        <v>12</v>
      </c>
      <c r="AX14">
        <f t="shared" si="8"/>
        <v>12</v>
      </c>
      <c r="AY14">
        <f t="shared" ref="AY14:BD14" si="31">SUM(AJ14)</f>
        <v>0.4</v>
      </c>
      <c r="AZ14">
        <f t="shared" si="31"/>
        <v>0</v>
      </c>
      <c r="BA14">
        <f t="shared" si="31"/>
        <v>0</v>
      </c>
      <c r="BB14">
        <f t="shared" si="31"/>
        <v>0</v>
      </c>
      <c r="BC14">
        <f t="shared" si="31"/>
        <v>2</v>
      </c>
      <c r="BD14">
        <f t="shared" si="31"/>
        <v>0.4</v>
      </c>
      <c r="BE14">
        <f t="shared" si="10"/>
        <v>12</v>
      </c>
      <c r="BF14" s="4"/>
      <c r="BG14" s="50">
        <f t="shared" si="11"/>
        <v>74.8</v>
      </c>
      <c r="BH14" s="32">
        <v>1.0</v>
      </c>
    </row>
    <row r="15">
      <c r="A15" s="43">
        <v>467883.0</v>
      </c>
      <c r="B15" s="246" t="s">
        <v>454</v>
      </c>
      <c r="D15" s="25" t="s">
        <v>91</v>
      </c>
      <c r="E15" s="27" t="s">
        <v>84</v>
      </c>
      <c r="F15" s="27" t="s">
        <v>84</v>
      </c>
      <c r="G15" s="27" t="s">
        <v>84</v>
      </c>
      <c r="H15" s="27" t="s">
        <v>91</v>
      </c>
      <c r="I15" s="27" t="s">
        <v>91</v>
      </c>
      <c r="J15" s="27" t="s">
        <v>84</v>
      </c>
      <c r="K15" s="27" t="s">
        <v>84</v>
      </c>
      <c r="L15" s="27" t="s">
        <v>91</v>
      </c>
      <c r="M15" s="27" t="s">
        <v>84</v>
      </c>
      <c r="N15" s="27" t="s">
        <v>84</v>
      </c>
      <c r="O15" s="27" t="s">
        <v>91</v>
      </c>
      <c r="P15" s="27" t="s">
        <v>455</v>
      </c>
      <c r="Q15" s="27" t="s">
        <v>84</v>
      </c>
      <c r="R15" s="27" t="s">
        <v>91</v>
      </c>
      <c r="S15" s="27"/>
      <c r="T15" s="138">
        <v>467883.0</v>
      </c>
      <c r="U15" s="36">
        <v>10.0</v>
      </c>
      <c r="V15" s="36">
        <v>2.0</v>
      </c>
      <c r="W15" s="36" t="s">
        <v>336</v>
      </c>
      <c r="X15" s="28">
        <v>2556.0</v>
      </c>
      <c r="Y15" s="36">
        <v>10.0</v>
      </c>
      <c r="Z15" s="36">
        <v>2.0</v>
      </c>
      <c r="AA15" s="85">
        <v>45727.0</v>
      </c>
      <c r="AB15" s="28">
        <v>3509.0</v>
      </c>
      <c r="AC15" s="36">
        <v>10.0</v>
      </c>
      <c r="AD15" s="36">
        <v>2.0</v>
      </c>
      <c r="AE15" s="36" t="s">
        <v>456</v>
      </c>
      <c r="AF15" s="28">
        <v>6785.0</v>
      </c>
      <c r="AG15" s="36">
        <v>10.0</v>
      </c>
      <c r="AH15" s="36">
        <v>2.0</v>
      </c>
      <c r="AI15" s="36" t="s">
        <v>457</v>
      </c>
      <c r="AJ15" s="28">
        <v>0.5</v>
      </c>
      <c r="AN15" s="36">
        <v>2.0</v>
      </c>
      <c r="AO15" s="36">
        <v>0.8</v>
      </c>
      <c r="AP15" s="36">
        <v>6.0</v>
      </c>
      <c r="AQ15" s="36">
        <v>7.75</v>
      </c>
      <c r="AR15" s="28">
        <f t="shared" si="29"/>
        <v>13.75</v>
      </c>
      <c r="AS15" s="21">
        <f t="shared" ref="AS15:AT15" si="32">SUM(AP15)</f>
        <v>6</v>
      </c>
      <c r="AT15">
        <f t="shared" si="32"/>
        <v>7.75</v>
      </c>
      <c r="AU15">
        <f t="shared" si="5"/>
        <v>12</v>
      </c>
      <c r="AV15">
        <f t="shared" si="6"/>
        <v>12</v>
      </c>
      <c r="AW15">
        <f t="shared" si="7"/>
        <v>12</v>
      </c>
      <c r="AX15">
        <f t="shared" si="8"/>
        <v>12</v>
      </c>
      <c r="AY15">
        <f t="shared" ref="AY15:BD15" si="33">SUM(AJ15)</f>
        <v>0.5</v>
      </c>
      <c r="AZ15">
        <f t="shared" si="33"/>
        <v>0</v>
      </c>
      <c r="BA15">
        <f t="shared" si="33"/>
        <v>0</v>
      </c>
      <c r="BB15">
        <f t="shared" si="33"/>
        <v>0</v>
      </c>
      <c r="BC15">
        <f t="shared" si="33"/>
        <v>2</v>
      </c>
      <c r="BD15">
        <f t="shared" si="33"/>
        <v>0.8</v>
      </c>
      <c r="BE15">
        <f t="shared" si="10"/>
        <v>13.75</v>
      </c>
      <c r="BF15" s="4"/>
      <c r="BG15" s="50">
        <f t="shared" si="11"/>
        <v>78.8</v>
      </c>
      <c r="BH15" s="32">
        <v>1.0</v>
      </c>
    </row>
    <row r="16">
      <c r="C16" s="24"/>
      <c r="D16" s="2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8"/>
      <c r="W16" s="24"/>
      <c r="X16" s="28"/>
      <c r="AA16" s="24"/>
      <c r="AB16" s="28"/>
      <c r="AE16" s="24"/>
      <c r="AF16" s="28"/>
      <c r="AI16" s="24"/>
      <c r="AJ16" s="28"/>
      <c r="AQ16" s="24"/>
      <c r="AR16" s="30"/>
      <c r="AU16" s="21"/>
      <c r="BG16" s="31"/>
      <c r="BH16" s="32"/>
    </row>
    <row r="17">
      <c r="C17" s="24"/>
      <c r="D17" s="2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8"/>
      <c r="W17" s="24"/>
      <c r="X17" s="28"/>
      <c r="AA17" s="24"/>
      <c r="AB17" s="28"/>
      <c r="AE17" s="24"/>
      <c r="AF17" s="28"/>
      <c r="AI17" s="33"/>
      <c r="AJ17" s="28"/>
      <c r="AP17" s="36">
        <f t="shared" ref="AP17:AQ17" si="34">COUNTA($B$4:$B$15)-COUNTIF(AP4:AP15,"&gt;=6")</f>
        <v>1</v>
      </c>
      <c r="AQ17" s="36">
        <f t="shared" si="34"/>
        <v>1</v>
      </c>
      <c r="AR17" s="30"/>
      <c r="AU17" s="21"/>
      <c r="BG17" s="31"/>
      <c r="BH17" s="32"/>
    </row>
    <row r="18">
      <c r="A18" s="43">
        <v>408027.0</v>
      </c>
      <c r="B18" s="69" t="s">
        <v>458</v>
      </c>
      <c r="C18" s="24"/>
      <c r="D18" s="25" t="s">
        <v>91</v>
      </c>
      <c r="E18" s="27" t="s">
        <v>91</v>
      </c>
      <c r="F18" s="27" t="s">
        <v>91</v>
      </c>
      <c r="G18" s="27" t="s">
        <v>91</v>
      </c>
      <c r="H18" s="27" t="s">
        <v>91</v>
      </c>
      <c r="I18" s="27" t="s">
        <v>91</v>
      </c>
      <c r="J18" s="27" t="s">
        <v>91</v>
      </c>
      <c r="K18" s="27" t="s">
        <v>91</v>
      </c>
      <c r="L18" s="27" t="s">
        <v>91</v>
      </c>
      <c r="M18" s="27" t="s">
        <v>91</v>
      </c>
      <c r="N18" s="27" t="s">
        <v>91</v>
      </c>
      <c r="O18" s="27" t="s">
        <v>91</v>
      </c>
      <c r="P18" s="27" t="s">
        <v>91</v>
      </c>
      <c r="Q18" s="27" t="s">
        <v>91</v>
      </c>
      <c r="R18" s="27" t="s">
        <v>91</v>
      </c>
      <c r="S18" s="27"/>
      <c r="T18" s="138">
        <v>408027.0</v>
      </c>
      <c r="W18" s="68"/>
      <c r="X18" s="28"/>
      <c r="AA18" s="24"/>
      <c r="AB18" s="28"/>
      <c r="AE18" s="24"/>
      <c r="AF18" s="28"/>
      <c r="AG18" s="29"/>
      <c r="AI18" s="68"/>
      <c r="AJ18" s="28"/>
      <c r="AQ18" s="24"/>
      <c r="AR18" s="30"/>
      <c r="AS18">
        <f t="shared" ref="AS18:AT18" si="35">SUM(AP18)</f>
        <v>0</v>
      </c>
      <c r="AT18">
        <f t="shared" si="35"/>
        <v>0</v>
      </c>
      <c r="AU18" s="21">
        <f>SUM(U18,V18)</f>
        <v>0</v>
      </c>
      <c r="AV18">
        <f>SUM(Y18,Z18)</f>
        <v>0</v>
      </c>
      <c r="AW18">
        <f>SUM(AC18,AD18)</f>
        <v>0</v>
      </c>
      <c r="AX18">
        <f>SUM(AG18,AH18)</f>
        <v>0</v>
      </c>
      <c r="AY18">
        <f t="shared" ref="AY18:BD18" si="36">SUM(AJ18)</f>
        <v>0</v>
      </c>
      <c r="AZ18">
        <f t="shared" si="36"/>
        <v>0</v>
      </c>
      <c r="BA18">
        <f t="shared" si="36"/>
        <v>0</v>
      </c>
      <c r="BB18">
        <f t="shared" si="36"/>
        <v>0</v>
      </c>
      <c r="BC18">
        <f t="shared" si="36"/>
        <v>0</v>
      </c>
      <c r="BD18">
        <f t="shared" si="36"/>
        <v>0</v>
      </c>
      <c r="BE18">
        <f>SUM(AR18)</f>
        <v>0</v>
      </c>
      <c r="BG18" s="31">
        <f>SUM(AU18:BF18)</f>
        <v>0</v>
      </c>
      <c r="BH18" s="32"/>
    </row>
  </sheetData>
  <mergeCells count="45">
    <mergeCell ref="N2:N3"/>
    <mergeCell ref="O2:O3"/>
    <mergeCell ref="P2:P3"/>
    <mergeCell ref="Q2:Q3"/>
    <mergeCell ref="R2:R3"/>
    <mergeCell ref="S2:S3"/>
    <mergeCell ref="T2:T3"/>
    <mergeCell ref="W2:W3"/>
    <mergeCell ref="X2:X3"/>
    <mergeCell ref="AA2:AA3"/>
    <mergeCell ref="AB2:AB3"/>
    <mergeCell ref="AE2:AE3"/>
    <mergeCell ref="AF2:AF3"/>
    <mergeCell ref="AI2:AI3"/>
    <mergeCell ref="A1:B1"/>
    <mergeCell ref="C1:C3"/>
    <mergeCell ref="D1:S1"/>
    <mergeCell ref="T1:W1"/>
    <mergeCell ref="X1:AA1"/>
    <mergeCell ref="AB1:AE1"/>
    <mergeCell ref="AF1:AI1"/>
    <mergeCell ref="AP2:AP3"/>
    <mergeCell ref="AQ2:AQ3"/>
    <mergeCell ref="AS1:BE2"/>
    <mergeCell ref="BG1:BG3"/>
    <mergeCell ref="BH1:BH3"/>
    <mergeCell ref="AJ2:AJ3"/>
    <mergeCell ref="AK2:AK3"/>
    <mergeCell ref="AL2:AL3"/>
    <mergeCell ref="AM2:AM3"/>
    <mergeCell ref="AR2:AR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N2:AN3"/>
    <mergeCell ref="AO2:AO3"/>
  </mergeCells>
  <conditionalFormatting sqref="AA18">
    <cfRule type="timePeriod" dxfId="0" priority="1" timePeriod="last7Days"/>
  </conditionalFormatting>
  <conditionalFormatting sqref="AE18">
    <cfRule type="timePeriod" dxfId="0" priority="2" timePeriod="last7Days"/>
  </conditionalFormatting>
  <conditionalFormatting sqref="AE18">
    <cfRule type="timePeriod" dxfId="0" priority="3" timePeriod="last7Days"/>
  </conditionalFormatting>
  <conditionalFormatting sqref="W18 AA18 AE18">
    <cfRule type="timePeriod" dxfId="0" priority="4" timePeriod="last7Days"/>
  </conditionalFormatting>
  <conditionalFormatting sqref="W18">
    <cfRule type="timePeriod" dxfId="0" priority="5" timePeriod="last7Days"/>
  </conditionalFormatting>
  <conditionalFormatting sqref="W18">
    <cfRule type="timePeriod" dxfId="0" priority="6" timePeriod="last7Days"/>
  </conditionalFormatting>
  <conditionalFormatting sqref="AE18">
    <cfRule type="timePeriod" dxfId="0" priority="7" timePeriod="last7Days"/>
  </conditionalFormatting>
  <conditionalFormatting sqref="AS4:BF18">
    <cfRule type="cellIs" dxfId="1" priority="8" operator="lessThan">
      <formula>0.1</formula>
    </cfRule>
  </conditionalFormatting>
  <conditionalFormatting sqref="AS4:BF18">
    <cfRule type="cellIs" dxfId="2" priority="9" operator="greaterThan">
      <formula>0.1</formula>
    </cfRule>
  </conditionalFormatting>
  <conditionalFormatting sqref="BG4:BH18">
    <cfRule type="cellIs" dxfId="3" priority="10" operator="between">
      <formula>60</formula>
      <formula>68</formula>
    </cfRule>
  </conditionalFormatting>
  <conditionalFormatting sqref="BG4:BH18">
    <cfRule type="cellIs" dxfId="4" priority="11" operator="between">
      <formula>68</formula>
      <formula>74</formula>
    </cfRule>
  </conditionalFormatting>
  <conditionalFormatting sqref="BG4:BH18">
    <cfRule type="cellIs" dxfId="2" priority="12" operator="between">
      <formula>74</formula>
      <formula>81</formula>
    </cfRule>
  </conditionalFormatting>
  <conditionalFormatting sqref="BG4:BH18">
    <cfRule type="cellIs" dxfId="5" priority="13" operator="between">
      <formula>81</formula>
      <formula>90</formula>
    </cfRule>
  </conditionalFormatting>
  <conditionalFormatting sqref="BG4:BH18">
    <cfRule type="cellIs" dxfId="6" priority="14" operator="greaterThan">
      <formula>90</formula>
    </cfRule>
  </conditionalFormatting>
  <conditionalFormatting sqref="AA18">
    <cfRule type="timePeriod" dxfId="0" priority="15" timePeriod="last7Days"/>
  </conditionalFormatting>
  <conditionalFormatting sqref="G4:G14 G16:G18">
    <cfRule type="containsText" dxfId="7" priority="16" operator="containsText" text="н">
      <formula>NOT(ISERROR(SEARCH(("н"),(G4))))</formula>
    </cfRule>
  </conditionalFormatting>
  <conditionalFormatting sqref="G4:G14 G16:G18">
    <cfRule type="containsText" dxfId="7" priority="17" operator="containsText" text="n">
      <formula>NOT(ISERROR(SEARCH(("n"),(G4))))</formula>
    </cfRule>
  </conditionalFormatting>
  <conditionalFormatting sqref="F4:F14 F16:F18">
    <cfRule type="containsText" dxfId="7" priority="18" operator="containsText" text="н">
      <formula>NOT(ISERROR(SEARCH(("н"),(F4))))</formula>
    </cfRule>
  </conditionalFormatting>
  <conditionalFormatting sqref="F4:F14 F16:F18">
    <cfRule type="containsText" dxfId="7" priority="19" operator="containsText" text="n">
      <formula>NOT(ISERROR(SEARCH(("n"),(F4))))</formula>
    </cfRule>
  </conditionalFormatting>
  <conditionalFormatting sqref="U18:V18">
    <cfRule type="cellIs" dxfId="8" priority="20" operator="equal">
      <formula>0</formula>
    </cfRule>
  </conditionalFormatting>
  <conditionalFormatting sqref="Y18:Z18">
    <cfRule type="cellIs" dxfId="8" priority="21" operator="equal">
      <formula>0</formula>
    </cfRule>
  </conditionalFormatting>
  <conditionalFormatting sqref="AC18:AD18">
    <cfRule type="cellIs" dxfId="8" priority="22" operator="equal">
      <formula>0</formula>
    </cfRule>
  </conditionalFormatting>
  <conditionalFormatting sqref="AG18:AH18">
    <cfRule type="cellIs" dxfId="8" priority="23" operator="equal">
      <formula>0</formula>
    </cfRule>
  </conditionalFormatting>
  <conditionalFormatting sqref="AJ18:AQ18">
    <cfRule type="cellIs" dxfId="8" priority="24" operator="equal">
      <formula>0</formula>
    </cfRule>
  </conditionalFormatting>
  <conditionalFormatting sqref="D1:S18">
    <cfRule type="containsText" dxfId="7" priority="25" operator="containsText" text="н">
      <formula>NOT(ISERROR(SEARCH(("н"),(D1))))</formula>
    </cfRule>
  </conditionalFormatting>
  <conditionalFormatting sqref="D1:S18">
    <cfRule type="containsText" dxfId="7" priority="26" operator="containsText" text="n">
      <formula>NOT(ISERROR(SEARCH(("n"),(D1))))</formula>
    </cfRule>
  </conditionalFormatting>
  <conditionalFormatting sqref="W18">
    <cfRule type="timePeriod" dxfId="0" priority="27" timePeriod="last7Days"/>
  </conditionalFormatting>
  <conditionalFormatting sqref="AA18">
    <cfRule type="timePeriod" dxfId="0" priority="28" timePeriod="last7Days"/>
  </conditionalFormatting>
  <conditionalFormatting sqref="AE18">
    <cfRule type="timePeriod" dxfId="0" priority="29" timePeriod="last7Days"/>
  </conditionalFormatting>
  <conditionalFormatting sqref="AI18">
    <cfRule type="timePeriod" dxfId="0" priority="30" timePeriod="last7Days"/>
  </conditionalFormatting>
  <conditionalFormatting sqref="BG1:BH18">
    <cfRule type="cellIs" dxfId="3" priority="31" operator="between">
      <formula>60</formula>
      <formula>68</formula>
    </cfRule>
  </conditionalFormatting>
  <conditionalFormatting sqref="AR4:AR18">
    <cfRule type="cellIs" dxfId="6" priority="32" operator="between">
      <formula>12</formula>
      <formula>1000</formula>
    </cfRule>
  </conditionalFormatting>
  <conditionalFormatting sqref="BG1:BH18">
    <cfRule type="cellIs" dxfId="4" priority="33" operator="between">
      <formula>68</formula>
      <formula>74</formula>
    </cfRule>
  </conditionalFormatting>
  <conditionalFormatting sqref="BG1:BH18">
    <cfRule type="cellIs" dxfId="2" priority="34" operator="between">
      <formula>74</formula>
      <formula>81</formula>
    </cfRule>
  </conditionalFormatting>
  <conditionalFormatting sqref="BG1:BH18">
    <cfRule type="cellIs" dxfId="5" priority="35" operator="between">
      <formula>81</formula>
      <formula>90</formula>
    </cfRule>
  </conditionalFormatting>
  <conditionalFormatting sqref="BG1:BH18">
    <cfRule type="cellIs" dxfId="6" priority="36" operator="greaterThan">
      <formula>90</formula>
    </cfRule>
  </conditionalFormatting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19" width="2.88"/>
    <col customWidth="1" min="20" max="20" width="6.88"/>
    <col customWidth="1" min="21" max="21" width="5.0"/>
    <col customWidth="1" min="22" max="22" width="3.88"/>
    <col customWidth="1" min="23" max="23" width="4.63"/>
    <col customWidth="1" min="24" max="24" width="6.5"/>
    <col customWidth="1" min="25" max="25" width="5.13"/>
    <col customWidth="1" min="26" max="26" width="4.0"/>
    <col customWidth="1" min="27" max="27" width="5.0"/>
    <col customWidth="1" min="28" max="28" width="6.38"/>
    <col customWidth="1" min="29" max="29" width="5.13"/>
    <col customWidth="1" min="30" max="30" width="4.0"/>
    <col customWidth="1" min="31" max="31" width="5.0"/>
    <col customWidth="1" min="32" max="32" width="7.63"/>
    <col customWidth="1" min="33" max="33" width="5.0"/>
    <col customWidth="1" min="34" max="34" width="4.5"/>
    <col customWidth="1" min="35" max="35" width="5.0"/>
    <col customWidth="1" min="36" max="36" width="5.63"/>
    <col customWidth="1" min="37" max="37" width="5.13"/>
    <col customWidth="1" min="38" max="38" width="5.38"/>
    <col customWidth="1" min="39" max="39" width="5.0"/>
    <col customWidth="1" min="40" max="41" width="5.38"/>
    <col customWidth="1" min="42" max="43" width="5.88"/>
    <col customWidth="1" min="44" max="44" width="5.63"/>
    <col customWidth="1" min="45" max="45" width="4.5"/>
    <col customWidth="1" min="46" max="46" width="4.38"/>
    <col customWidth="1" min="47" max="51" width="4.25"/>
    <col customWidth="1" min="52" max="52" width="4.63"/>
    <col customWidth="1" min="53" max="53" width="4.5"/>
    <col customWidth="1" min="54" max="55" width="4.63"/>
    <col customWidth="1" min="56" max="56" width="4.5"/>
    <col customWidth="1" min="57" max="58" width="4.38"/>
    <col customWidth="1" min="59" max="59" width="6.63"/>
    <col customWidth="1" min="60" max="60" width="3.25"/>
  </cols>
  <sheetData>
    <row r="1">
      <c r="A1" s="1" t="s">
        <v>319</v>
      </c>
      <c r="C1" s="2" t="s">
        <v>1</v>
      </c>
      <c r="D1" s="3" t="s">
        <v>2</v>
      </c>
      <c r="S1" s="4"/>
      <c r="T1" s="5" t="s">
        <v>3</v>
      </c>
      <c r="W1" s="4"/>
      <c r="X1" s="5" t="s">
        <v>4</v>
      </c>
      <c r="AA1" s="4"/>
      <c r="AB1" s="5" t="s">
        <v>5</v>
      </c>
      <c r="AE1" s="4"/>
      <c r="AF1" s="5" t="s">
        <v>6</v>
      </c>
      <c r="AI1" s="4"/>
      <c r="AJ1" s="3" t="s">
        <v>7</v>
      </c>
      <c r="AK1" s="6" t="s">
        <v>8</v>
      </c>
      <c r="AL1" s="6" t="s">
        <v>9</v>
      </c>
      <c r="AM1" s="6" t="s">
        <v>10</v>
      </c>
      <c r="AN1" s="6" t="s">
        <v>11</v>
      </c>
      <c r="AO1" s="6" t="s">
        <v>12</v>
      </c>
      <c r="AP1" s="6" t="s">
        <v>13</v>
      </c>
      <c r="AQ1" s="7" t="s">
        <v>14</v>
      </c>
      <c r="AR1" s="3" t="s">
        <v>15</v>
      </c>
      <c r="AS1" s="6" t="s">
        <v>16</v>
      </c>
      <c r="BF1" s="7"/>
      <c r="BG1" s="41" t="s">
        <v>17</v>
      </c>
      <c r="BH1" s="10" t="s">
        <v>18</v>
      </c>
    </row>
    <row r="2">
      <c r="A2" s="11" t="s">
        <v>19</v>
      </c>
      <c r="B2" s="11" t="s">
        <v>20</v>
      </c>
      <c r="C2" s="4"/>
      <c r="D2" s="12">
        <v>45538.0</v>
      </c>
      <c r="E2" s="12">
        <f t="shared" ref="E2:K2" si="1">D2+14</f>
        <v>45552</v>
      </c>
      <c r="F2" s="12">
        <f t="shared" si="1"/>
        <v>45566</v>
      </c>
      <c r="G2" s="12">
        <f t="shared" si="1"/>
        <v>45580</v>
      </c>
      <c r="H2" s="12">
        <f t="shared" si="1"/>
        <v>45594</v>
      </c>
      <c r="I2" s="12">
        <f t="shared" si="1"/>
        <v>45608</v>
      </c>
      <c r="J2" s="12">
        <f t="shared" si="1"/>
        <v>45622</v>
      </c>
      <c r="K2" s="12">
        <f t="shared" si="1"/>
        <v>45636</v>
      </c>
      <c r="L2" s="13"/>
      <c r="M2" s="98">
        <v>17.11</v>
      </c>
      <c r="N2" s="98">
        <v>24.11</v>
      </c>
      <c r="O2" s="98">
        <v>1.12</v>
      </c>
      <c r="P2" s="98">
        <v>8.12</v>
      </c>
      <c r="Q2" s="13" t="s">
        <v>320</v>
      </c>
      <c r="R2" s="13"/>
      <c r="S2" s="13"/>
      <c r="T2" s="14" t="s">
        <v>21</v>
      </c>
      <c r="U2" s="15" t="s">
        <v>22</v>
      </c>
      <c r="V2" s="15" t="s">
        <v>23</v>
      </c>
      <c r="W2" s="16" t="s">
        <v>24</v>
      </c>
      <c r="X2" s="14" t="s">
        <v>21</v>
      </c>
      <c r="Y2" s="15" t="s">
        <v>22</v>
      </c>
      <c r="Z2" s="15" t="s">
        <v>23</v>
      </c>
      <c r="AA2" s="16" t="s">
        <v>24</v>
      </c>
      <c r="AB2" s="14" t="s">
        <v>21</v>
      </c>
      <c r="AC2" s="15" t="s">
        <v>22</v>
      </c>
      <c r="AD2" s="15" t="s">
        <v>23</v>
      </c>
      <c r="AE2" s="16" t="s">
        <v>24</v>
      </c>
      <c r="AF2" s="14" t="s">
        <v>21</v>
      </c>
      <c r="AG2" s="15" t="s">
        <v>22</v>
      </c>
      <c r="AH2" s="15" t="s">
        <v>23</v>
      </c>
      <c r="AI2" s="16" t="s">
        <v>24</v>
      </c>
      <c r="AJ2" s="17" t="s">
        <v>25</v>
      </c>
      <c r="AK2" s="18" t="s">
        <v>25</v>
      </c>
      <c r="AL2" s="18" t="s">
        <v>25</v>
      </c>
      <c r="AM2" s="18" t="s">
        <v>25</v>
      </c>
      <c r="AN2" s="18" t="s">
        <v>25</v>
      </c>
      <c r="AO2" s="18" t="s">
        <v>25</v>
      </c>
      <c r="AP2" s="15" t="s">
        <v>26</v>
      </c>
      <c r="AQ2" s="19" t="s">
        <v>26</v>
      </c>
      <c r="AR2" s="14" t="s">
        <v>27</v>
      </c>
      <c r="BF2" s="7"/>
      <c r="BG2" s="4"/>
    </row>
    <row r="3">
      <c r="C3" s="4"/>
      <c r="T3" s="21"/>
      <c r="U3" s="15" t="s">
        <v>26</v>
      </c>
      <c r="V3" s="15" t="s">
        <v>28</v>
      </c>
      <c r="W3" s="4"/>
      <c r="X3" s="21"/>
      <c r="Y3" s="15" t="s">
        <v>26</v>
      </c>
      <c r="Z3" s="15" t="s">
        <v>28</v>
      </c>
      <c r="AA3" s="4"/>
      <c r="AB3" s="21"/>
      <c r="AC3" s="15" t="s">
        <v>26</v>
      </c>
      <c r="AD3" s="15" t="s">
        <v>28</v>
      </c>
      <c r="AE3" s="4"/>
      <c r="AF3" s="21"/>
      <c r="AG3" s="15" t="s">
        <v>26</v>
      </c>
      <c r="AH3" s="15" t="s">
        <v>28</v>
      </c>
      <c r="AI3" s="4"/>
      <c r="AJ3" s="21"/>
      <c r="AQ3" s="4"/>
      <c r="AR3" s="21"/>
      <c r="AS3" s="17" t="s">
        <v>29</v>
      </c>
      <c r="AT3" s="18" t="s">
        <v>30</v>
      </c>
      <c r="AU3" s="18" t="s">
        <v>3</v>
      </c>
      <c r="AV3" s="18" t="s">
        <v>4</v>
      </c>
      <c r="AW3" s="18" t="s">
        <v>5</v>
      </c>
      <c r="AX3" s="18" t="s">
        <v>6</v>
      </c>
      <c r="AY3" s="18" t="s">
        <v>7</v>
      </c>
      <c r="AZ3" s="18" t="s">
        <v>8</v>
      </c>
      <c r="BA3" s="18" t="s">
        <v>9</v>
      </c>
      <c r="BB3" s="18" t="s">
        <v>10</v>
      </c>
      <c r="BC3" s="18" t="s">
        <v>11</v>
      </c>
      <c r="BD3" s="18" t="s">
        <v>12</v>
      </c>
      <c r="BE3" s="18" t="s">
        <v>31</v>
      </c>
      <c r="BF3" s="23" t="s">
        <v>23</v>
      </c>
      <c r="BG3" s="4"/>
    </row>
    <row r="4">
      <c r="A4" s="43">
        <v>408097.0</v>
      </c>
      <c r="B4" s="55" t="s">
        <v>459</v>
      </c>
      <c r="C4" s="24"/>
      <c r="D4" s="25" t="s">
        <v>91</v>
      </c>
      <c r="E4" s="27" t="s">
        <v>91</v>
      </c>
      <c r="F4" s="27" t="s">
        <v>91</v>
      </c>
      <c r="G4" s="27" t="s">
        <v>91</v>
      </c>
      <c r="H4" s="27" t="s">
        <v>91</v>
      </c>
      <c r="I4" s="27" t="s">
        <v>91</v>
      </c>
      <c r="J4" s="27" t="s">
        <v>91</v>
      </c>
      <c r="K4" s="27" t="s">
        <v>91</v>
      </c>
      <c r="L4" s="27" t="s">
        <v>91</v>
      </c>
      <c r="M4" s="27" t="s">
        <v>91</v>
      </c>
      <c r="N4" s="27" t="s">
        <v>91</v>
      </c>
      <c r="O4" s="27" t="s">
        <v>91</v>
      </c>
      <c r="P4" s="27" t="s">
        <v>91</v>
      </c>
      <c r="Q4" s="27" t="s">
        <v>91</v>
      </c>
      <c r="R4" s="27"/>
      <c r="S4" s="27"/>
      <c r="T4" s="138">
        <v>408097.0</v>
      </c>
      <c r="W4" s="68"/>
      <c r="X4" s="28"/>
      <c r="AA4" s="24"/>
      <c r="AB4" s="28"/>
      <c r="AE4" s="24"/>
      <c r="AF4" s="28"/>
      <c r="AG4" s="29"/>
      <c r="AI4" s="68"/>
      <c r="AJ4" s="28"/>
      <c r="AQ4" s="24"/>
      <c r="AR4" s="28"/>
      <c r="AS4" s="21">
        <f t="shared" ref="AS4:AT4" si="2">SUM(AP4)</f>
        <v>0</v>
      </c>
      <c r="AT4">
        <f t="shared" si="2"/>
        <v>0</v>
      </c>
      <c r="AU4">
        <f t="shared" ref="AU4:AU10" si="5">SUM(U4,V4)</f>
        <v>0</v>
      </c>
      <c r="AV4">
        <f t="shared" ref="AV4:AV10" si="6">SUM(Y4,Z4)</f>
        <v>0</v>
      </c>
      <c r="AW4">
        <f t="shared" ref="AW4:AW10" si="7">SUM(AC4,AD4)</f>
        <v>0</v>
      </c>
      <c r="AX4">
        <f t="shared" ref="AX4:AX10" si="8">SUM(AG4,AH4)</f>
        <v>0</v>
      </c>
      <c r="AY4">
        <f t="shared" ref="AY4:BD4" si="3">SUM(AJ4)</f>
        <v>0</v>
      </c>
      <c r="AZ4">
        <f t="shared" si="3"/>
        <v>0</v>
      </c>
      <c r="BA4">
        <f t="shared" si="3"/>
        <v>0</v>
      </c>
      <c r="BB4">
        <f t="shared" si="3"/>
        <v>0</v>
      </c>
      <c r="BC4">
        <f t="shared" si="3"/>
        <v>0</v>
      </c>
      <c r="BD4">
        <f t="shared" si="3"/>
        <v>0</v>
      </c>
      <c r="BE4">
        <f t="shared" ref="BE4:BE10" si="10">SUM(AR4)</f>
        <v>0</v>
      </c>
      <c r="BF4" s="4"/>
      <c r="BG4" s="50">
        <f t="shared" ref="BG4:BG10" si="11">SUM(AS4:BF4)</f>
        <v>0</v>
      </c>
      <c r="BH4" s="32"/>
    </row>
    <row r="5">
      <c r="A5" s="36">
        <v>332425.0</v>
      </c>
      <c r="B5" s="36" t="s">
        <v>460</v>
      </c>
      <c r="C5" s="24"/>
      <c r="D5" s="25" t="s">
        <v>91</v>
      </c>
      <c r="E5" s="27" t="s">
        <v>91</v>
      </c>
      <c r="F5" s="27" t="s">
        <v>91</v>
      </c>
      <c r="G5" s="27" t="s">
        <v>91</v>
      </c>
      <c r="H5" s="27" t="s">
        <v>84</v>
      </c>
      <c r="I5" s="27" t="s">
        <v>84</v>
      </c>
      <c r="J5" s="27" t="s">
        <v>91</v>
      </c>
      <c r="K5" s="27" t="s">
        <v>91</v>
      </c>
      <c r="L5" s="27" t="s">
        <v>91</v>
      </c>
      <c r="M5" s="27" t="s">
        <v>91</v>
      </c>
      <c r="N5" s="27" t="s">
        <v>91</v>
      </c>
      <c r="O5" s="27" t="s">
        <v>91</v>
      </c>
      <c r="P5" s="27" t="s">
        <v>91</v>
      </c>
      <c r="Q5" s="27" t="s">
        <v>91</v>
      </c>
      <c r="R5" s="27"/>
      <c r="S5" s="54"/>
      <c r="T5" s="36">
        <v>332425.0</v>
      </c>
      <c r="W5" s="33"/>
      <c r="X5" s="28"/>
      <c r="AA5" s="68"/>
      <c r="AB5" s="28"/>
      <c r="AE5" s="63"/>
      <c r="AF5" s="28"/>
      <c r="AI5" s="24"/>
      <c r="AJ5" s="28"/>
      <c r="AQ5" s="24"/>
      <c r="AR5" s="28"/>
      <c r="AS5" s="21">
        <f t="shared" ref="AS5:AT5" si="4">SUM(AP5)</f>
        <v>0</v>
      </c>
      <c r="AT5">
        <f t="shared" si="4"/>
        <v>0</v>
      </c>
      <c r="AU5">
        <f t="shared" si="5"/>
        <v>0</v>
      </c>
      <c r="AV5">
        <f t="shared" si="6"/>
        <v>0</v>
      </c>
      <c r="AW5">
        <f t="shared" si="7"/>
        <v>0</v>
      </c>
      <c r="AX5">
        <f t="shared" si="8"/>
        <v>0</v>
      </c>
      <c r="AY5">
        <f t="shared" ref="AY5:BD5" si="9">SUM(AJ5)</f>
        <v>0</v>
      </c>
      <c r="AZ5">
        <f t="shared" si="9"/>
        <v>0</v>
      </c>
      <c r="BA5">
        <f t="shared" si="9"/>
        <v>0</v>
      </c>
      <c r="BB5">
        <f t="shared" si="9"/>
        <v>0</v>
      </c>
      <c r="BC5">
        <f t="shared" si="9"/>
        <v>0</v>
      </c>
      <c r="BD5">
        <f t="shared" si="9"/>
        <v>0</v>
      </c>
      <c r="BE5">
        <f t="shared" si="10"/>
        <v>0</v>
      </c>
      <c r="BF5" s="4"/>
      <c r="BG5" s="50">
        <f t="shared" si="11"/>
        <v>0</v>
      </c>
      <c r="BH5" s="32"/>
    </row>
    <row r="6">
      <c r="A6" s="43">
        <v>413731.0</v>
      </c>
      <c r="B6" s="55" t="s">
        <v>461</v>
      </c>
      <c r="C6" s="24"/>
      <c r="D6" s="25" t="s">
        <v>91</v>
      </c>
      <c r="E6" s="27" t="s">
        <v>91</v>
      </c>
      <c r="F6" s="27" t="s">
        <v>84</v>
      </c>
      <c r="G6" s="27" t="s">
        <v>84</v>
      </c>
      <c r="H6" s="27" t="s">
        <v>91</v>
      </c>
      <c r="I6" s="27" t="s">
        <v>84</v>
      </c>
      <c r="J6" s="27" t="s">
        <v>84</v>
      </c>
      <c r="K6" s="27" t="s">
        <v>84</v>
      </c>
      <c r="L6" s="27" t="s">
        <v>91</v>
      </c>
      <c r="M6" s="27" t="s">
        <v>91</v>
      </c>
      <c r="N6" s="27" t="s">
        <v>91</v>
      </c>
      <c r="O6" s="27" t="s">
        <v>91</v>
      </c>
      <c r="P6" s="27" t="s">
        <v>91</v>
      </c>
      <c r="Q6" s="27" t="s">
        <v>91</v>
      </c>
      <c r="R6" s="27"/>
      <c r="S6" s="27"/>
      <c r="T6" s="138">
        <v>413731.0</v>
      </c>
      <c r="U6" s="36">
        <v>8.0</v>
      </c>
      <c r="V6" s="36">
        <v>0.0</v>
      </c>
      <c r="W6" s="24" t="s">
        <v>437</v>
      </c>
      <c r="X6" s="28">
        <v>2933.0</v>
      </c>
      <c r="AA6" s="24"/>
      <c r="AB6" s="28"/>
      <c r="AE6" s="24"/>
      <c r="AF6" s="28"/>
      <c r="AI6" s="68"/>
      <c r="AJ6" s="28"/>
      <c r="AP6" s="36">
        <v>0.01</v>
      </c>
      <c r="AQ6" s="24"/>
      <c r="AR6" s="28"/>
      <c r="AS6" s="21">
        <f t="shared" ref="AS6:AT6" si="12">SUM(AP6)</f>
        <v>0.01</v>
      </c>
      <c r="AT6">
        <f t="shared" si="12"/>
        <v>0</v>
      </c>
      <c r="AU6">
        <f t="shared" si="5"/>
        <v>8</v>
      </c>
      <c r="AV6">
        <f t="shared" si="6"/>
        <v>0</v>
      </c>
      <c r="AW6">
        <f t="shared" si="7"/>
        <v>0</v>
      </c>
      <c r="AX6">
        <f t="shared" si="8"/>
        <v>0</v>
      </c>
      <c r="AY6">
        <f t="shared" ref="AY6:BD6" si="13">SUM(AJ6)</f>
        <v>0</v>
      </c>
      <c r="AZ6">
        <f t="shared" si="13"/>
        <v>0</v>
      </c>
      <c r="BA6">
        <f t="shared" si="13"/>
        <v>0</v>
      </c>
      <c r="BB6">
        <f t="shared" si="13"/>
        <v>0</v>
      </c>
      <c r="BC6">
        <f t="shared" si="13"/>
        <v>0</v>
      </c>
      <c r="BD6">
        <f t="shared" si="13"/>
        <v>0</v>
      </c>
      <c r="BE6">
        <f t="shared" si="10"/>
        <v>0</v>
      </c>
      <c r="BF6" s="4"/>
      <c r="BG6" s="50">
        <f t="shared" si="11"/>
        <v>8.01</v>
      </c>
      <c r="BH6" s="32"/>
    </row>
    <row r="7">
      <c r="A7" s="43">
        <v>414210.0</v>
      </c>
      <c r="B7" s="209" t="s">
        <v>462</v>
      </c>
      <c r="C7" s="24"/>
      <c r="D7" s="25" t="s">
        <v>91</v>
      </c>
      <c r="E7" s="27" t="s">
        <v>84</v>
      </c>
      <c r="F7" s="27" t="s">
        <v>84</v>
      </c>
      <c r="G7" s="27" t="s">
        <v>84</v>
      </c>
      <c r="H7" s="27" t="s">
        <v>84</v>
      </c>
      <c r="I7" s="27" t="s">
        <v>91</v>
      </c>
      <c r="J7" s="27" t="s">
        <v>84</v>
      </c>
      <c r="K7" s="27" t="s">
        <v>84</v>
      </c>
      <c r="L7" s="27" t="s">
        <v>91</v>
      </c>
      <c r="M7" s="27" t="s">
        <v>84</v>
      </c>
      <c r="N7" s="27" t="s">
        <v>84</v>
      </c>
      <c r="O7" s="27" t="s">
        <v>91</v>
      </c>
      <c r="P7" s="27" t="s">
        <v>84</v>
      </c>
      <c r="Q7" s="27" t="s">
        <v>84</v>
      </c>
      <c r="R7" s="27"/>
      <c r="S7" s="27"/>
      <c r="T7" s="138">
        <v>414210.0</v>
      </c>
      <c r="U7" s="36">
        <v>10.0</v>
      </c>
      <c r="V7" s="36">
        <v>0.0</v>
      </c>
      <c r="W7" s="24" t="s">
        <v>336</v>
      </c>
      <c r="X7" s="28">
        <v>2748.0</v>
      </c>
      <c r="Y7" s="36">
        <v>10.0</v>
      </c>
      <c r="Z7" s="36">
        <v>2.0</v>
      </c>
      <c r="AA7" s="24" t="s">
        <v>437</v>
      </c>
      <c r="AB7" s="28">
        <v>6745.0</v>
      </c>
      <c r="AC7" s="36">
        <v>10.0</v>
      </c>
      <c r="AD7" s="36">
        <v>2.0</v>
      </c>
      <c r="AE7" s="24" t="s">
        <v>457</v>
      </c>
      <c r="AF7" s="28">
        <v>5643.0</v>
      </c>
      <c r="AG7" s="36">
        <v>10.0</v>
      </c>
      <c r="AH7" s="36">
        <v>2.0</v>
      </c>
      <c r="AI7" s="24" t="s">
        <v>439</v>
      </c>
      <c r="AJ7" s="28"/>
      <c r="AP7" s="36">
        <v>6.0</v>
      </c>
      <c r="AQ7" s="24">
        <v>6.0</v>
      </c>
      <c r="AR7" s="28">
        <f>SUM(AP7:AQ7)</f>
        <v>12</v>
      </c>
      <c r="AS7" s="21">
        <f t="shared" ref="AS7:AT7" si="14">SUM(AP7)</f>
        <v>6</v>
      </c>
      <c r="AT7">
        <f t="shared" si="14"/>
        <v>6</v>
      </c>
      <c r="AU7">
        <f t="shared" si="5"/>
        <v>10</v>
      </c>
      <c r="AV7">
        <f t="shared" si="6"/>
        <v>12</v>
      </c>
      <c r="AW7">
        <f t="shared" si="7"/>
        <v>12</v>
      </c>
      <c r="AX7">
        <f t="shared" si="8"/>
        <v>12</v>
      </c>
      <c r="AY7">
        <f t="shared" ref="AY7:BD7" si="15">SUM(AJ7)</f>
        <v>0</v>
      </c>
      <c r="AZ7">
        <f t="shared" si="15"/>
        <v>0</v>
      </c>
      <c r="BA7">
        <f t="shared" si="15"/>
        <v>0</v>
      </c>
      <c r="BB7">
        <f t="shared" si="15"/>
        <v>0</v>
      </c>
      <c r="BC7">
        <f t="shared" si="15"/>
        <v>0</v>
      </c>
      <c r="BD7">
        <f t="shared" si="15"/>
        <v>0</v>
      </c>
      <c r="BE7">
        <f t="shared" si="10"/>
        <v>12</v>
      </c>
      <c r="BF7" s="4"/>
      <c r="BG7" s="50">
        <f t="shared" si="11"/>
        <v>70</v>
      </c>
      <c r="BH7" s="32">
        <v>1.0</v>
      </c>
    </row>
    <row r="8">
      <c r="A8" s="36">
        <v>474301.0</v>
      </c>
      <c r="B8" s="36" t="s">
        <v>463</v>
      </c>
      <c r="C8" s="24"/>
      <c r="D8" s="25" t="s">
        <v>84</v>
      </c>
      <c r="E8" s="27" t="s">
        <v>84</v>
      </c>
      <c r="F8" s="27" t="s">
        <v>91</v>
      </c>
      <c r="G8" s="27" t="s">
        <v>84</v>
      </c>
      <c r="H8" s="27" t="s">
        <v>91</v>
      </c>
      <c r="I8" s="27" t="s">
        <v>91</v>
      </c>
      <c r="J8" s="27" t="s">
        <v>84</v>
      </c>
      <c r="K8" s="27" t="s">
        <v>91</v>
      </c>
      <c r="L8" s="27" t="s">
        <v>91</v>
      </c>
      <c r="M8" s="27" t="s">
        <v>91</v>
      </c>
      <c r="N8" s="27" t="s">
        <v>91</v>
      </c>
      <c r="O8" s="27" t="s">
        <v>91</v>
      </c>
      <c r="P8" s="27" t="s">
        <v>91</v>
      </c>
      <c r="Q8" s="27" t="s">
        <v>91</v>
      </c>
      <c r="R8" s="27"/>
      <c r="S8" s="27"/>
      <c r="T8" s="28">
        <v>474301.0</v>
      </c>
      <c r="W8" s="67"/>
      <c r="X8" s="28"/>
      <c r="AA8" s="24"/>
      <c r="AB8" s="28"/>
      <c r="AE8" s="68"/>
      <c r="AF8" s="28"/>
      <c r="AI8" s="24"/>
      <c r="AJ8" s="28">
        <v>0.01</v>
      </c>
      <c r="AL8" s="36">
        <v>0.1</v>
      </c>
      <c r="AQ8" s="24"/>
      <c r="AR8" s="28"/>
      <c r="AS8" s="21">
        <f t="shared" ref="AS8:AT8" si="16">SUM(AP8)</f>
        <v>0</v>
      </c>
      <c r="AT8">
        <f t="shared" si="16"/>
        <v>0</v>
      </c>
      <c r="AU8">
        <f t="shared" si="5"/>
        <v>0</v>
      </c>
      <c r="AV8">
        <f t="shared" si="6"/>
        <v>0</v>
      </c>
      <c r="AW8">
        <f t="shared" si="7"/>
        <v>0</v>
      </c>
      <c r="AX8">
        <f t="shared" si="8"/>
        <v>0</v>
      </c>
      <c r="AY8">
        <f t="shared" ref="AY8:BD8" si="17">SUM(AJ8)</f>
        <v>0.01</v>
      </c>
      <c r="AZ8">
        <f t="shared" si="17"/>
        <v>0</v>
      </c>
      <c r="BA8">
        <f t="shared" si="17"/>
        <v>0.1</v>
      </c>
      <c r="BB8">
        <f t="shared" si="17"/>
        <v>0</v>
      </c>
      <c r="BC8">
        <f t="shared" si="17"/>
        <v>0</v>
      </c>
      <c r="BD8">
        <f t="shared" si="17"/>
        <v>0</v>
      </c>
      <c r="BE8">
        <f t="shared" si="10"/>
        <v>0</v>
      </c>
      <c r="BF8" s="4"/>
      <c r="BG8" s="50">
        <f t="shared" si="11"/>
        <v>0.11</v>
      </c>
      <c r="BH8" s="32"/>
    </row>
    <row r="9">
      <c r="A9" s="43">
        <v>466870.0</v>
      </c>
      <c r="B9" s="209" t="s">
        <v>464</v>
      </c>
      <c r="C9" s="24"/>
      <c r="D9" s="25" t="s">
        <v>91</v>
      </c>
      <c r="E9" s="27" t="s">
        <v>91</v>
      </c>
      <c r="F9" s="27" t="s">
        <v>91</v>
      </c>
      <c r="G9" s="27" t="s">
        <v>84</v>
      </c>
      <c r="H9" s="27" t="s">
        <v>84</v>
      </c>
      <c r="I9" s="27" t="s">
        <v>91</v>
      </c>
      <c r="J9" s="27" t="s">
        <v>84</v>
      </c>
      <c r="K9" s="27" t="s">
        <v>84</v>
      </c>
      <c r="L9" s="27" t="s">
        <v>91</v>
      </c>
      <c r="M9" s="27" t="s">
        <v>84</v>
      </c>
      <c r="N9" s="27" t="s">
        <v>84</v>
      </c>
      <c r="O9" s="27" t="s">
        <v>91</v>
      </c>
      <c r="P9" s="27" t="s">
        <v>84</v>
      </c>
      <c r="Q9" s="27" t="s">
        <v>84</v>
      </c>
      <c r="R9" s="27"/>
      <c r="S9" s="27"/>
      <c r="T9" s="138">
        <v>466870.0</v>
      </c>
      <c r="U9" s="36">
        <v>10.0</v>
      </c>
      <c r="V9" s="36">
        <v>0.0</v>
      </c>
      <c r="W9" s="24" t="s">
        <v>336</v>
      </c>
      <c r="X9" s="28">
        <v>2866.0</v>
      </c>
      <c r="Y9" s="36">
        <v>10.0</v>
      </c>
      <c r="Z9" s="36">
        <v>2.0</v>
      </c>
      <c r="AA9" s="24" t="s">
        <v>437</v>
      </c>
      <c r="AB9" s="28">
        <v>8972.0</v>
      </c>
      <c r="AC9" s="36">
        <v>10.0</v>
      </c>
      <c r="AD9" s="36">
        <v>2.0</v>
      </c>
      <c r="AE9" s="24" t="s">
        <v>457</v>
      </c>
      <c r="AF9" s="28">
        <v>5456.0</v>
      </c>
      <c r="AG9" s="36">
        <v>10.0</v>
      </c>
      <c r="AH9" s="36">
        <v>2.0</v>
      </c>
      <c r="AI9" s="24" t="s">
        <v>439</v>
      </c>
      <c r="AJ9" s="28"/>
      <c r="AP9" s="36">
        <v>6.0</v>
      </c>
      <c r="AQ9" s="24">
        <v>6.0</v>
      </c>
      <c r="AR9" s="28">
        <f>SUM(AP9:AQ9)</f>
        <v>12</v>
      </c>
      <c r="AS9" s="21">
        <f t="shared" ref="AS9:AT9" si="18">SUM(AP9)</f>
        <v>6</v>
      </c>
      <c r="AT9">
        <f t="shared" si="18"/>
        <v>6</v>
      </c>
      <c r="AU9">
        <f t="shared" si="5"/>
        <v>10</v>
      </c>
      <c r="AV9">
        <f t="shared" si="6"/>
        <v>12</v>
      </c>
      <c r="AW9">
        <f t="shared" si="7"/>
        <v>12</v>
      </c>
      <c r="AX9">
        <f t="shared" si="8"/>
        <v>12</v>
      </c>
      <c r="AY9">
        <f t="shared" ref="AY9:BD9" si="19">SUM(AJ9)</f>
        <v>0</v>
      </c>
      <c r="AZ9">
        <f t="shared" si="19"/>
        <v>0</v>
      </c>
      <c r="BA9">
        <f t="shared" si="19"/>
        <v>0</v>
      </c>
      <c r="BB9">
        <f t="shared" si="19"/>
        <v>0</v>
      </c>
      <c r="BC9">
        <f t="shared" si="19"/>
        <v>0</v>
      </c>
      <c r="BD9">
        <f t="shared" si="19"/>
        <v>0</v>
      </c>
      <c r="BE9">
        <f t="shared" si="10"/>
        <v>12</v>
      </c>
      <c r="BF9" s="4"/>
      <c r="BG9" s="50">
        <f t="shared" si="11"/>
        <v>70</v>
      </c>
      <c r="BH9" s="32">
        <v>1.0</v>
      </c>
    </row>
    <row r="10">
      <c r="B10" s="36" t="s">
        <v>465</v>
      </c>
      <c r="C10" s="24" t="s">
        <v>466</v>
      </c>
      <c r="D10" s="25" t="s">
        <v>84</v>
      </c>
      <c r="E10" s="27" t="s">
        <v>84</v>
      </c>
      <c r="F10" s="27" t="s">
        <v>91</v>
      </c>
      <c r="G10" s="27" t="s">
        <v>91</v>
      </c>
      <c r="H10" s="27" t="s">
        <v>91</v>
      </c>
      <c r="I10" s="27" t="s">
        <v>91</v>
      </c>
      <c r="J10" s="27" t="s">
        <v>91</v>
      </c>
      <c r="K10" s="27" t="s">
        <v>91</v>
      </c>
      <c r="L10" s="27" t="s">
        <v>91</v>
      </c>
      <c r="M10" s="27" t="s">
        <v>91</v>
      </c>
      <c r="N10" s="27" t="s">
        <v>91</v>
      </c>
      <c r="O10" s="27" t="s">
        <v>91</v>
      </c>
      <c r="P10" s="27" t="s">
        <v>91</v>
      </c>
      <c r="Q10" s="27" t="s">
        <v>91</v>
      </c>
      <c r="R10" s="27"/>
      <c r="S10" s="27"/>
      <c r="T10" s="28">
        <v>2327.0</v>
      </c>
      <c r="W10" s="24"/>
      <c r="X10" s="28"/>
      <c r="AA10" s="24"/>
      <c r="AB10" s="28"/>
      <c r="AE10" s="68"/>
      <c r="AF10" s="28"/>
      <c r="AI10" s="63"/>
      <c r="AJ10" s="28">
        <v>0.1</v>
      </c>
      <c r="AK10" s="36">
        <v>0.4</v>
      </c>
      <c r="AN10" s="36">
        <v>0.01</v>
      </c>
      <c r="AQ10" s="24"/>
      <c r="AR10" s="28"/>
      <c r="AS10" s="21">
        <f t="shared" ref="AS10:AT10" si="20">SUM(AP10)</f>
        <v>0</v>
      </c>
      <c r="AT10">
        <f t="shared" si="20"/>
        <v>0</v>
      </c>
      <c r="AU10">
        <f t="shared" si="5"/>
        <v>0</v>
      </c>
      <c r="AV10">
        <f t="shared" si="6"/>
        <v>0</v>
      </c>
      <c r="AW10">
        <f t="shared" si="7"/>
        <v>0</v>
      </c>
      <c r="AX10">
        <f t="shared" si="8"/>
        <v>0</v>
      </c>
      <c r="AY10">
        <f t="shared" ref="AY10:BD10" si="21">SUM(AJ10)</f>
        <v>0.1</v>
      </c>
      <c r="AZ10">
        <f t="shared" si="21"/>
        <v>0.4</v>
      </c>
      <c r="BA10">
        <f t="shared" si="21"/>
        <v>0</v>
      </c>
      <c r="BB10">
        <f t="shared" si="21"/>
        <v>0</v>
      </c>
      <c r="BC10">
        <f t="shared" si="21"/>
        <v>0.01</v>
      </c>
      <c r="BD10">
        <f t="shared" si="21"/>
        <v>0</v>
      </c>
      <c r="BE10">
        <f t="shared" si="10"/>
        <v>0</v>
      </c>
      <c r="BF10" s="4"/>
      <c r="BG10" s="50">
        <f t="shared" si="11"/>
        <v>0.51</v>
      </c>
      <c r="BH10" s="32"/>
    </row>
    <row r="11">
      <c r="D11" s="34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8"/>
      <c r="X11" s="28"/>
      <c r="AB11" s="28"/>
      <c r="AE11" s="84"/>
      <c r="AF11" s="28"/>
      <c r="AJ11" s="28"/>
      <c r="AR11" s="30"/>
      <c r="AU11" s="21"/>
      <c r="BG11" s="31"/>
      <c r="BH11" s="32"/>
    </row>
    <row r="12">
      <c r="D12" s="2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8"/>
      <c r="W12" s="70"/>
      <c r="X12" s="28"/>
      <c r="AB12" s="28"/>
      <c r="AF12" s="28"/>
      <c r="AI12" s="71"/>
      <c r="AJ12" s="28"/>
      <c r="AP12" s="36">
        <f t="shared" ref="AP12:AQ12" si="22">COUNTA($B$4:$B$10)-COUNTIF(AP4:AP10,"&gt;=6")</f>
        <v>5</v>
      </c>
      <c r="AQ12" s="36">
        <f t="shared" si="22"/>
        <v>5</v>
      </c>
      <c r="AR12" s="30"/>
      <c r="AU12" s="21"/>
      <c r="BG12" s="31"/>
      <c r="BH12" s="32"/>
    </row>
    <row r="13">
      <c r="A13" s="43">
        <v>489570.0</v>
      </c>
      <c r="B13" s="69" t="s">
        <v>467</v>
      </c>
      <c r="C13" s="24"/>
      <c r="D13" s="25" t="s">
        <v>91</v>
      </c>
      <c r="E13" s="27" t="s">
        <v>91</v>
      </c>
      <c r="F13" s="27" t="s">
        <v>91</v>
      </c>
      <c r="G13" s="27" t="s">
        <v>91</v>
      </c>
      <c r="H13" s="27" t="s">
        <v>91</v>
      </c>
      <c r="I13" s="27" t="s">
        <v>91</v>
      </c>
      <c r="J13" s="27" t="s">
        <v>91</v>
      </c>
      <c r="K13" s="27" t="s">
        <v>91</v>
      </c>
      <c r="L13" s="27" t="s">
        <v>91</v>
      </c>
      <c r="M13" s="27" t="s">
        <v>91</v>
      </c>
      <c r="N13" s="27" t="s">
        <v>91</v>
      </c>
      <c r="O13" s="27" t="s">
        <v>91</v>
      </c>
      <c r="P13" s="27" t="s">
        <v>91</v>
      </c>
      <c r="Q13" s="27" t="s">
        <v>91</v>
      </c>
      <c r="R13" s="27"/>
      <c r="S13" s="27"/>
      <c r="T13" s="138">
        <v>489570.0</v>
      </c>
      <c r="W13" s="38"/>
      <c r="X13" s="21"/>
      <c r="AA13" s="38"/>
      <c r="AB13" s="21"/>
      <c r="AE13" s="38"/>
      <c r="AF13" s="21"/>
      <c r="AI13" s="38"/>
      <c r="AJ13" s="28"/>
      <c r="AQ13" s="4"/>
      <c r="AR13" s="30"/>
      <c r="AS13">
        <f t="shared" ref="AS13:AT13" si="23">SUM(AP13)</f>
        <v>0</v>
      </c>
      <c r="AT13">
        <f t="shared" si="23"/>
        <v>0</v>
      </c>
      <c r="AU13" s="21">
        <f t="shared" ref="AU13:AU15" si="26">SUM(U13,V13)</f>
        <v>0</v>
      </c>
      <c r="AV13">
        <f t="shared" ref="AV13:AV15" si="27">SUM(Y13,Z13)</f>
        <v>0</v>
      </c>
      <c r="AW13">
        <f t="shared" ref="AW13:AW15" si="28">SUM(AC13,AD13)</f>
        <v>0</v>
      </c>
      <c r="AX13">
        <f t="shared" ref="AX13:AX15" si="29">SUM(AG13,AH13)</f>
        <v>0</v>
      </c>
      <c r="AY13">
        <f t="shared" ref="AY13:BD13" si="24">SUM(AJ13)</f>
        <v>0</v>
      </c>
      <c r="AZ13">
        <f t="shared" si="24"/>
        <v>0</v>
      </c>
      <c r="BA13">
        <f t="shared" si="24"/>
        <v>0</v>
      </c>
      <c r="BB13">
        <f t="shared" si="24"/>
        <v>0</v>
      </c>
      <c r="BC13">
        <f t="shared" si="24"/>
        <v>0</v>
      </c>
      <c r="BD13">
        <f t="shared" si="24"/>
        <v>0</v>
      </c>
      <c r="BE13">
        <f t="shared" ref="BE13:BE15" si="31">SUM(AR13)</f>
        <v>0</v>
      </c>
      <c r="BG13" s="31">
        <f t="shared" ref="BG13:BG15" si="32">SUM(AU13:BF13)</f>
        <v>0</v>
      </c>
      <c r="BH13" s="32"/>
    </row>
    <row r="14">
      <c r="A14" s="43">
        <v>465786.0</v>
      </c>
      <c r="B14" s="69" t="s">
        <v>468</v>
      </c>
      <c r="C14" s="24"/>
      <c r="D14" s="25" t="s">
        <v>91</v>
      </c>
      <c r="E14" s="27" t="s">
        <v>91</v>
      </c>
      <c r="F14" s="27" t="s">
        <v>91</v>
      </c>
      <c r="G14" s="27" t="s">
        <v>91</v>
      </c>
      <c r="H14" s="27" t="s">
        <v>91</v>
      </c>
      <c r="I14" s="27" t="s">
        <v>91</v>
      </c>
      <c r="J14" s="27" t="s">
        <v>91</v>
      </c>
      <c r="K14" s="27" t="s">
        <v>91</v>
      </c>
      <c r="L14" s="27" t="s">
        <v>91</v>
      </c>
      <c r="M14" s="27" t="s">
        <v>91</v>
      </c>
      <c r="N14" s="27" t="s">
        <v>91</v>
      </c>
      <c r="O14" s="27" t="s">
        <v>91</v>
      </c>
      <c r="P14" s="27" t="s">
        <v>91</v>
      </c>
      <c r="Q14" s="27" t="s">
        <v>91</v>
      </c>
      <c r="R14" s="27"/>
      <c r="S14" s="27"/>
      <c r="T14" s="138">
        <v>465786.0</v>
      </c>
      <c r="W14" s="24"/>
      <c r="X14" s="28"/>
      <c r="AA14" s="68"/>
      <c r="AB14" s="28"/>
      <c r="AE14" s="33"/>
      <c r="AF14" s="28"/>
      <c r="AI14" s="24"/>
      <c r="AJ14" s="28"/>
      <c r="AQ14" s="24"/>
      <c r="AR14" s="30"/>
      <c r="AS14">
        <f t="shared" ref="AS14:AT14" si="25">SUM(AP14)</f>
        <v>0</v>
      </c>
      <c r="AT14">
        <f t="shared" si="25"/>
        <v>0</v>
      </c>
      <c r="AU14" s="21">
        <f t="shared" si="26"/>
        <v>0</v>
      </c>
      <c r="AV14">
        <f t="shared" si="27"/>
        <v>0</v>
      </c>
      <c r="AW14">
        <f t="shared" si="28"/>
        <v>0</v>
      </c>
      <c r="AX14">
        <f t="shared" si="29"/>
        <v>0</v>
      </c>
      <c r="AY14">
        <f t="shared" ref="AY14:BD14" si="30">SUM(AJ14)</f>
        <v>0</v>
      </c>
      <c r="AZ14">
        <f t="shared" si="30"/>
        <v>0</v>
      </c>
      <c r="BA14">
        <f t="shared" si="30"/>
        <v>0</v>
      </c>
      <c r="BB14">
        <f t="shared" si="30"/>
        <v>0</v>
      </c>
      <c r="BC14">
        <f t="shared" si="30"/>
        <v>0</v>
      </c>
      <c r="BD14">
        <f t="shared" si="30"/>
        <v>0</v>
      </c>
      <c r="BE14">
        <f t="shared" si="31"/>
        <v>0</v>
      </c>
      <c r="BG14" s="31">
        <f t="shared" si="32"/>
        <v>0</v>
      </c>
      <c r="BH14" s="32"/>
    </row>
    <row r="15">
      <c r="A15" s="43">
        <v>366715.0</v>
      </c>
      <c r="B15" s="69" t="s">
        <v>469</v>
      </c>
      <c r="C15" s="4"/>
      <c r="D15" s="25" t="s">
        <v>91</v>
      </c>
      <c r="E15" s="27" t="s">
        <v>91</v>
      </c>
      <c r="F15" s="27" t="s">
        <v>91</v>
      </c>
      <c r="G15" s="27" t="s">
        <v>91</v>
      </c>
      <c r="H15" s="27" t="s">
        <v>91</v>
      </c>
      <c r="I15" s="27" t="s">
        <v>91</v>
      </c>
      <c r="J15" s="27" t="s">
        <v>91</v>
      </c>
      <c r="K15" s="27" t="s">
        <v>91</v>
      </c>
      <c r="L15" s="27" t="s">
        <v>91</v>
      </c>
      <c r="M15" s="27" t="s">
        <v>91</v>
      </c>
      <c r="N15" s="27" t="s">
        <v>91</v>
      </c>
      <c r="O15" s="27" t="s">
        <v>91</v>
      </c>
      <c r="P15" s="27" t="s">
        <v>91</v>
      </c>
      <c r="Q15" s="27" t="s">
        <v>91</v>
      </c>
      <c r="R15" s="27"/>
      <c r="S15" s="27"/>
      <c r="T15" s="138">
        <v>366715.0</v>
      </c>
      <c r="U15" s="58"/>
      <c r="V15" s="58"/>
      <c r="W15" s="132"/>
      <c r="X15" s="60"/>
      <c r="Y15" s="58"/>
      <c r="Z15" s="58"/>
      <c r="AA15" s="132"/>
      <c r="AB15" s="60"/>
      <c r="AE15" s="24"/>
      <c r="AF15" s="28"/>
      <c r="AI15" s="63"/>
      <c r="AJ15" s="21"/>
      <c r="AQ15" s="24"/>
      <c r="AR15" s="30"/>
      <c r="AS15">
        <f t="shared" ref="AS15:AT15" si="33">SUM(AP15)</f>
        <v>0</v>
      </c>
      <c r="AT15">
        <f t="shared" si="33"/>
        <v>0</v>
      </c>
      <c r="AU15" s="21">
        <f t="shared" si="26"/>
        <v>0</v>
      </c>
      <c r="AV15">
        <f t="shared" si="27"/>
        <v>0</v>
      </c>
      <c r="AW15">
        <f t="shared" si="28"/>
        <v>0</v>
      </c>
      <c r="AX15">
        <f t="shared" si="29"/>
        <v>0</v>
      </c>
      <c r="AY15">
        <f t="shared" ref="AY15:BD15" si="34">SUM(AJ15)</f>
        <v>0</v>
      </c>
      <c r="AZ15">
        <f t="shared" si="34"/>
        <v>0</v>
      </c>
      <c r="BA15">
        <f t="shared" si="34"/>
        <v>0</v>
      </c>
      <c r="BB15">
        <f t="shared" si="34"/>
        <v>0</v>
      </c>
      <c r="BC15">
        <f t="shared" si="34"/>
        <v>0</v>
      </c>
      <c r="BD15">
        <f t="shared" si="34"/>
        <v>0</v>
      </c>
      <c r="BE15">
        <f t="shared" si="31"/>
        <v>0</v>
      </c>
      <c r="BG15" s="31">
        <f t="shared" si="32"/>
        <v>0</v>
      </c>
      <c r="BH15" s="32"/>
    </row>
  </sheetData>
  <mergeCells count="45">
    <mergeCell ref="N2:N3"/>
    <mergeCell ref="O2:O3"/>
    <mergeCell ref="P2:P3"/>
    <mergeCell ref="Q2:Q3"/>
    <mergeCell ref="R2:R3"/>
    <mergeCell ref="S2:S3"/>
    <mergeCell ref="T2:T3"/>
    <mergeCell ref="W2:W3"/>
    <mergeCell ref="X2:X3"/>
    <mergeCell ref="AA2:AA3"/>
    <mergeCell ref="AB2:AB3"/>
    <mergeCell ref="AE2:AE3"/>
    <mergeCell ref="AF2:AF3"/>
    <mergeCell ref="AI2:AI3"/>
    <mergeCell ref="A1:B1"/>
    <mergeCell ref="C1:C3"/>
    <mergeCell ref="D1:S1"/>
    <mergeCell ref="T1:W1"/>
    <mergeCell ref="X1:AA1"/>
    <mergeCell ref="AB1:AE1"/>
    <mergeCell ref="AF1:AI1"/>
    <mergeCell ref="AP2:AP3"/>
    <mergeCell ref="AQ2:AQ3"/>
    <mergeCell ref="AS1:BE2"/>
    <mergeCell ref="BG1:BG3"/>
    <mergeCell ref="BH1:BH3"/>
    <mergeCell ref="AJ2:AJ3"/>
    <mergeCell ref="AK2:AK3"/>
    <mergeCell ref="AL2:AL3"/>
    <mergeCell ref="AM2:AM3"/>
    <mergeCell ref="AR2:AR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N2:AN3"/>
    <mergeCell ref="AO2:AO3"/>
  </mergeCells>
  <conditionalFormatting sqref="AA4">
    <cfRule type="timePeriod" dxfId="0" priority="1" timePeriod="last7Days"/>
  </conditionalFormatting>
  <conditionalFormatting sqref="AE4">
    <cfRule type="timePeriod" dxfId="0" priority="2" timePeriod="last7Days"/>
  </conditionalFormatting>
  <conditionalFormatting sqref="AE4">
    <cfRule type="timePeriod" dxfId="0" priority="3" timePeriod="last7Days"/>
  </conditionalFormatting>
  <conditionalFormatting sqref="W4 AA4 AE4">
    <cfRule type="timePeriod" dxfId="0" priority="4" timePeriod="last7Days"/>
  </conditionalFormatting>
  <conditionalFormatting sqref="W4">
    <cfRule type="timePeriod" dxfId="0" priority="5" timePeriod="last7Days"/>
  </conditionalFormatting>
  <conditionalFormatting sqref="W4">
    <cfRule type="timePeriod" dxfId="0" priority="6" timePeriod="last7Days"/>
  </conditionalFormatting>
  <conditionalFormatting sqref="AE4">
    <cfRule type="timePeriod" dxfId="0" priority="7" timePeriod="last7Days"/>
  </conditionalFormatting>
  <conditionalFormatting sqref="AS4:BF15">
    <cfRule type="cellIs" dxfId="1" priority="8" operator="lessThan">
      <formula>0.1</formula>
    </cfRule>
  </conditionalFormatting>
  <conditionalFormatting sqref="AS4:BF15">
    <cfRule type="cellIs" dxfId="2" priority="9" operator="greaterThan">
      <formula>0.1</formula>
    </cfRule>
  </conditionalFormatting>
  <conditionalFormatting sqref="BG4:BH15">
    <cfRule type="cellIs" dxfId="3" priority="10" operator="between">
      <formula>60</formula>
      <formula>68</formula>
    </cfRule>
  </conditionalFormatting>
  <conditionalFormatting sqref="BG4:BH15">
    <cfRule type="cellIs" dxfId="4" priority="11" operator="between">
      <formula>68</formula>
      <formula>74</formula>
    </cfRule>
  </conditionalFormatting>
  <conditionalFormatting sqref="BG4:BH15">
    <cfRule type="cellIs" dxfId="2" priority="12" operator="between">
      <formula>74</formula>
      <formula>81</formula>
    </cfRule>
  </conditionalFormatting>
  <conditionalFormatting sqref="BG4:BH15">
    <cfRule type="cellIs" dxfId="5" priority="13" operator="between">
      <formula>81</formula>
      <formula>90</formula>
    </cfRule>
  </conditionalFormatting>
  <conditionalFormatting sqref="BG4:BH15">
    <cfRule type="cellIs" dxfId="6" priority="14" operator="greaterThan">
      <formula>90</formula>
    </cfRule>
  </conditionalFormatting>
  <conditionalFormatting sqref="AA4">
    <cfRule type="timePeriod" dxfId="0" priority="15" timePeriod="last7Days"/>
  </conditionalFormatting>
  <conditionalFormatting sqref="G4:G15">
    <cfRule type="containsText" dxfId="7" priority="16" operator="containsText" text="н">
      <formula>NOT(ISERROR(SEARCH(("н"),(G4))))</formula>
    </cfRule>
  </conditionalFormatting>
  <conditionalFormatting sqref="G4:G15">
    <cfRule type="containsText" dxfId="7" priority="17" operator="containsText" text="n">
      <formula>NOT(ISERROR(SEARCH(("n"),(G4))))</formula>
    </cfRule>
  </conditionalFormatting>
  <conditionalFormatting sqref="F4:F15">
    <cfRule type="containsText" dxfId="7" priority="18" operator="containsText" text="н">
      <formula>NOT(ISERROR(SEARCH(("н"),(F4))))</formula>
    </cfRule>
  </conditionalFormatting>
  <conditionalFormatting sqref="F4:F15">
    <cfRule type="containsText" dxfId="7" priority="19" operator="containsText" text="n">
      <formula>NOT(ISERROR(SEARCH(("n"),(F4))))</formula>
    </cfRule>
  </conditionalFormatting>
  <conditionalFormatting sqref="U4:V4">
    <cfRule type="cellIs" dxfId="8" priority="20" operator="equal">
      <formula>0</formula>
    </cfRule>
  </conditionalFormatting>
  <conditionalFormatting sqref="Y4:Z4">
    <cfRule type="cellIs" dxfId="8" priority="21" operator="equal">
      <formula>0</formula>
    </cfRule>
  </conditionalFormatting>
  <conditionalFormatting sqref="AC4:AD4">
    <cfRule type="cellIs" dxfId="8" priority="22" operator="equal">
      <formula>0</formula>
    </cfRule>
  </conditionalFormatting>
  <conditionalFormatting sqref="AG4:AH4">
    <cfRule type="cellIs" dxfId="8" priority="23" operator="equal">
      <formula>0</formula>
    </cfRule>
  </conditionalFormatting>
  <conditionalFormatting sqref="AJ4:AQ4">
    <cfRule type="cellIs" dxfId="8" priority="24" operator="equal">
      <formula>0</formula>
    </cfRule>
  </conditionalFormatting>
  <conditionalFormatting sqref="D1:S15">
    <cfRule type="containsText" dxfId="7" priority="25" operator="containsText" text="н">
      <formula>NOT(ISERROR(SEARCH(("н"),(D1))))</formula>
    </cfRule>
  </conditionalFormatting>
  <conditionalFormatting sqref="D1:S15">
    <cfRule type="containsText" dxfId="7" priority="26" operator="containsText" text="n">
      <formula>NOT(ISERROR(SEARCH(("n"),(D1))))</formula>
    </cfRule>
  </conditionalFormatting>
  <conditionalFormatting sqref="W4">
    <cfRule type="timePeriod" dxfId="0" priority="27" timePeriod="last7Days"/>
  </conditionalFormatting>
  <conditionalFormatting sqref="AA4">
    <cfRule type="timePeriod" dxfId="0" priority="28" timePeriod="last7Days"/>
  </conditionalFormatting>
  <conditionalFormatting sqref="AE4">
    <cfRule type="timePeriod" dxfId="0" priority="29" timePeriod="last7Days"/>
  </conditionalFormatting>
  <conditionalFormatting sqref="AI4">
    <cfRule type="timePeriod" dxfId="0" priority="30" timePeriod="last7Days"/>
  </conditionalFormatting>
  <conditionalFormatting sqref="BG1:BH15">
    <cfRule type="cellIs" dxfId="3" priority="31" operator="between">
      <formula>60</formula>
      <formula>68</formula>
    </cfRule>
  </conditionalFormatting>
  <conditionalFormatting sqref="AR4:AR15">
    <cfRule type="cellIs" dxfId="6" priority="32" operator="between">
      <formula>12</formula>
      <formula>1000</formula>
    </cfRule>
  </conditionalFormatting>
  <conditionalFormatting sqref="BG1:BH15">
    <cfRule type="cellIs" dxfId="4" priority="33" operator="between">
      <formula>68</formula>
      <formula>74</formula>
    </cfRule>
  </conditionalFormatting>
  <conditionalFormatting sqref="BG1:BH15">
    <cfRule type="cellIs" dxfId="2" priority="34" operator="between">
      <formula>74</formula>
      <formula>81</formula>
    </cfRule>
  </conditionalFormatting>
  <conditionalFormatting sqref="BG1:BH15">
    <cfRule type="cellIs" dxfId="5" priority="35" operator="between">
      <formula>81</formula>
      <formula>90</formula>
    </cfRule>
  </conditionalFormatting>
  <conditionalFormatting sqref="BG1:BH15">
    <cfRule type="cellIs" dxfId="6" priority="36" operator="greaterThan">
      <formula>90</formula>
    </cfRule>
  </conditionalFormatting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19" width="2.88"/>
    <col customWidth="1" min="20" max="20" width="6.25"/>
    <col customWidth="1" min="21" max="21" width="5.0"/>
    <col customWidth="1" min="22" max="22" width="3.88"/>
    <col customWidth="1" min="23" max="23" width="5.5"/>
    <col customWidth="1" min="24" max="24" width="6.5"/>
    <col customWidth="1" min="25" max="25" width="5.13"/>
    <col customWidth="1" min="26" max="26" width="4.0"/>
    <col customWidth="1" min="27" max="27" width="5.0"/>
    <col customWidth="1" min="28" max="28" width="8.38"/>
    <col customWidth="1" min="29" max="29" width="5.13"/>
    <col customWidth="1" min="30" max="30" width="4.0"/>
    <col customWidth="1" min="31" max="31" width="5.0"/>
    <col customWidth="1" min="32" max="32" width="7.63"/>
    <col customWidth="1" min="33" max="33" width="5.0"/>
    <col customWidth="1" min="34" max="34" width="4.5"/>
    <col customWidth="1" min="35" max="35" width="5.0"/>
    <col customWidth="1" min="36" max="36" width="5.63"/>
    <col customWidth="1" min="37" max="37" width="5.13"/>
    <col customWidth="1" min="38" max="38" width="5.38"/>
    <col customWidth="1" min="39" max="39" width="5.0"/>
    <col customWidth="1" min="40" max="41" width="5.38"/>
    <col customWidth="1" min="42" max="43" width="5.88"/>
    <col customWidth="1" min="44" max="44" width="5.63"/>
    <col customWidth="1" min="45" max="45" width="4.5"/>
    <col customWidth="1" min="46" max="46" width="4.38"/>
    <col customWidth="1" min="47" max="51" width="4.25"/>
    <col customWidth="1" min="52" max="52" width="4.63"/>
    <col customWidth="1" min="53" max="53" width="4.5"/>
    <col customWidth="1" min="54" max="55" width="4.63"/>
    <col customWidth="1" min="56" max="56" width="4.5"/>
    <col customWidth="1" min="57" max="58" width="4.38"/>
    <col customWidth="1" min="59" max="59" width="6.63"/>
    <col customWidth="1" min="60" max="60" width="3.25"/>
  </cols>
  <sheetData>
    <row r="1">
      <c r="A1" s="247" t="s">
        <v>470</v>
      </c>
      <c r="C1" s="2" t="s">
        <v>1</v>
      </c>
      <c r="D1" s="3" t="s">
        <v>2</v>
      </c>
      <c r="S1" s="4"/>
      <c r="T1" s="5" t="s">
        <v>3</v>
      </c>
      <c r="W1" s="4"/>
      <c r="X1" s="5" t="s">
        <v>4</v>
      </c>
      <c r="AA1" s="4"/>
      <c r="AB1" s="5" t="s">
        <v>5</v>
      </c>
      <c r="AE1" s="4"/>
      <c r="AF1" s="5" t="s">
        <v>6</v>
      </c>
      <c r="AI1" s="4"/>
      <c r="AJ1" s="3" t="s">
        <v>7</v>
      </c>
      <c r="AK1" s="6" t="s">
        <v>8</v>
      </c>
      <c r="AL1" s="6" t="s">
        <v>9</v>
      </c>
      <c r="AM1" s="6" t="s">
        <v>10</v>
      </c>
      <c r="AN1" s="6" t="s">
        <v>11</v>
      </c>
      <c r="AO1" s="6" t="s">
        <v>12</v>
      </c>
      <c r="AP1" s="6" t="s">
        <v>13</v>
      </c>
      <c r="AQ1" s="7" t="s">
        <v>14</v>
      </c>
      <c r="AR1" s="3" t="s">
        <v>15</v>
      </c>
      <c r="AS1" s="6" t="s">
        <v>16</v>
      </c>
      <c r="BF1" s="7"/>
      <c r="BG1" s="41" t="s">
        <v>17</v>
      </c>
      <c r="BH1" s="10" t="s">
        <v>18</v>
      </c>
    </row>
    <row r="2">
      <c r="A2" s="11" t="s">
        <v>19</v>
      </c>
      <c r="B2" s="11" t="s">
        <v>20</v>
      </c>
      <c r="C2" s="4"/>
      <c r="D2" s="12">
        <v>45547.0</v>
      </c>
      <c r="E2" s="12">
        <f t="shared" ref="E2:S2" si="1">D2+7</f>
        <v>45554</v>
      </c>
      <c r="F2" s="12">
        <f t="shared" si="1"/>
        <v>45561</v>
      </c>
      <c r="G2" s="12">
        <f t="shared" si="1"/>
        <v>45568</v>
      </c>
      <c r="H2" s="12">
        <f t="shared" si="1"/>
        <v>45575</v>
      </c>
      <c r="I2" s="12">
        <f t="shared" si="1"/>
        <v>45582</v>
      </c>
      <c r="J2" s="12">
        <f t="shared" si="1"/>
        <v>45589</v>
      </c>
      <c r="K2" s="12">
        <f t="shared" si="1"/>
        <v>45596</v>
      </c>
      <c r="L2" s="12">
        <f t="shared" si="1"/>
        <v>45603</v>
      </c>
      <c r="M2" s="12">
        <f t="shared" si="1"/>
        <v>45610</v>
      </c>
      <c r="N2" s="12">
        <f t="shared" si="1"/>
        <v>45617</v>
      </c>
      <c r="O2" s="12">
        <f t="shared" si="1"/>
        <v>45624</v>
      </c>
      <c r="P2" s="12">
        <f t="shared" si="1"/>
        <v>45631</v>
      </c>
      <c r="Q2" s="12">
        <f t="shared" si="1"/>
        <v>45638</v>
      </c>
      <c r="R2" s="12">
        <f t="shared" si="1"/>
        <v>45645</v>
      </c>
      <c r="S2" s="12">
        <f t="shared" si="1"/>
        <v>45652</v>
      </c>
      <c r="T2" s="14" t="s">
        <v>21</v>
      </c>
      <c r="U2" s="15" t="s">
        <v>22</v>
      </c>
      <c r="V2" s="15" t="s">
        <v>23</v>
      </c>
      <c r="W2" s="16" t="s">
        <v>24</v>
      </c>
      <c r="X2" s="14" t="s">
        <v>21</v>
      </c>
      <c r="Y2" s="15" t="s">
        <v>22</v>
      </c>
      <c r="Z2" s="15" t="s">
        <v>23</v>
      </c>
      <c r="AA2" s="16" t="s">
        <v>24</v>
      </c>
      <c r="AB2" s="14" t="s">
        <v>21</v>
      </c>
      <c r="AC2" s="15" t="s">
        <v>22</v>
      </c>
      <c r="AD2" s="15" t="s">
        <v>23</v>
      </c>
      <c r="AE2" s="16" t="s">
        <v>24</v>
      </c>
      <c r="AF2" s="14" t="s">
        <v>21</v>
      </c>
      <c r="AG2" s="15" t="s">
        <v>22</v>
      </c>
      <c r="AH2" s="15" t="s">
        <v>23</v>
      </c>
      <c r="AI2" s="16" t="s">
        <v>24</v>
      </c>
      <c r="AJ2" s="17" t="s">
        <v>25</v>
      </c>
      <c r="AK2" s="18" t="s">
        <v>25</v>
      </c>
      <c r="AL2" s="18" t="s">
        <v>25</v>
      </c>
      <c r="AM2" s="18" t="s">
        <v>25</v>
      </c>
      <c r="AN2" s="18" t="s">
        <v>25</v>
      </c>
      <c r="AO2" s="18" t="s">
        <v>25</v>
      </c>
      <c r="AP2" s="15" t="s">
        <v>26</v>
      </c>
      <c r="AQ2" s="19" t="s">
        <v>26</v>
      </c>
      <c r="AR2" s="14" t="s">
        <v>27</v>
      </c>
      <c r="BF2" s="7"/>
      <c r="BG2" s="4"/>
    </row>
    <row r="3">
      <c r="C3" s="4"/>
      <c r="T3" s="21"/>
      <c r="V3" s="15" t="s">
        <v>28</v>
      </c>
      <c r="W3" s="4"/>
      <c r="X3" s="21"/>
      <c r="Y3" s="15" t="s">
        <v>26</v>
      </c>
      <c r="Z3" s="15" t="s">
        <v>28</v>
      </c>
      <c r="AA3" s="4"/>
      <c r="AB3" s="21"/>
      <c r="AC3" s="15" t="s">
        <v>26</v>
      </c>
      <c r="AD3" s="15" t="s">
        <v>28</v>
      </c>
      <c r="AE3" s="4"/>
      <c r="AF3" s="21"/>
      <c r="AG3" s="15" t="s">
        <v>26</v>
      </c>
      <c r="AH3" s="15" t="s">
        <v>28</v>
      </c>
      <c r="AI3" s="4"/>
      <c r="AJ3" s="21"/>
      <c r="AQ3" s="4"/>
      <c r="AR3" s="21"/>
      <c r="AS3" s="17" t="s">
        <v>29</v>
      </c>
      <c r="AT3" s="18" t="s">
        <v>30</v>
      </c>
      <c r="AU3" s="18" t="s">
        <v>3</v>
      </c>
      <c r="AV3" s="18" t="s">
        <v>4</v>
      </c>
      <c r="AW3" s="18" t="s">
        <v>5</v>
      </c>
      <c r="AX3" s="18" t="s">
        <v>6</v>
      </c>
      <c r="AY3" s="18" t="s">
        <v>7</v>
      </c>
      <c r="AZ3" s="18" t="s">
        <v>8</v>
      </c>
      <c r="BA3" s="18" t="s">
        <v>9</v>
      </c>
      <c r="BB3" s="18" t="s">
        <v>10</v>
      </c>
      <c r="BC3" s="18" t="s">
        <v>11</v>
      </c>
      <c r="BD3" s="18" t="s">
        <v>12</v>
      </c>
      <c r="BE3" s="18" t="s">
        <v>31</v>
      </c>
      <c r="BF3" s="23" t="s">
        <v>23</v>
      </c>
      <c r="BG3" s="4"/>
    </row>
    <row r="4">
      <c r="A4" s="43">
        <v>471658.0</v>
      </c>
      <c r="B4" s="248" t="s">
        <v>471</v>
      </c>
      <c r="C4" s="24"/>
      <c r="D4" s="25" t="s">
        <v>91</v>
      </c>
      <c r="E4" s="27" t="s">
        <v>55</v>
      </c>
      <c r="F4" s="27" t="s">
        <v>91</v>
      </c>
      <c r="G4" s="27" t="s">
        <v>91</v>
      </c>
      <c r="H4" s="27" t="s">
        <v>55</v>
      </c>
      <c r="I4" s="27" t="s">
        <v>55</v>
      </c>
      <c r="J4" s="27" t="s">
        <v>170</v>
      </c>
      <c r="K4" s="27" t="s">
        <v>55</v>
      </c>
      <c r="L4" s="27" t="s">
        <v>158</v>
      </c>
      <c r="M4" s="27" t="s">
        <v>91</v>
      </c>
      <c r="N4" s="27" t="s">
        <v>91</v>
      </c>
      <c r="O4" s="27" t="s">
        <v>57</v>
      </c>
      <c r="P4" s="27" t="s">
        <v>57</v>
      </c>
      <c r="Q4" s="27" t="s">
        <v>57</v>
      </c>
      <c r="R4" s="27" t="s">
        <v>57</v>
      </c>
      <c r="S4" s="27" t="s">
        <v>55</v>
      </c>
      <c r="T4" s="43">
        <v>471658.0</v>
      </c>
      <c r="U4" s="36">
        <v>8.0</v>
      </c>
      <c r="V4" s="36">
        <v>1.0</v>
      </c>
      <c r="W4" s="24">
        <v>7.11</v>
      </c>
      <c r="X4" s="28">
        <v>3456.0</v>
      </c>
      <c r="Y4" s="36">
        <v>8.0</v>
      </c>
      <c r="Z4" s="36">
        <v>2.0</v>
      </c>
      <c r="AA4" s="249">
        <v>5.12</v>
      </c>
      <c r="AB4" s="28">
        <v>44779.0</v>
      </c>
      <c r="AC4" s="36">
        <v>8.0</v>
      </c>
      <c r="AD4" s="36">
        <v>1.0</v>
      </c>
      <c r="AE4" s="24">
        <v>19.12</v>
      </c>
      <c r="AF4" s="28">
        <v>1238.0</v>
      </c>
      <c r="AG4" s="29"/>
      <c r="AI4" s="68"/>
      <c r="AJ4" s="28">
        <v>1.1</v>
      </c>
      <c r="AK4" s="36">
        <v>0.1</v>
      </c>
      <c r="AL4" s="36">
        <v>0.2</v>
      </c>
      <c r="AM4" s="36">
        <v>1.4</v>
      </c>
      <c r="AP4" s="36">
        <v>0.01</v>
      </c>
      <c r="AQ4" s="24">
        <v>0.01</v>
      </c>
      <c r="AR4" s="28"/>
      <c r="AS4" s="21">
        <f t="shared" ref="AS4:AT4" si="2">SUM(AP4)</f>
        <v>0.01</v>
      </c>
      <c r="AT4">
        <f t="shared" si="2"/>
        <v>0.01</v>
      </c>
      <c r="AU4">
        <f t="shared" ref="AU4:AU24" si="5">SUM(U4,V4)</f>
        <v>9</v>
      </c>
      <c r="AV4">
        <f t="shared" ref="AV4:AV24" si="6">SUM(Y4,Z4)</f>
        <v>10</v>
      </c>
      <c r="AW4">
        <f t="shared" ref="AW4:AW24" si="7">SUM(AC4,AD4)</f>
        <v>9</v>
      </c>
      <c r="AX4">
        <f t="shared" ref="AX4:AX24" si="8">SUM(AG4,AH4)</f>
        <v>0</v>
      </c>
      <c r="AY4">
        <f t="shared" ref="AY4:BD4" si="3">SUM(AJ4)</f>
        <v>1.1</v>
      </c>
      <c r="AZ4">
        <f t="shared" si="3"/>
        <v>0.1</v>
      </c>
      <c r="BA4">
        <f t="shared" si="3"/>
        <v>0.2</v>
      </c>
      <c r="BB4">
        <f t="shared" si="3"/>
        <v>1.4</v>
      </c>
      <c r="BC4">
        <f t="shared" si="3"/>
        <v>0</v>
      </c>
      <c r="BD4">
        <f t="shared" si="3"/>
        <v>0</v>
      </c>
      <c r="BE4">
        <f t="shared" ref="BE4:BE24" si="10">SUM(AR4)</f>
        <v>0</v>
      </c>
      <c r="BF4" s="4"/>
      <c r="BG4" s="50">
        <f t="shared" ref="BG4:BG24" si="11">SUM(AS4:BF4)</f>
        <v>30.82</v>
      </c>
      <c r="BH4" s="32"/>
    </row>
    <row r="5">
      <c r="A5" s="43">
        <v>408184.0</v>
      </c>
      <c r="B5" s="250" t="s">
        <v>472</v>
      </c>
      <c r="C5" s="24"/>
      <c r="D5" s="25" t="s">
        <v>91</v>
      </c>
      <c r="E5" s="27" t="s">
        <v>91</v>
      </c>
      <c r="F5" s="27" t="s">
        <v>91</v>
      </c>
      <c r="G5" s="27" t="s">
        <v>91</v>
      </c>
      <c r="H5" s="27" t="s">
        <v>91</v>
      </c>
      <c r="I5" s="27" t="s">
        <v>91</v>
      </c>
      <c r="J5" s="27" t="s">
        <v>91</v>
      </c>
      <c r="K5" s="27" t="s">
        <v>91</v>
      </c>
      <c r="L5" s="27" t="s">
        <v>91</v>
      </c>
      <c r="M5" s="27" t="s">
        <v>91</v>
      </c>
      <c r="N5" s="27" t="s">
        <v>91</v>
      </c>
      <c r="O5" s="27" t="s">
        <v>91</v>
      </c>
      <c r="P5" s="27" t="s">
        <v>55</v>
      </c>
      <c r="Q5" s="27" t="s">
        <v>91</v>
      </c>
      <c r="R5" s="27" t="s">
        <v>91</v>
      </c>
      <c r="S5" s="27" t="s">
        <v>91</v>
      </c>
      <c r="T5" s="43">
        <v>408184.0</v>
      </c>
      <c r="W5" s="38"/>
      <c r="X5" s="21"/>
      <c r="AA5" s="251"/>
      <c r="AB5" s="21"/>
      <c r="AE5" s="38"/>
      <c r="AF5" s="21"/>
      <c r="AI5" s="38"/>
      <c r="AJ5" s="28"/>
      <c r="AK5" s="36">
        <v>0.1</v>
      </c>
      <c r="AL5" s="36">
        <v>0.3</v>
      </c>
      <c r="AP5" s="36">
        <v>6.0</v>
      </c>
      <c r="AQ5" s="24">
        <v>0.01</v>
      </c>
      <c r="AR5" s="28"/>
      <c r="AS5" s="21">
        <f t="shared" ref="AS5:AT5" si="4">SUM(AP5)</f>
        <v>6</v>
      </c>
      <c r="AT5">
        <f t="shared" si="4"/>
        <v>0.01</v>
      </c>
      <c r="AU5">
        <f t="shared" si="5"/>
        <v>0</v>
      </c>
      <c r="AV5">
        <f t="shared" si="6"/>
        <v>0</v>
      </c>
      <c r="AW5">
        <f t="shared" si="7"/>
        <v>0</v>
      </c>
      <c r="AX5">
        <f t="shared" si="8"/>
        <v>0</v>
      </c>
      <c r="AY5">
        <f t="shared" ref="AY5:BD5" si="9">SUM(AJ5)</f>
        <v>0</v>
      </c>
      <c r="AZ5">
        <f t="shared" si="9"/>
        <v>0.1</v>
      </c>
      <c r="BA5">
        <f t="shared" si="9"/>
        <v>0.3</v>
      </c>
      <c r="BB5">
        <f t="shared" si="9"/>
        <v>0</v>
      </c>
      <c r="BC5">
        <f t="shared" si="9"/>
        <v>0</v>
      </c>
      <c r="BD5">
        <f t="shared" si="9"/>
        <v>0</v>
      </c>
      <c r="BE5">
        <f t="shared" si="10"/>
        <v>0</v>
      </c>
      <c r="BF5" s="4"/>
      <c r="BG5" s="50">
        <f t="shared" si="11"/>
        <v>6.41</v>
      </c>
      <c r="BH5" s="32"/>
    </row>
    <row r="6">
      <c r="A6" s="49">
        <v>408230.0</v>
      </c>
      <c r="B6" s="252" t="s">
        <v>473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53" t="s">
        <v>474</v>
      </c>
      <c r="P6" s="253" t="s">
        <v>474</v>
      </c>
      <c r="Q6" s="27"/>
      <c r="R6" s="27"/>
      <c r="S6" s="27"/>
      <c r="T6" s="49">
        <v>408230.0</v>
      </c>
      <c r="U6" s="36">
        <v>10.0</v>
      </c>
      <c r="V6" s="36">
        <v>2.0</v>
      </c>
      <c r="W6" s="36" t="s">
        <v>257</v>
      </c>
      <c r="X6" s="36">
        <v>142.0</v>
      </c>
      <c r="Y6" s="36">
        <v>10.0</v>
      </c>
      <c r="Z6" s="36">
        <v>0.0</v>
      </c>
      <c r="AA6" s="36" t="s">
        <v>475</v>
      </c>
      <c r="AB6" s="36">
        <v>1.5180462E7</v>
      </c>
      <c r="AC6" s="36">
        <v>10.0</v>
      </c>
      <c r="AD6" s="36">
        <v>0.0</v>
      </c>
      <c r="AE6" s="36" t="s">
        <v>476</v>
      </c>
      <c r="AF6" s="36">
        <v>3889167.0</v>
      </c>
      <c r="AG6" s="36">
        <v>9.0</v>
      </c>
      <c r="AH6" s="36">
        <v>0.0</v>
      </c>
      <c r="AI6" s="36" t="s">
        <v>477</v>
      </c>
      <c r="AP6" s="36">
        <v>6.0</v>
      </c>
      <c r="AQ6" s="36">
        <v>6.0</v>
      </c>
      <c r="AR6" s="28">
        <f t="shared" ref="AR6:AR9" si="14">SUM(AP6:AQ6)</f>
        <v>12</v>
      </c>
      <c r="AS6" s="21">
        <f t="shared" ref="AS6:AT6" si="12">SUM(AP6)</f>
        <v>6</v>
      </c>
      <c r="AT6">
        <f t="shared" si="12"/>
        <v>6</v>
      </c>
      <c r="AU6">
        <f t="shared" si="5"/>
        <v>12</v>
      </c>
      <c r="AV6">
        <f t="shared" si="6"/>
        <v>10</v>
      </c>
      <c r="AW6">
        <f t="shared" si="7"/>
        <v>10</v>
      </c>
      <c r="AX6">
        <f t="shared" si="8"/>
        <v>9</v>
      </c>
      <c r="AY6">
        <f t="shared" ref="AY6:BD6" si="13">SUM(AJ6)</f>
        <v>0</v>
      </c>
      <c r="AZ6">
        <f t="shared" si="13"/>
        <v>0</v>
      </c>
      <c r="BA6">
        <f t="shared" si="13"/>
        <v>0</v>
      </c>
      <c r="BB6">
        <f t="shared" si="13"/>
        <v>0</v>
      </c>
      <c r="BC6">
        <f t="shared" si="13"/>
        <v>0</v>
      </c>
      <c r="BD6">
        <f t="shared" si="13"/>
        <v>0</v>
      </c>
      <c r="BE6">
        <f t="shared" si="10"/>
        <v>12</v>
      </c>
      <c r="BF6" s="4"/>
      <c r="BG6" s="50">
        <f t="shared" si="11"/>
        <v>65</v>
      </c>
      <c r="BH6" s="32">
        <v>2.0</v>
      </c>
    </row>
    <row r="7">
      <c r="A7" s="43">
        <v>465186.0</v>
      </c>
      <c r="B7" s="250" t="s">
        <v>478</v>
      </c>
      <c r="C7" s="24"/>
      <c r="D7" s="25" t="s">
        <v>55</v>
      </c>
      <c r="E7" s="27" t="s">
        <v>91</v>
      </c>
      <c r="F7" s="27" t="s">
        <v>61</v>
      </c>
      <c r="G7" s="27" t="s">
        <v>91</v>
      </c>
      <c r="H7" s="27" t="s">
        <v>61</v>
      </c>
      <c r="I7" s="27" t="s">
        <v>91</v>
      </c>
      <c r="J7" s="27" t="s">
        <v>61</v>
      </c>
      <c r="K7" s="27" t="s">
        <v>55</v>
      </c>
      <c r="L7" s="27" t="s">
        <v>91</v>
      </c>
      <c r="M7" s="27" t="s">
        <v>91</v>
      </c>
      <c r="N7" s="27" t="s">
        <v>61</v>
      </c>
      <c r="O7" s="27" t="s">
        <v>91</v>
      </c>
      <c r="P7" s="27" t="s">
        <v>91</v>
      </c>
      <c r="Q7" s="27" t="s">
        <v>61</v>
      </c>
      <c r="R7" s="27" t="s">
        <v>55</v>
      </c>
      <c r="S7" s="27" t="s">
        <v>55</v>
      </c>
      <c r="T7" s="43">
        <v>465186.0</v>
      </c>
      <c r="U7" s="36">
        <v>10.0</v>
      </c>
      <c r="V7" s="36">
        <v>1.0</v>
      </c>
      <c r="W7" s="249" t="s">
        <v>247</v>
      </c>
      <c r="X7" s="28">
        <v>81.0</v>
      </c>
      <c r="Y7" s="36">
        <v>9.0</v>
      </c>
      <c r="Z7" s="36">
        <v>2.0</v>
      </c>
      <c r="AA7" s="249">
        <v>21.11</v>
      </c>
      <c r="AB7" s="28">
        <v>56371.0</v>
      </c>
      <c r="AC7" s="36">
        <v>10.0</v>
      </c>
      <c r="AD7" s="36">
        <v>2.0</v>
      </c>
      <c r="AE7" s="24">
        <v>12.12</v>
      </c>
      <c r="AF7" s="28">
        <v>5431.0</v>
      </c>
      <c r="AG7" s="36">
        <v>10.0</v>
      </c>
      <c r="AH7" s="36">
        <v>2.0</v>
      </c>
      <c r="AI7" s="24">
        <v>15.01</v>
      </c>
      <c r="AJ7" s="28"/>
      <c r="AP7" s="36">
        <v>6.0</v>
      </c>
      <c r="AQ7" s="24">
        <v>9.0</v>
      </c>
      <c r="AR7" s="28">
        <f t="shared" si="14"/>
        <v>15</v>
      </c>
      <c r="AS7" s="21">
        <f t="shared" ref="AS7:AT7" si="15">SUM(AP7)</f>
        <v>6</v>
      </c>
      <c r="AT7">
        <f t="shared" si="15"/>
        <v>9</v>
      </c>
      <c r="AU7">
        <f t="shared" si="5"/>
        <v>11</v>
      </c>
      <c r="AV7">
        <f t="shared" si="6"/>
        <v>11</v>
      </c>
      <c r="AW7">
        <f t="shared" si="7"/>
        <v>12</v>
      </c>
      <c r="AX7">
        <f t="shared" si="8"/>
        <v>12</v>
      </c>
      <c r="AY7">
        <f t="shared" ref="AY7:BD7" si="16">SUM(AJ7)</f>
        <v>0</v>
      </c>
      <c r="AZ7">
        <f t="shared" si="16"/>
        <v>0</v>
      </c>
      <c r="BA7">
        <f t="shared" si="16"/>
        <v>0</v>
      </c>
      <c r="BB7">
        <f t="shared" si="16"/>
        <v>0</v>
      </c>
      <c r="BC7">
        <f t="shared" si="16"/>
        <v>0</v>
      </c>
      <c r="BD7">
        <f t="shared" si="16"/>
        <v>0</v>
      </c>
      <c r="BE7">
        <f t="shared" si="10"/>
        <v>15</v>
      </c>
      <c r="BF7" s="4"/>
      <c r="BG7" s="50">
        <f t="shared" si="11"/>
        <v>76</v>
      </c>
      <c r="BH7" s="32">
        <v>1.0</v>
      </c>
    </row>
    <row r="8">
      <c r="A8" s="43">
        <v>408364.0</v>
      </c>
      <c r="B8" s="250" t="s">
        <v>479</v>
      </c>
      <c r="C8" s="24"/>
      <c r="D8" s="25" t="s">
        <v>91</v>
      </c>
      <c r="E8" s="27" t="s">
        <v>91</v>
      </c>
      <c r="F8" s="27" t="s">
        <v>91</v>
      </c>
      <c r="G8" s="27" t="s">
        <v>91</v>
      </c>
      <c r="H8" s="27" t="s">
        <v>91</v>
      </c>
      <c r="I8" s="27" t="s">
        <v>91</v>
      </c>
      <c r="J8" s="27" t="s">
        <v>91</v>
      </c>
      <c r="K8" s="27" t="s">
        <v>55</v>
      </c>
      <c r="L8" s="27" t="s">
        <v>57</v>
      </c>
      <c r="M8" s="27" t="s">
        <v>91</v>
      </c>
      <c r="N8" s="27" t="s">
        <v>61</v>
      </c>
      <c r="O8" s="27" t="s">
        <v>61</v>
      </c>
      <c r="P8" s="27" t="s">
        <v>91</v>
      </c>
      <c r="Q8" s="27" t="s">
        <v>91</v>
      </c>
      <c r="R8" s="27" t="s">
        <v>91</v>
      </c>
      <c r="S8" s="27" t="s">
        <v>57</v>
      </c>
      <c r="T8" s="43">
        <v>408364.0</v>
      </c>
      <c r="U8" s="36">
        <v>8.0</v>
      </c>
      <c r="V8" s="36">
        <v>1.0</v>
      </c>
      <c r="W8" s="249">
        <v>28.11</v>
      </c>
      <c r="X8" s="28">
        <v>8424.0</v>
      </c>
      <c r="Y8" s="36">
        <v>9.0</v>
      </c>
      <c r="Z8" s="36">
        <v>2.0</v>
      </c>
      <c r="AA8" s="249">
        <v>26.12</v>
      </c>
      <c r="AB8" s="28">
        <v>3.0</v>
      </c>
      <c r="AC8" s="36">
        <v>6.0</v>
      </c>
      <c r="AD8" s="36">
        <v>2.0</v>
      </c>
      <c r="AE8" s="24">
        <v>14.02</v>
      </c>
      <c r="AF8" s="28">
        <v>6751.0</v>
      </c>
      <c r="AG8" s="36">
        <v>6.0</v>
      </c>
      <c r="AH8" s="36">
        <v>0.0</v>
      </c>
      <c r="AI8" s="24">
        <v>16.02</v>
      </c>
      <c r="AJ8" s="28">
        <v>1.3</v>
      </c>
      <c r="AP8" s="36">
        <v>6.0</v>
      </c>
      <c r="AQ8" s="24">
        <v>6.0</v>
      </c>
      <c r="AR8" s="28">
        <f t="shared" si="14"/>
        <v>12</v>
      </c>
      <c r="AS8" s="21">
        <f t="shared" ref="AS8:AT8" si="17">SUM(AP8)</f>
        <v>6</v>
      </c>
      <c r="AT8">
        <f t="shared" si="17"/>
        <v>6</v>
      </c>
      <c r="AU8">
        <f t="shared" si="5"/>
        <v>9</v>
      </c>
      <c r="AV8">
        <f t="shared" si="6"/>
        <v>11</v>
      </c>
      <c r="AW8">
        <f t="shared" si="7"/>
        <v>8</v>
      </c>
      <c r="AX8">
        <f t="shared" si="8"/>
        <v>6</v>
      </c>
      <c r="AY8">
        <f t="shared" ref="AY8:BD8" si="18">SUM(AJ8)</f>
        <v>1.3</v>
      </c>
      <c r="AZ8">
        <f t="shared" si="18"/>
        <v>0</v>
      </c>
      <c r="BA8">
        <f t="shared" si="18"/>
        <v>0</v>
      </c>
      <c r="BB8">
        <f t="shared" si="18"/>
        <v>0</v>
      </c>
      <c r="BC8">
        <f t="shared" si="18"/>
        <v>0</v>
      </c>
      <c r="BD8">
        <f t="shared" si="18"/>
        <v>0</v>
      </c>
      <c r="BE8">
        <f t="shared" si="10"/>
        <v>12</v>
      </c>
      <c r="BF8" s="24">
        <v>1.0</v>
      </c>
      <c r="BG8" s="50">
        <f t="shared" si="11"/>
        <v>60.3</v>
      </c>
      <c r="BH8" s="32">
        <v>2.0</v>
      </c>
    </row>
    <row r="9">
      <c r="A9" s="43">
        <v>372854.0</v>
      </c>
      <c r="B9" s="250" t="s">
        <v>480</v>
      </c>
      <c r="C9" s="24"/>
      <c r="D9" s="25" t="s">
        <v>91</v>
      </c>
      <c r="E9" s="27" t="s">
        <v>91</v>
      </c>
      <c r="F9" s="27" t="s">
        <v>91</v>
      </c>
      <c r="G9" s="27" t="s">
        <v>91</v>
      </c>
      <c r="H9" s="27" t="s">
        <v>55</v>
      </c>
      <c r="I9" s="27" t="s">
        <v>91</v>
      </c>
      <c r="J9" s="27" t="s">
        <v>158</v>
      </c>
      <c r="K9" s="27" t="s">
        <v>55</v>
      </c>
      <c r="L9" s="27" t="s">
        <v>57</v>
      </c>
      <c r="M9" s="27" t="s">
        <v>61</v>
      </c>
      <c r="N9" s="27" t="s">
        <v>91</v>
      </c>
      <c r="O9" s="27" t="s">
        <v>57</v>
      </c>
      <c r="P9" s="27" t="s">
        <v>57</v>
      </c>
      <c r="Q9" s="27" t="s">
        <v>57</v>
      </c>
      <c r="R9" s="27" t="s">
        <v>61</v>
      </c>
      <c r="S9" s="27" t="s">
        <v>91</v>
      </c>
      <c r="T9" s="43">
        <v>372854.0</v>
      </c>
      <c r="U9" s="36">
        <v>8.0</v>
      </c>
      <c r="V9" s="36">
        <v>2.0</v>
      </c>
      <c r="W9" s="249">
        <v>14.11</v>
      </c>
      <c r="X9" s="28">
        <v>876543.0</v>
      </c>
      <c r="Y9" s="36">
        <v>9.0</v>
      </c>
      <c r="Z9" s="36">
        <v>2.0</v>
      </c>
      <c r="AA9" s="249">
        <v>5.12</v>
      </c>
      <c r="AB9" s="28">
        <v>98653.0</v>
      </c>
      <c r="AC9" s="36">
        <v>9.0</v>
      </c>
      <c r="AD9" s="36">
        <v>2.0</v>
      </c>
      <c r="AE9" s="24">
        <v>19.12</v>
      </c>
      <c r="AF9" s="28">
        <v>1234.0</v>
      </c>
      <c r="AG9" s="36">
        <v>7.0</v>
      </c>
      <c r="AH9" s="36">
        <v>2.0</v>
      </c>
      <c r="AI9" s="24">
        <v>15.01</v>
      </c>
      <c r="AJ9" s="28">
        <v>1.6</v>
      </c>
      <c r="AK9" s="36">
        <v>0.01</v>
      </c>
      <c r="AM9" s="36">
        <v>0.7</v>
      </c>
      <c r="AP9" s="36">
        <v>6.0</v>
      </c>
      <c r="AQ9" s="24">
        <v>6.0</v>
      </c>
      <c r="AR9" s="28">
        <f t="shared" si="14"/>
        <v>12</v>
      </c>
      <c r="AS9" s="21">
        <f t="shared" ref="AS9:AT9" si="19">SUM(AP9)</f>
        <v>6</v>
      </c>
      <c r="AT9">
        <f t="shared" si="19"/>
        <v>6</v>
      </c>
      <c r="AU9">
        <f t="shared" si="5"/>
        <v>10</v>
      </c>
      <c r="AV9">
        <f t="shared" si="6"/>
        <v>11</v>
      </c>
      <c r="AW9">
        <f t="shared" si="7"/>
        <v>11</v>
      </c>
      <c r="AX9">
        <f t="shared" si="8"/>
        <v>9</v>
      </c>
      <c r="AY9">
        <f t="shared" ref="AY9:BD9" si="20">SUM(AJ9)</f>
        <v>1.6</v>
      </c>
      <c r="AZ9">
        <f t="shared" si="20"/>
        <v>0.01</v>
      </c>
      <c r="BA9">
        <f t="shared" si="20"/>
        <v>0</v>
      </c>
      <c r="BB9">
        <f t="shared" si="20"/>
        <v>0.7</v>
      </c>
      <c r="BC9">
        <f t="shared" si="20"/>
        <v>0</v>
      </c>
      <c r="BD9">
        <f t="shared" si="20"/>
        <v>0</v>
      </c>
      <c r="BE9">
        <f t="shared" si="10"/>
        <v>12</v>
      </c>
      <c r="BF9" s="4"/>
      <c r="BG9" s="50">
        <f t="shared" si="11"/>
        <v>67.31</v>
      </c>
      <c r="BH9" s="32">
        <v>2.0</v>
      </c>
    </row>
    <row r="10">
      <c r="A10" s="49">
        <v>412912.0</v>
      </c>
      <c r="B10" s="252" t="s">
        <v>481</v>
      </c>
      <c r="D10" s="27"/>
      <c r="E10" s="27"/>
      <c r="F10" s="27"/>
      <c r="G10" s="27"/>
      <c r="H10" s="27"/>
      <c r="I10" s="27"/>
      <c r="J10" s="27"/>
      <c r="K10" s="253" t="s">
        <v>474</v>
      </c>
      <c r="L10" s="27"/>
      <c r="M10" s="27"/>
      <c r="N10" s="27"/>
      <c r="O10" s="27"/>
      <c r="P10" s="27"/>
      <c r="Q10" s="27"/>
      <c r="R10" s="27"/>
      <c r="S10" s="27"/>
      <c r="T10" s="49">
        <v>412912.0</v>
      </c>
      <c r="U10" s="36"/>
      <c r="V10" s="36"/>
      <c r="W10" s="36"/>
      <c r="X10" s="36"/>
      <c r="Y10" s="36"/>
      <c r="Z10" s="36"/>
      <c r="AA10" s="36"/>
      <c r="AB10" s="36"/>
      <c r="AE10" s="37"/>
      <c r="AI10" s="37"/>
      <c r="AP10" s="36">
        <v>0.01</v>
      </c>
      <c r="AQ10" s="36">
        <v>0.01</v>
      </c>
      <c r="AR10" s="36"/>
      <c r="AS10" s="21">
        <f t="shared" ref="AS10:AT10" si="21">SUM(AP10)</f>
        <v>0.01</v>
      </c>
      <c r="AT10">
        <f t="shared" si="21"/>
        <v>0.01</v>
      </c>
      <c r="AU10">
        <f t="shared" si="5"/>
        <v>0</v>
      </c>
      <c r="AV10">
        <f t="shared" si="6"/>
        <v>0</v>
      </c>
      <c r="AW10">
        <f t="shared" si="7"/>
        <v>0</v>
      </c>
      <c r="AX10">
        <f t="shared" si="8"/>
        <v>0</v>
      </c>
      <c r="AY10">
        <f t="shared" ref="AY10:BD10" si="22">SUM(AJ10)</f>
        <v>0</v>
      </c>
      <c r="AZ10">
        <f t="shared" si="22"/>
        <v>0</v>
      </c>
      <c r="BA10">
        <f t="shared" si="22"/>
        <v>0</v>
      </c>
      <c r="BB10">
        <f t="shared" si="22"/>
        <v>0</v>
      </c>
      <c r="BC10">
        <f t="shared" si="22"/>
        <v>0</v>
      </c>
      <c r="BD10">
        <f t="shared" si="22"/>
        <v>0</v>
      </c>
      <c r="BE10">
        <f t="shared" si="10"/>
        <v>0</v>
      </c>
      <c r="BF10" s="4"/>
      <c r="BG10" s="50">
        <f t="shared" si="11"/>
        <v>0.02</v>
      </c>
      <c r="BH10" s="32"/>
    </row>
    <row r="11">
      <c r="A11" s="43">
        <v>465716.0</v>
      </c>
      <c r="B11" s="250" t="s">
        <v>482</v>
      </c>
      <c r="C11" s="4"/>
      <c r="D11" s="25" t="s">
        <v>91</v>
      </c>
      <c r="E11" s="27" t="s">
        <v>91</v>
      </c>
      <c r="F11" s="27" t="s">
        <v>91</v>
      </c>
      <c r="G11" s="27" t="s">
        <v>91</v>
      </c>
      <c r="H11" s="27" t="s">
        <v>91</v>
      </c>
      <c r="I11" s="27" t="s">
        <v>91</v>
      </c>
      <c r="J11" s="27" t="s">
        <v>91</v>
      </c>
      <c r="K11" s="27" t="s">
        <v>91</v>
      </c>
      <c r="L11" s="27" t="s">
        <v>61</v>
      </c>
      <c r="M11" s="27" t="s">
        <v>91</v>
      </c>
      <c r="N11" s="27" t="s">
        <v>91</v>
      </c>
      <c r="O11" s="27" t="s">
        <v>91</v>
      </c>
      <c r="P11" s="27" t="s">
        <v>91</v>
      </c>
      <c r="Q11" s="27" t="s">
        <v>91</v>
      </c>
      <c r="R11" s="27" t="s">
        <v>91</v>
      </c>
      <c r="S11" s="27" t="s">
        <v>91</v>
      </c>
      <c r="T11" s="43">
        <v>465716.0</v>
      </c>
      <c r="U11" s="58"/>
      <c r="V11" s="58"/>
      <c r="W11" s="254"/>
      <c r="X11" s="60"/>
      <c r="Y11" s="58"/>
      <c r="Z11" s="58"/>
      <c r="AA11" s="254"/>
      <c r="AB11" s="60"/>
      <c r="AE11" s="24"/>
      <c r="AF11" s="28"/>
      <c r="AI11" s="63"/>
      <c r="AJ11" s="21"/>
      <c r="AL11" s="36">
        <v>0.01</v>
      </c>
      <c r="AN11" s="36">
        <v>0.01</v>
      </c>
      <c r="AQ11" s="24"/>
      <c r="AR11" s="28"/>
      <c r="AS11" s="21">
        <f t="shared" ref="AS11:AT11" si="23">SUM(AP11)</f>
        <v>0</v>
      </c>
      <c r="AT11">
        <f t="shared" si="23"/>
        <v>0</v>
      </c>
      <c r="AU11">
        <f t="shared" si="5"/>
        <v>0</v>
      </c>
      <c r="AV11">
        <f t="shared" si="6"/>
        <v>0</v>
      </c>
      <c r="AW11">
        <f t="shared" si="7"/>
        <v>0</v>
      </c>
      <c r="AX11">
        <f t="shared" si="8"/>
        <v>0</v>
      </c>
      <c r="AY11">
        <f t="shared" ref="AY11:BD11" si="24">SUM(AJ11)</f>
        <v>0</v>
      </c>
      <c r="AZ11">
        <f t="shared" si="24"/>
        <v>0</v>
      </c>
      <c r="BA11">
        <f t="shared" si="24"/>
        <v>0.01</v>
      </c>
      <c r="BB11">
        <f t="shared" si="24"/>
        <v>0</v>
      </c>
      <c r="BC11">
        <f t="shared" si="24"/>
        <v>0.01</v>
      </c>
      <c r="BD11">
        <f t="shared" si="24"/>
        <v>0</v>
      </c>
      <c r="BE11">
        <f t="shared" si="10"/>
        <v>0</v>
      </c>
      <c r="BF11" s="4"/>
      <c r="BG11" s="50">
        <f t="shared" si="11"/>
        <v>0.02</v>
      </c>
      <c r="BH11" s="32"/>
    </row>
    <row r="12">
      <c r="A12" s="43">
        <v>465903.0</v>
      </c>
      <c r="B12" s="250" t="s">
        <v>483</v>
      </c>
      <c r="C12" s="24"/>
      <c r="D12" s="25" t="s">
        <v>55</v>
      </c>
      <c r="E12" s="27" t="s">
        <v>91</v>
      </c>
      <c r="F12" s="27" t="s">
        <v>55</v>
      </c>
      <c r="G12" s="27" t="s">
        <v>57</v>
      </c>
      <c r="H12" s="27" t="s">
        <v>57</v>
      </c>
      <c r="I12" s="27" t="s">
        <v>57</v>
      </c>
      <c r="J12" s="27" t="s">
        <v>91</v>
      </c>
      <c r="K12" s="27" t="s">
        <v>61</v>
      </c>
      <c r="L12" s="27" t="s">
        <v>91</v>
      </c>
      <c r="M12" s="27" t="s">
        <v>91</v>
      </c>
      <c r="N12" s="27" t="s">
        <v>91</v>
      </c>
      <c r="O12" s="27" t="s">
        <v>91</v>
      </c>
      <c r="P12" s="27" t="s">
        <v>91</v>
      </c>
      <c r="Q12" s="27" t="s">
        <v>91</v>
      </c>
      <c r="R12" s="27" t="s">
        <v>91</v>
      </c>
      <c r="S12" s="27" t="s">
        <v>61</v>
      </c>
      <c r="T12" s="43">
        <v>465903.0</v>
      </c>
      <c r="U12" s="36">
        <v>10.0</v>
      </c>
      <c r="V12" s="36">
        <v>2.0</v>
      </c>
      <c r="W12" s="249" t="s">
        <v>247</v>
      </c>
      <c r="X12" s="28">
        <v>23456.0</v>
      </c>
      <c r="Y12" s="36">
        <v>8.0</v>
      </c>
      <c r="Z12" s="36">
        <v>2.0</v>
      </c>
      <c r="AA12" s="249" t="s">
        <v>267</v>
      </c>
      <c r="AB12" s="28">
        <v>5421.0</v>
      </c>
      <c r="AC12" s="36">
        <v>9.0</v>
      </c>
      <c r="AD12" s="36">
        <v>2.0</v>
      </c>
      <c r="AE12" s="24">
        <v>9.12</v>
      </c>
      <c r="AF12" s="28">
        <v>6582.0</v>
      </c>
      <c r="AG12" s="36">
        <v>10.0</v>
      </c>
      <c r="AH12" s="36">
        <v>2.0</v>
      </c>
      <c r="AI12" s="24">
        <v>26.12</v>
      </c>
      <c r="AJ12" s="28">
        <v>1.1</v>
      </c>
      <c r="AK12" s="36">
        <v>1.7</v>
      </c>
      <c r="AL12" s="36">
        <v>0.5</v>
      </c>
      <c r="AM12" s="36">
        <v>1.4</v>
      </c>
      <c r="AN12" s="36">
        <v>1.6</v>
      </c>
      <c r="AO12" s="36">
        <v>0.4</v>
      </c>
      <c r="AP12" s="36">
        <v>10.0</v>
      </c>
      <c r="AQ12" s="24">
        <v>9.0</v>
      </c>
      <c r="AR12" s="28">
        <f t="shared" ref="AR12:AR13" si="27">SUM(AP12:AQ12)</f>
        <v>19</v>
      </c>
      <c r="AS12" s="21">
        <f t="shared" ref="AS12:AT12" si="25">SUM(AP12)</f>
        <v>10</v>
      </c>
      <c r="AT12">
        <f t="shared" si="25"/>
        <v>9</v>
      </c>
      <c r="AU12">
        <f t="shared" si="5"/>
        <v>12</v>
      </c>
      <c r="AV12">
        <f t="shared" si="6"/>
        <v>10</v>
      </c>
      <c r="AW12">
        <f t="shared" si="7"/>
        <v>11</v>
      </c>
      <c r="AX12">
        <f t="shared" si="8"/>
        <v>12</v>
      </c>
      <c r="AY12">
        <f t="shared" ref="AY12:BD12" si="26">SUM(AJ12)</f>
        <v>1.1</v>
      </c>
      <c r="AZ12">
        <f t="shared" si="26"/>
        <v>1.7</v>
      </c>
      <c r="BA12">
        <f t="shared" si="26"/>
        <v>0.5</v>
      </c>
      <c r="BB12">
        <f t="shared" si="26"/>
        <v>1.4</v>
      </c>
      <c r="BC12">
        <f t="shared" si="26"/>
        <v>1.6</v>
      </c>
      <c r="BD12">
        <f t="shared" si="26"/>
        <v>0.4</v>
      </c>
      <c r="BE12">
        <f t="shared" si="10"/>
        <v>19</v>
      </c>
      <c r="BF12" s="24">
        <v>1.0</v>
      </c>
      <c r="BG12" s="50">
        <f t="shared" si="11"/>
        <v>90.7</v>
      </c>
      <c r="BH12" s="32">
        <v>1.0</v>
      </c>
    </row>
    <row r="13">
      <c r="A13" s="43">
        <v>465983.0</v>
      </c>
      <c r="B13" s="250" t="s">
        <v>484</v>
      </c>
      <c r="C13" s="24"/>
      <c r="D13" s="25" t="s">
        <v>61</v>
      </c>
      <c r="E13" s="27" t="s">
        <v>91</v>
      </c>
      <c r="F13" s="27" t="s">
        <v>158</v>
      </c>
      <c r="G13" s="27" t="s">
        <v>91</v>
      </c>
      <c r="H13" s="27" t="s">
        <v>91</v>
      </c>
      <c r="I13" s="27" t="s">
        <v>91</v>
      </c>
      <c r="J13" s="27" t="s">
        <v>91</v>
      </c>
      <c r="K13" s="27" t="s">
        <v>55</v>
      </c>
      <c r="L13" s="27" t="s">
        <v>61</v>
      </c>
      <c r="M13" s="27" t="s">
        <v>91</v>
      </c>
      <c r="N13" s="27" t="s">
        <v>91</v>
      </c>
      <c r="O13" s="27" t="s">
        <v>91</v>
      </c>
      <c r="P13" s="27" t="s">
        <v>61</v>
      </c>
      <c r="Q13" s="27" t="s">
        <v>61</v>
      </c>
      <c r="R13" s="27" t="s">
        <v>91</v>
      </c>
      <c r="S13" s="27" t="s">
        <v>91</v>
      </c>
      <c r="T13" s="43">
        <v>465983.0</v>
      </c>
      <c r="U13" s="36">
        <v>9.0</v>
      </c>
      <c r="V13" s="36">
        <v>2.0</v>
      </c>
      <c r="W13" s="249">
        <v>26.09</v>
      </c>
      <c r="X13" s="28">
        <v>7777.0</v>
      </c>
      <c r="Y13" s="36">
        <v>10.0</v>
      </c>
      <c r="Z13" s="36">
        <v>1.0</v>
      </c>
      <c r="AA13" s="249">
        <v>7.11</v>
      </c>
      <c r="AB13" s="28">
        <v>67482.0</v>
      </c>
      <c r="AC13" s="36">
        <v>10.0</v>
      </c>
      <c r="AD13" s="36">
        <v>2.0</v>
      </c>
      <c r="AE13" s="24">
        <v>5.12</v>
      </c>
      <c r="AF13" s="28">
        <v>69.0</v>
      </c>
      <c r="AG13" s="36">
        <v>10.0</v>
      </c>
      <c r="AH13" s="36">
        <v>2.0</v>
      </c>
      <c r="AI13" s="24">
        <v>12.12</v>
      </c>
      <c r="AJ13" s="28"/>
      <c r="AP13" s="36">
        <v>7.0</v>
      </c>
      <c r="AQ13" s="24">
        <v>9.17</v>
      </c>
      <c r="AR13" s="28">
        <f t="shared" si="27"/>
        <v>16.17</v>
      </c>
      <c r="AS13" s="21">
        <f t="shared" ref="AS13:AT13" si="28">SUM(AP13)</f>
        <v>7</v>
      </c>
      <c r="AT13">
        <f t="shared" si="28"/>
        <v>9.17</v>
      </c>
      <c r="AU13">
        <f t="shared" si="5"/>
        <v>11</v>
      </c>
      <c r="AV13">
        <f t="shared" si="6"/>
        <v>11</v>
      </c>
      <c r="AW13">
        <f t="shared" si="7"/>
        <v>12</v>
      </c>
      <c r="AX13">
        <f t="shared" si="8"/>
        <v>12</v>
      </c>
      <c r="AY13">
        <f t="shared" ref="AY13:BD13" si="29">SUM(AJ13)</f>
        <v>0</v>
      </c>
      <c r="AZ13">
        <f t="shared" si="29"/>
        <v>0</v>
      </c>
      <c r="BA13">
        <f t="shared" si="29"/>
        <v>0</v>
      </c>
      <c r="BB13">
        <f t="shared" si="29"/>
        <v>0</v>
      </c>
      <c r="BC13">
        <f t="shared" si="29"/>
        <v>0</v>
      </c>
      <c r="BD13">
        <f t="shared" si="29"/>
        <v>0</v>
      </c>
      <c r="BE13">
        <f t="shared" si="10"/>
        <v>16.17</v>
      </c>
      <c r="BF13" s="4"/>
      <c r="BG13" s="50">
        <f t="shared" si="11"/>
        <v>78.34</v>
      </c>
      <c r="BH13" s="32">
        <v>1.0</v>
      </c>
    </row>
    <row r="14">
      <c r="A14" s="43">
        <v>466072.0</v>
      </c>
      <c r="B14" s="250" t="s">
        <v>485</v>
      </c>
      <c r="D14" s="25" t="s">
        <v>91</v>
      </c>
      <c r="E14" s="27" t="s">
        <v>55</v>
      </c>
      <c r="F14" s="27" t="s">
        <v>91</v>
      </c>
      <c r="G14" s="27" t="s">
        <v>91</v>
      </c>
      <c r="H14" s="27" t="s">
        <v>91</v>
      </c>
      <c r="I14" s="27" t="s">
        <v>91</v>
      </c>
      <c r="J14" s="27" t="s">
        <v>61</v>
      </c>
      <c r="K14" s="27" t="s">
        <v>55</v>
      </c>
      <c r="L14" s="27" t="s">
        <v>91</v>
      </c>
      <c r="M14" s="27" t="s">
        <v>91</v>
      </c>
      <c r="N14" s="27" t="s">
        <v>91</v>
      </c>
      <c r="O14" s="27" t="s">
        <v>91</v>
      </c>
      <c r="P14" s="27" t="s">
        <v>91</v>
      </c>
      <c r="Q14" s="27" t="s">
        <v>91</v>
      </c>
      <c r="R14" s="27" t="s">
        <v>57</v>
      </c>
      <c r="S14" s="27" t="s">
        <v>61</v>
      </c>
      <c r="T14" s="43">
        <v>466072.0</v>
      </c>
      <c r="U14" s="36">
        <v>7.0</v>
      </c>
      <c r="V14" s="36">
        <v>2.0</v>
      </c>
      <c r="W14" s="255">
        <v>26.12</v>
      </c>
      <c r="X14" s="28">
        <v>43.0</v>
      </c>
      <c r="Y14" s="36">
        <v>6.0</v>
      </c>
      <c r="Z14" s="36">
        <v>2.0</v>
      </c>
      <c r="AA14" s="255">
        <v>11.02</v>
      </c>
      <c r="AB14" s="28">
        <v>567.0</v>
      </c>
      <c r="AC14" s="36">
        <v>6.0</v>
      </c>
      <c r="AD14" s="36">
        <v>1.0</v>
      </c>
      <c r="AE14" s="36">
        <v>16.02</v>
      </c>
      <c r="AF14" s="28">
        <v>777.0</v>
      </c>
      <c r="AG14" s="36">
        <v>6.0</v>
      </c>
      <c r="AH14" s="36">
        <v>0.0</v>
      </c>
      <c r="AI14" s="36">
        <v>25.02</v>
      </c>
      <c r="AJ14" s="28"/>
      <c r="AN14" s="36">
        <v>0.01</v>
      </c>
      <c r="AP14" s="36">
        <v>6.0</v>
      </c>
      <c r="AQ14" s="36">
        <v>6.0</v>
      </c>
      <c r="AR14" s="28">
        <f>SUM(AP14:AQ14)+3</f>
        <v>15</v>
      </c>
      <c r="AS14" s="21">
        <f t="shared" ref="AS14:AT14" si="30">SUM(AP14)</f>
        <v>6</v>
      </c>
      <c r="AT14">
        <f t="shared" si="30"/>
        <v>6</v>
      </c>
      <c r="AU14">
        <f t="shared" si="5"/>
        <v>9</v>
      </c>
      <c r="AV14">
        <f t="shared" si="6"/>
        <v>8</v>
      </c>
      <c r="AW14">
        <f t="shared" si="7"/>
        <v>7</v>
      </c>
      <c r="AX14">
        <f t="shared" si="8"/>
        <v>6</v>
      </c>
      <c r="AY14">
        <f t="shared" ref="AY14:BD14" si="31">SUM(AJ14)</f>
        <v>0</v>
      </c>
      <c r="AZ14">
        <f t="shared" si="31"/>
        <v>0</v>
      </c>
      <c r="BA14">
        <f t="shared" si="31"/>
        <v>0</v>
      </c>
      <c r="BB14">
        <f t="shared" si="31"/>
        <v>0</v>
      </c>
      <c r="BC14">
        <f t="shared" si="31"/>
        <v>0.01</v>
      </c>
      <c r="BD14">
        <f t="shared" si="31"/>
        <v>0</v>
      </c>
      <c r="BE14">
        <f t="shared" si="10"/>
        <v>15</v>
      </c>
      <c r="BF14" s="24">
        <v>3.0</v>
      </c>
      <c r="BG14" s="50">
        <f t="shared" si="11"/>
        <v>60.01</v>
      </c>
      <c r="BH14" s="32">
        <v>2.0</v>
      </c>
    </row>
    <row r="15">
      <c r="A15" s="43">
        <v>466309.0</v>
      </c>
      <c r="B15" s="250" t="s">
        <v>486</v>
      </c>
      <c r="D15" s="25" t="s">
        <v>170</v>
      </c>
      <c r="E15" s="27" t="s">
        <v>91</v>
      </c>
      <c r="F15" s="27" t="s">
        <v>158</v>
      </c>
      <c r="G15" s="27" t="s">
        <v>91</v>
      </c>
      <c r="H15" s="27" t="s">
        <v>91</v>
      </c>
      <c r="I15" s="27" t="s">
        <v>57</v>
      </c>
      <c r="J15" s="27" t="s">
        <v>91</v>
      </c>
      <c r="K15" s="27" t="s">
        <v>55</v>
      </c>
      <c r="L15" s="27" t="s">
        <v>91</v>
      </c>
      <c r="M15" s="27" t="s">
        <v>91</v>
      </c>
      <c r="N15" s="27" t="s">
        <v>61</v>
      </c>
      <c r="O15" s="27" t="s">
        <v>91</v>
      </c>
      <c r="P15" s="27" t="s">
        <v>91</v>
      </c>
      <c r="Q15" s="27" t="s">
        <v>91</v>
      </c>
      <c r="R15" s="27" t="s">
        <v>91</v>
      </c>
      <c r="S15" s="27" t="s">
        <v>91</v>
      </c>
      <c r="T15" s="43">
        <v>466309.0</v>
      </c>
      <c r="U15" s="130">
        <v>10.0</v>
      </c>
      <c r="V15" s="36">
        <v>1.0</v>
      </c>
      <c r="W15" s="255">
        <v>12.09</v>
      </c>
      <c r="X15" s="28">
        <v>8888.0</v>
      </c>
      <c r="Y15" s="36">
        <v>10.0</v>
      </c>
      <c r="Z15" s="36">
        <v>2.0</v>
      </c>
      <c r="AA15" s="255">
        <v>26.09</v>
      </c>
      <c r="AB15" s="28">
        <v>3.3366699E7</v>
      </c>
      <c r="AC15" s="36">
        <v>10.0</v>
      </c>
      <c r="AD15" s="36">
        <v>2.0</v>
      </c>
      <c r="AE15" s="36">
        <v>17.1</v>
      </c>
      <c r="AF15" s="28">
        <v>1344.0</v>
      </c>
      <c r="AG15" s="36">
        <v>10.0</v>
      </c>
      <c r="AH15" s="36">
        <v>2.0</v>
      </c>
      <c r="AI15" s="36">
        <v>21.11</v>
      </c>
      <c r="AJ15" s="28">
        <v>1.2</v>
      </c>
      <c r="AK15" s="36">
        <v>1.7</v>
      </c>
      <c r="AL15" s="36">
        <v>2.0</v>
      </c>
      <c r="AM15" s="36">
        <v>1.9</v>
      </c>
      <c r="AN15" s="36">
        <v>1.2</v>
      </c>
      <c r="AO15" s="36">
        <v>0.01</v>
      </c>
      <c r="AP15" s="36">
        <v>9.5</v>
      </c>
      <c r="AQ15" s="36">
        <v>8.71</v>
      </c>
      <c r="AR15" s="28">
        <f t="shared" ref="AR15:AR24" si="34">SUM(AP15:AQ15)</f>
        <v>18.21</v>
      </c>
      <c r="AS15" s="21">
        <f t="shared" ref="AS15:AT15" si="32">SUM(AP15)</f>
        <v>9.5</v>
      </c>
      <c r="AT15">
        <f t="shared" si="32"/>
        <v>8.71</v>
      </c>
      <c r="AU15" s="131">
        <f t="shared" si="5"/>
        <v>11</v>
      </c>
      <c r="AV15">
        <f t="shared" si="6"/>
        <v>12</v>
      </c>
      <c r="AW15">
        <f t="shared" si="7"/>
        <v>12</v>
      </c>
      <c r="AX15">
        <f t="shared" si="8"/>
        <v>12</v>
      </c>
      <c r="AY15">
        <f t="shared" ref="AY15:BD15" si="33">SUM(AJ15)</f>
        <v>1.2</v>
      </c>
      <c r="AZ15">
        <f t="shared" si="33"/>
        <v>1.7</v>
      </c>
      <c r="BA15">
        <f t="shared" si="33"/>
        <v>2</v>
      </c>
      <c r="BB15">
        <f t="shared" si="33"/>
        <v>1.9</v>
      </c>
      <c r="BC15">
        <f t="shared" si="33"/>
        <v>1.2</v>
      </c>
      <c r="BD15">
        <f t="shared" si="33"/>
        <v>0.01</v>
      </c>
      <c r="BE15">
        <f t="shared" si="10"/>
        <v>18.21</v>
      </c>
      <c r="BF15" s="4"/>
      <c r="BG15" s="50">
        <f t="shared" si="11"/>
        <v>91.43</v>
      </c>
      <c r="BH15" s="32">
        <v>1.0</v>
      </c>
    </row>
    <row r="16">
      <c r="A16" s="43">
        <v>466398.0</v>
      </c>
      <c r="B16" s="256" t="s">
        <v>487</v>
      </c>
      <c r="D16" s="25"/>
      <c r="E16" s="27"/>
      <c r="F16" s="27"/>
      <c r="G16" s="27"/>
      <c r="H16" s="253" t="s">
        <v>474</v>
      </c>
      <c r="I16" s="253" t="s">
        <v>474</v>
      </c>
      <c r="J16" s="27"/>
      <c r="K16" s="27"/>
      <c r="L16" s="27"/>
      <c r="M16" s="27"/>
      <c r="N16" s="253" t="s">
        <v>474</v>
      </c>
      <c r="O16" s="27"/>
      <c r="P16" s="253" t="s">
        <v>474</v>
      </c>
      <c r="Q16" s="27"/>
      <c r="R16" s="27"/>
      <c r="S16" s="54"/>
      <c r="T16" s="43">
        <v>466398.0</v>
      </c>
      <c r="U16" s="36">
        <v>9.0</v>
      </c>
      <c r="V16" s="36">
        <v>1.0</v>
      </c>
      <c r="W16" s="36" t="s">
        <v>488</v>
      </c>
      <c r="X16" s="28">
        <f>T16+22</f>
        <v>466420</v>
      </c>
      <c r="Y16" s="36">
        <v>10.0</v>
      </c>
      <c r="Z16" s="36">
        <v>0.0</v>
      </c>
      <c r="AA16" s="255" t="s">
        <v>252</v>
      </c>
      <c r="AB16" s="28">
        <v>555.0</v>
      </c>
      <c r="AC16" s="36">
        <v>10.0</v>
      </c>
      <c r="AD16" s="36">
        <v>1.0</v>
      </c>
      <c r="AE16" s="36" t="s">
        <v>475</v>
      </c>
      <c r="AF16" s="28">
        <v>141617.0</v>
      </c>
      <c r="AG16" s="36">
        <v>8.0</v>
      </c>
      <c r="AH16" s="36">
        <v>0.0</v>
      </c>
      <c r="AI16" s="36" t="s">
        <v>477</v>
      </c>
      <c r="AJ16" s="28">
        <v>1.8</v>
      </c>
      <c r="AP16" s="36">
        <v>7.0</v>
      </c>
      <c r="AQ16" s="36">
        <v>6.0</v>
      </c>
      <c r="AR16" s="28">
        <f t="shared" si="34"/>
        <v>13</v>
      </c>
      <c r="AS16" s="21">
        <f t="shared" ref="AS16:AT16" si="35">SUM(AP16)</f>
        <v>7</v>
      </c>
      <c r="AT16">
        <f t="shared" si="35"/>
        <v>6</v>
      </c>
      <c r="AU16">
        <f t="shared" si="5"/>
        <v>10</v>
      </c>
      <c r="AV16">
        <f t="shared" si="6"/>
        <v>10</v>
      </c>
      <c r="AW16">
        <f t="shared" si="7"/>
        <v>11</v>
      </c>
      <c r="AX16">
        <f t="shared" si="8"/>
        <v>8</v>
      </c>
      <c r="AY16">
        <f t="shared" ref="AY16:BD16" si="36">SUM(AJ16)</f>
        <v>1.8</v>
      </c>
      <c r="AZ16">
        <f t="shared" si="36"/>
        <v>0</v>
      </c>
      <c r="BA16">
        <f t="shared" si="36"/>
        <v>0</v>
      </c>
      <c r="BB16">
        <f t="shared" si="36"/>
        <v>0</v>
      </c>
      <c r="BC16">
        <f t="shared" si="36"/>
        <v>0</v>
      </c>
      <c r="BD16">
        <f t="shared" si="36"/>
        <v>0</v>
      </c>
      <c r="BE16">
        <f t="shared" si="10"/>
        <v>13</v>
      </c>
      <c r="BF16" s="4"/>
      <c r="BG16" s="50">
        <f t="shared" si="11"/>
        <v>66.8</v>
      </c>
      <c r="BH16" s="32">
        <v>2.0</v>
      </c>
    </row>
    <row r="17">
      <c r="A17" s="49">
        <v>409132.0</v>
      </c>
      <c r="B17" s="252" t="s">
        <v>489</v>
      </c>
      <c r="D17" s="253" t="s">
        <v>474</v>
      </c>
      <c r="E17" s="253" t="s">
        <v>474</v>
      </c>
      <c r="F17" s="253" t="s">
        <v>474</v>
      </c>
      <c r="G17" s="253" t="s">
        <v>474</v>
      </c>
      <c r="H17" s="253" t="s">
        <v>474</v>
      </c>
      <c r="I17" s="27"/>
      <c r="J17" s="27"/>
      <c r="K17" s="27"/>
      <c r="L17" s="253" t="s">
        <v>474</v>
      </c>
      <c r="M17" s="253" t="s">
        <v>474</v>
      </c>
      <c r="N17" s="27"/>
      <c r="O17" s="27"/>
      <c r="P17" s="253" t="s">
        <v>474</v>
      </c>
      <c r="Q17" s="27"/>
      <c r="R17" s="27"/>
      <c r="S17" s="54"/>
      <c r="T17" s="49">
        <v>409132.0</v>
      </c>
      <c r="U17" s="36">
        <v>10.0</v>
      </c>
      <c r="V17" s="36">
        <v>2.0</v>
      </c>
      <c r="W17" s="36" t="s">
        <v>490</v>
      </c>
      <c r="X17" s="36">
        <v>332.0</v>
      </c>
      <c r="Y17" s="36">
        <v>10.0</v>
      </c>
      <c r="Z17" s="36">
        <v>2.0</v>
      </c>
      <c r="AA17" s="255" t="s">
        <v>247</v>
      </c>
      <c r="AB17" s="36">
        <v>1313131.0</v>
      </c>
      <c r="AC17" s="36">
        <v>10.0</v>
      </c>
      <c r="AD17" s="36">
        <v>2.0</v>
      </c>
      <c r="AE17" s="36" t="s">
        <v>248</v>
      </c>
      <c r="AF17" s="36">
        <v>1231231.0</v>
      </c>
      <c r="AG17" s="36">
        <v>10.0</v>
      </c>
      <c r="AH17" s="36">
        <v>2.0</v>
      </c>
      <c r="AI17" s="255" t="s">
        <v>475</v>
      </c>
      <c r="AP17" s="36">
        <v>7.0</v>
      </c>
      <c r="AQ17" s="36">
        <v>6.0</v>
      </c>
      <c r="AR17" s="28">
        <f t="shared" si="34"/>
        <v>13</v>
      </c>
      <c r="AS17" s="21">
        <f t="shared" ref="AS17:AT17" si="37">SUM(AP17)</f>
        <v>7</v>
      </c>
      <c r="AT17">
        <f t="shared" si="37"/>
        <v>6</v>
      </c>
      <c r="AU17">
        <f t="shared" si="5"/>
        <v>12</v>
      </c>
      <c r="AV17">
        <f t="shared" si="6"/>
        <v>12</v>
      </c>
      <c r="AW17">
        <f t="shared" si="7"/>
        <v>12</v>
      </c>
      <c r="AX17">
        <f t="shared" si="8"/>
        <v>12</v>
      </c>
      <c r="AY17">
        <f t="shared" ref="AY17:BD17" si="38">SUM(AJ17)</f>
        <v>0</v>
      </c>
      <c r="AZ17">
        <f t="shared" si="38"/>
        <v>0</v>
      </c>
      <c r="BA17">
        <f t="shared" si="38"/>
        <v>0</v>
      </c>
      <c r="BB17">
        <f t="shared" si="38"/>
        <v>0</v>
      </c>
      <c r="BC17">
        <f t="shared" si="38"/>
        <v>0</v>
      </c>
      <c r="BD17">
        <f t="shared" si="38"/>
        <v>0</v>
      </c>
      <c r="BE17">
        <f t="shared" si="10"/>
        <v>13</v>
      </c>
      <c r="BF17" s="4"/>
      <c r="BG17" s="50">
        <f t="shared" si="11"/>
        <v>74</v>
      </c>
      <c r="BH17" s="32">
        <v>1.0</v>
      </c>
    </row>
    <row r="18">
      <c r="A18" s="43">
        <v>463223.0</v>
      </c>
      <c r="B18" s="256" t="s">
        <v>491</v>
      </c>
      <c r="C18" s="24"/>
      <c r="D18" s="257" t="s">
        <v>474</v>
      </c>
      <c r="E18" s="253" t="s">
        <v>474</v>
      </c>
      <c r="F18" s="253" t="s">
        <v>474</v>
      </c>
      <c r="G18" s="27"/>
      <c r="H18" s="27"/>
      <c r="I18" s="253" t="s">
        <v>474</v>
      </c>
      <c r="J18" s="253" t="s">
        <v>474</v>
      </c>
      <c r="K18" s="27"/>
      <c r="L18" s="27"/>
      <c r="M18" s="27"/>
      <c r="N18" s="27"/>
      <c r="O18" s="253" t="s">
        <v>474</v>
      </c>
      <c r="P18" s="27"/>
      <c r="Q18" s="27"/>
      <c r="R18" s="27"/>
      <c r="S18" s="258" t="s">
        <v>474</v>
      </c>
      <c r="T18" s="43">
        <v>463223.0</v>
      </c>
      <c r="U18" s="36">
        <v>10.0</v>
      </c>
      <c r="V18" s="36">
        <v>2.0</v>
      </c>
      <c r="W18" s="24" t="s">
        <v>490</v>
      </c>
      <c r="X18" s="28">
        <v>333.0</v>
      </c>
      <c r="Y18" s="36">
        <v>10.0</v>
      </c>
      <c r="Z18" s="36">
        <v>2.0</v>
      </c>
      <c r="AA18" s="249" t="s">
        <v>251</v>
      </c>
      <c r="AB18" s="28">
        <v>3.1231231E7</v>
      </c>
      <c r="AC18" s="36">
        <v>10.0</v>
      </c>
      <c r="AD18" s="36">
        <v>2.0</v>
      </c>
      <c r="AE18" s="24" t="s">
        <v>254</v>
      </c>
      <c r="AF18" s="28">
        <v>4443.0</v>
      </c>
      <c r="AG18" s="36">
        <v>10.0</v>
      </c>
      <c r="AH18" s="36">
        <v>2.0</v>
      </c>
      <c r="AI18" s="249" t="s">
        <v>492</v>
      </c>
      <c r="AJ18" s="28">
        <v>0.01</v>
      </c>
      <c r="AK18" s="36">
        <v>1.5</v>
      </c>
      <c r="AL18" s="36">
        <v>0.6</v>
      </c>
      <c r="AM18" s="36">
        <v>1.6</v>
      </c>
      <c r="AN18" s="36">
        <v>0.01</v>
      </c>
      <c r="AO18" s="36">
        <v>0.01</v>
      </c>
      <c r="AP18" s="36">
        <v>6.0</v>
      </c>
      <c r="AQ18" s="24">
        <v>6.0</v>
      </c>
      <c r="AR18" s="28">
        <f t="shared" si="34"/>
        <v>12</v>
      </c>
      <c r="AS18" s="21">
        <f t="shared" ref="AS18:AT18" si="39">SUM(AP18)</f>
        <v>6</v>
      </c>
      <c r="AT18">
        <f t="shared" si="39"/>
        <v>6</v>
      </c>
      <c r="AU18">
        <f t="shared" si="5"/>
        <v>12</v>
      </c>
      <c r="AV18">
        <f t="shared" si="6"/>
        <v>12</v>
      </c>
      <c r="AW18">
        <f t="shared" si="7"/>
        <v>12</v>
      </c>
      <c r="AX18">
        <f t="shared" si="8"/>
        <v>12</v>
      </c>
      <c r="AY18">
        <f t="shared" ref="AY18:BD18" si="40">SUM(AJ18)</f>
        <v>0.01</v>
      </c>
      <c r="AZ18">
        <f t="shared" si="40"/>
        <v>1.5</v>
      </c>
      <c r="BA18">
        <f t="shared" si="40"/>
        <v>0.6</v>
      </c>
      <c r="BB18">
        <f t="shared" si="40"/>
        <v>1.6</v>
      </c>
      <c r="BC18">
        <f t="shared" si="40"/>
        <v>0.01</v>
      </c>
      <c r="BD18">
        <f t="shared" si="40"/>
        <v>0.01</v>
      </c>
      <c r="BE18">
        <f t="shared" si="10"/>
        <v>12</v>
      </c>
      <c r="BF18" s="4"/>
      <c r="BG18" s="50">
        <f t="shared" si="11"/>
        <v>75.73</v>
      </c>
      <c r="BH18" s="32">
        <v>1.0</v>
      </c>
    </row>
    <row r="19">
      <c r="A19" s="43">
        <v>407793.0</v>
      </c>
      <c r="B19" s="256" t="s">
        <v>493</v>
      </c>
      <c r="C19" s="4"/>
      <c r="D19" s="25"/>
      <c r="E19" s="27"/>
      <c r="F19" s="27"/>
      <c r="G19" s="27"/>
      <c r="H19" s="253" t="s">
        <v>474</v>
      </c>
      <c r="I19" s="27"/>
      <c r="J19" s="253" t="s">
        <v>474</v>
      </c>
      <c r="K19" s="253" t="s">
        <v>474</v>
      </c>
      <c r="L19" s="253" t="s">
        <v>474</v>
      </c>
      <c r="M19" s="27"/>
      <c r="N19" s="27"/>
      <c r="O19" s="27"/>
      <c r="P19" s="259" t="s">
        <v>474</v>
      </c>
      <c r="Q19" s="27"/>
      <c r="R19" s="253" t="s">
        <v>474</v>
      </c>
      <c r="S19" s="54"/>
      <c r="T19" s="43">
        <v>407793.0</v>
      </c>
      <c r="U19" s="36">
        <v>9.0</v>
      </c>
      <c r="V19" s="36">
        <v>1.0</v>
      </c>
      <c r="W19" s="24" t="s">
        <v>251</v>
      </c>
      <c r="X19" s="28">
        <v>123.0</v>
      </c>
      <c r="Y19" s="36">
        <v>9.0</v>
      </c>
      <c r="Z19" s="36">
        <v>1.0</v>
      </c>
      <c r="AA19" s="249" t="s">
        <v>263</v>
      </c>
      <c r="AB19" s="28">
        <v>123.0</v>
      </c>
      <c r="AC19" s="36">
        <v>9.0</v>
      </c>
      <c r="AD19" s="36">
        <v>1.0</v>
      </c>
      <c r="AE19" s="24" t="s">
        <v>492</v>
      </c>
      <c r="AF19" s="28">
        <v>14784.0</v>
      </c>
      <c r="AG19" s="36">
        <v>7.0</v>
      </c>
      <c r="AH19" s="36">
        <v>1.0</v>
      </c>
      <c r="AI19" s="249" t="s">
        <v>494</v>
      </c>
      <c r="AJ19" s="21"/>
      <c r="AP19" s="36">
        <v>8.0</v>
      </c>
      <c r="AQ19" s="24">
        <v>6.0</v>
      </c>
      <c r="AR19" s="28">
        <f t="shared" si="34"/>
        <v>14</v>
      </c>
      <c r="AS19" s="21">
        <f t="shared" ref="AS19:AT19" si="41">SUM(AP19)</f>
        <v>8</v>
      </c>
      <c r="AT19">
        <f t="shared" si="41"/>
        <v>6</v>
      </c>
      <c r="AU19">
        <f t="shared" si="5"/>
        <v>10</v>
      </c>
      <c r="AV19">
        <f t="shared" si="6"/>
        <v>10</v>
      </c>
      <c r="AW19">
        <f t="shared" si="7"/>
        <v>10</v>
      </c>
      <c r="AX19">
        <f t="shared" si="8"/>
        <v>8</v>
      </c>
      <c r="AY19">
        <f t="shared" ref="AY19:BD19" si="42">SUM(AJ19)</f>
        <v>0</v>
      </c>
      <c r="AZ19">
        <f t="shared" si="42"/>
        <v>0</v>
      </c>
      <c r="BA19">
        <f t="shared" si="42"/>
        <v>0</v>
      </c>
      <c r="BB19">
        <f t="shared" si="42"/>
        <v>0</v>
      </c>
      <c r="BC19">
        <f t="shared" si="42"/>
        <v>0</v>
      </c>
      <c r="BD19">
        <f t="shared" si="42"/>
        <v>0</v>
      </c>
      <c r="BE19">
        <f t="shared" si="10"/>
        <v>14</v>
      </c>
      <c r="BF19" s="4"/>
      <c r="BG19" s="50">
        <f t="shared" si="11"/>
        <v>66</v>
      </c>
      <c r="BH19" s="32">
        <v>1.0</v>
      </c>
    </row>
    <row r="20">
      <c r="A20" s="43">
        <v>467392.0</v>
      </c>
      <c r="B20" s="256" t="s">
        <v>495</v>
      </c>
      <c r="D20" s="25"/>
      <c r="E20" s="27"/>
      <c r="F20" s="27"/>
      <c r="G20" s="27"/>
      <c r="H20" s="27"/>
      <c r="I20" s="253" t="s">
        <v>474</v>
      </c>
      <c r="J20" s="253" t="s">
        <v>474</v>
      </c>
      <c r="K20" s="27"/>
      <c r="L20" s="27"/>
      <c r="M20" s="253" t="s">
        <v>474</v>
      </c>
      <c r="N20" s="253" t="s">
        <v>474</v>
      </c>
      <c r="O20" s="27"/>
      <c r="P20" s="27"/>
      <c r="Q20" s="27"/>
      <c r="R20" s="253" t="s">
        <v>474</v>
      </c>
      <c r="S20" s="54"/>
      <c r="T20" s="43">
        <v>467392.0</v>
      </c>
      <c r="U20" s="36">
        <v>9.0</v>
      </c>
      <c r="V20" s="36">
        <v>1.0</v>
      </c>
      <c r="W20" s="24" t="s">
        <v>251</v>
      </c>
      <c r="X20" s="28">
        <v>44443.0</v>
      </c>
      <c r="Y20" s="36">
        <v>10.0</v>
      </c>
      <c r="Z20" s="36">
        <v>0.0</v>
      </c>
      <c r="AA20" s="249" t="s">
        <v>252</v>
      </c>
      <c r="AB20" s="28">
        <v>1.23123123E8</v>
      </c>
      <c r="AC20" s="36">
        <v>9.0</v>
      </c>
      <c r="AD20" s="36">
        <v>1.0</v>
      </c>
      <c r="AE20" s="24" t="s">
        <v>475</v>
      </c>
      <c r="AF20" s="28">
        <v>947463.0</v>
      </c>
      <c r="AG20" s="36">
        <v>10.0</v>
      </c>
      <c r="AH20" s="36">
        <v>1.0</v>
      </c>
      <c r="AI20" s="24" t="s">
        <v>494</v>
      </c>
      <c r="AJ20" s="28">
        <v>1.2</v>
      </c>
      <c r="AK20" s="36">
        <v>0.3</v>
      </c>
      <c r="AM20" s="36">
        <v>0.8</v>
      </c>
      <c r="AN20" s="36">
        <v>1.6</v>
      </c>
      <c r="AO20" s="36">
        <v>2.0</v>
      </c>
      <c r="AP20" s="36">
        <v>6.0</v>
      </c>
      <c r="AQ20" s="24">
        <v>7.63</v>
      </c>
      <c r="AR20" s="28">
        <f t="shared" si="34"/>
        <v>13.63</v>
      </c>
      <c r="AS20" s="21">
        <f t="shared" ref="AS20:AT20" si="43">SUM(AP20)</f>
        <v>6</v>
      </c>
      <c r="AT20">
        <f t="shared" si="43"/>
        <v>7.63</v>
      </c>
      <c r="AU20">
        <f t="shared" si="5"/>
        <v>10</v>
      </c>
      <c r="AV20">
        <f t="shared" si="6"/>
        <v>10</v>
      </c>
      <c r="AW20">
        <f t="shared" si="7"/>
        <v>10</v>
      </c>
      <c r="AX20">
        <f t="shared" si="8"/>
        <v>11</v>
      </c>
      <c r="AY20">
        <f t="shared" ref="AY20:BD20" si="44">SUM(AJ20)</f>
        <v>1.2</v>
      </c>
      <c r="AZ20">
        <f t="shared" si="44"/>
        <v>0.3</v>
      </c>
      <c r="BA20">
        <f t="shared" si="44"/>
        <v>0</v>
      </c>
      <c r="BB20">
        <f t="shared" si="44"/>
        <v>0.8</v>
      </c>
      <c r="BC20">
        <f t="shared" si="44"/>
        <v>1.6</v>
      </c>
      <c r="BD20">
        <f t="shared" si="44"/>
        <v>2</v>
      </c>
      <c r="BE20">
        <f t="shared" si="10"/>
        <v>13.63</v>
      </c>
      <c r="BF20" s="4"/>
      <c r="BG20" s="50">
        <f t="shared" si="11"/>
        <v>74.16</v>
      </c>
      <c r="BH20" s="32">
        <v>1.0</v>
      </c>
    </row>
    <row r="21">
      <c r="A21" s="43">
        <v>467549.0</v>
      </c>
      <c r="B21" s="256" t="s">
        <v>496</v>
      </c>
      <c r="D21" s="25"/>
      <c r="E21" s="253" t="s">
        <v>474</v>
      </c>
      <c r="F21" s="27"/>
      <c r="G21" s="253" t="s">
        <v>474</v>
      </c>
      <c r="H21" s="27"/>
      <c r="I21" s="253" t="s">
        <v>474</v>
      </c>
      <c r="J21" s="253" t="s">
        <v>474</v>
      </c>
      <c r="K21" s="27"/>
      <c r="L21" s="27"/>
      <c r="M21" s="27"/>
      <c r="N21" s="27"/>
      <c r="O21" s="27"/>
      <c r="P21" s="253" t="s">
        <v>474</v>
      </c>
      <c r="Q21" s="27"/>
      <c r="R21" s="27"/>
      <c r="S21" s="258" t="s">
        <v>474</v>
      </c>
      <c r="T21" s="43">
        <v>467549.0</v>
      </c>
      <c r="U21" s="36">
        <v>10.0</v>
      </c>
      <c r="V21" s="36">
        <v>2.0</v>
      </c>
      <c r="W21" s="24" t="s">
        <v>497</v>
      </c>
      <c r="X21" s="28">
        <v>123123.0</v>
      </c>
      <c r="Y21" s="36">
        <v>10.0</v>
      </c>
      <c r="Z21" s="36">
        <v>2.0</v>
      </c>
      <c r="AA21" s="249" t="s">
        <v>498</v>
      </c>
      <c r="AB21" s="28">
        <v>123132.0</v>
      </c>
      <c r="AC21" s="36">
        <v>10.0</v>
      </c>
      <c r="AD21" s="36">
        <v>2.0</v>
      </c>
      <c r="AE21" s="24" t="s">
        <v>251</v>
      </c>
      <c r="AF21" s="28">
        <v>345.0</v>
      </c>
      <c r="AG21" s="36">
        <v>10.0</v>
      </c>
      <c r="AH21" s="36">
        <v>2.0</v>
      </c>
      <c r="AI21" s="24" t="s">
        <v>492</v>
      </c>
      <c r="AJ21" s="28">
        <v>1.0</v>
      </c>
      <c r="AK21" s="36">
        <v>1.0</v>
      </c>
      <c r="AL21" s="36">
        <v>1.2</v>
      </c>
      <c r="AM21" s="36">
        <v>0.6</v>
      </c>
      <c r="AN21" s="36">
        <v>1.6</v>
      </c>
      <c r="AO21" s="36">
        <v>0.01</v>
      </c>
      <c r="AP21" s="36">
        <v>9.5</v>
      </c>
      <c r="AQ21" s="24">
        <v>9.5</v>
      </c>
      <c r="AR21" s="28">
        <f t="shared" si="34"/>
        <v>19</v>
      </c>
      <c r="AS21" s="21">
        <f t="shared" ref="AS21:AT21" si="45">SUM(AP21)</f>
        <v>9.5</v>
      </c>
      <c r="AT21">
        <f t="shared" si="45"/>
        <v>9.5</v>
      </c>
      <c r="AU21">
        <f t="shared" si="5"/>
        <v>12</v>
      </c>
      <c r="AV21">
        <f t="shared" si="6"/>
        <v>12</v>
      </c>
      <c r="AW21">
        <f t="shared" si="7"/>
        <v>12</v>
      </c>
      <c r="AX21">
        <f t="shared" si="8"/>
        <v>12</v>
      </c>
      <c r="AY21">
        <f t="shared" ref="AY21:BD21" si="46">SUM(AJ21)</f>
        <v>1</v>
      </c>
      <c r="AZ21">
        <f t="shared" si="46"/>
        <v>1</v>
      </c>
      <c r="BA21">
        <f t="shared" si="46"/>
        <v>1.2</v>
      </c>
      <c r="BB21">
        <f t="shared" si="46"/>
        <v>0.6</v>
      </c>
      <c r="BC21">
        <f t="shared" si="46"/>
        <v>1.6</v>
      </c>
      <c r="BD21">
        <f t="shared" si="46"/>
        <v>0.01</v>
      </c>
      <c r="BE21">
        <f t="shared" si="10"/>
        <v>19</v>
      </c>
      <c r="BF21" s="4"/>
      <c r="BG21" s="50">
        <f t="shared" si="11"/>
        <v>91.41</v>
      </c>
      <c r="BH21" s="32">
        <v>1.0</v>
      </c>
    </row>
    <row r="22">
      <c r="A22" s="43">
        <v>463225.0</v>
      </c>
      <c r="B22" s="256" t="s">
        <v>499</v>
      </c>
      <c r="D22" s="257" t="s">
        <v>474</v>
      </c>
      <c r="E22" s="253" t="s">
        <v>474</v>
      </c>
      <c r="F22" s="253" t="s">
        <v>474</v>
      </c>
      <c r="G22" s="253" t="s">
        <v>474</v>
      </c>
      <c r="H22" s="253" t="s">
        <v>474</v>
      </c>
      <c r="I22" s="27"/>
      <c r="J22" s="253" t="s">
        <v>474</v>
      </c>
      <c r="K22" s="253" t="s">
        <v>474</v>
      </c>
      <c r="L22" s="27"/>
      <c r="M22" s="27"/>
      <c r="N22" s="253" t="s">
        <v>474</v>
      </c>
      <c r="O22" s="253" t="s">
        <v>474</v>
      </c>
      <c r="P22" s="253" t="s">
        <v>474</v>
      </c>
      <c r="Q22" s="27"/>
      <c r="R22" s="27"/>
      <c r="S22" s="54"/>
      <c r="T22" s="43">
        <v>463225.0</v>
      </c>
      <c r="U22" s="36">
        <v>10.0</v>
      </c>
      <c r="V22" s="36">
        <v>2.0</v>
      </c>
      <c r="W22" s="36" t="s">
        <v>490</v>
      </c>
      <c r="X22" s="28">
        <v>656565.0</v>
      </c>
      <c r="Y22" s="36">
        <v>10.0</v>
      </c>
      <c r="Z22" s="36">
        <v>2.0</v>
      </c>
      <c r="AA22" s="249" t="s">
        <v>247</v>
      </c>
      <c r="AB22" s="28">
        <v>23131.0</v>
      </c>
      <c r="AC22" s="36">
        <v>10.0</v>
      </c>
      <c r="AD22" s="36">
        <v>2.0</v>
      </c>
      <c r="AE22" s="24" t="s">
        <v>267</v>
      </c>
      <c r="AF22" s="28">
        <v>333.0</v>
      </c>
      <c r="AG22" s="36">
        <v>10.0</v>
      </c>
      <c r="AH22" s="36">
        <v>2.0</v>
      </c>
      <c r="AI22" s="249" t="s">
        <v>257</v>
      </c>
      <c r="AJ22" s="21"/>
      <c r="AO22" s="36">
        <v>0.01</v>
      </c>
      <c r="AP22" s="36">
        <v>7.5</v>
      </c>
      <c r="AQ22" s="24">
        <v>6.0</v>
      </c>
      <c r="AR22" s="28">
        <f t="shared" si="34"/>
        <v>13.5</v>
      </c>
      <c r="AS22" s="21">
        <f t="shared" ref="AS22:AT22" si="47">SUM(AP22)</f>
        <v>7.5</v>
      </c>
      <c r="AT22">
        <f t="shared" si="47"/>
        <v>6</v>
      </c>
      <c r="AU22">
        <f t="shared" si="5"/>
        <v>12</v>
      </c>
      <c r="AV22">
        <f t="shared" si="6"/>
        <v>12</v>
      </c>
      <c r="AW22">
        <f t="shared" si="7"/>
        <v>12</v>
      </c>
      <c r="AX22">
        <f t="shared" si="8"/>
        <v>12</v>
      </c>
      <c r="AY22">
        <f t="shared" ref="AY22:BD22" si="48">SUM(AJ22)</f>
        <v>0</v>
      </c>
      <c r="AZ22">
        <f t="shared" si="48"/>
        <v>0</v>
      </c>
      <c r="BA22">
        <f t="shared" si="48"/>
        <v>0</v>
      </c>
      <c r="BB22">
        <f t="shared" si="48"/>
        <v>0</v>
      </c>
      <c r="BC22">
        <f t="shared" si="48"/>
        <v>0</v>
      </c>
      <c r="BD22">
        <f t="shared" si="48"/>
        <v>0.01</v>
      </c>
      <c r="BE22">
        <f t="shared" si="10"/>
        <v>13.5</v>
      </c>
      <c r="BF22" s="4"/>
      <c r="BG22" s="50">
        <f t="shared" si="11"/>
        <v>75.01</v>
      </c>
      <c r="BH22" s="32">
        <v>1.0</v>
      </c>
    </row>
    <row r="23">
      <c r="A23" s="43">
        <v>467610.0</v>
      </c>
      <c r="B23" s="256" t="s">
        <v>500</v>
      </c>
      <c r="D23" s="25"/>
      <c r="E23" s="27"/>
      <c r="F23" s="27"/>
      <c r="G23" s="27"/>
      <c r="H23" s="27"/>
      <c r="I23" s="27"/>
      <c r="J23" s="253" t="s">
        <v>474</v>
      </c>
      <c r="K23" s="27"/>
      <c r="L23" s="27"/>
      <c r="M23" s="27"/>
      <c r="N23" s="253" t="s">
        <v>474</v>
      </c>
      <c r="O23" s="27"/>
      <c r="P23" s="27"/>
      <c r="Q23" s="27"/>
      <c r="R23" s="27"/>
      <c r="S23" s="54"/>
      <c r="T23" s="43">
        <v>467610.0</v>
      </c>
      <c r="U23" s="36">
        <v>9.0</v>
      </c>
      <c r="V23" s="36">
        <v>1.0</v>
      </c>
      <c r="W23" s="24" t="s">
        <v>251</v>
      </c>
      <c r="X23" s="28">
        <v>65.0</v>
      </c>
      <c r="Y23" s="36">
        <v>10.0</v>
      </c>
      <c r="Z23" s="36">
        <v>0.0</v>
      </c>
      <c r="AA23" s="249" t="s">
        <v>252</v>
      </c>
      <c r="AB23" s="28">
        <v>434.0</v>
      </c>
      <c r="AC23" s="36">
        <v>10.0</v>
      </c>
      <c r="AD23" s="36">
        <v>0.0</v>
      </c>
      <c r="AE23" s="24" t="s">
        <v>494</v>
      </c>
      <c r="AF23" s="28">
        <v>1231.0</v>
      </c>
      <c r="AG23" s="36">
        <v>7.0</v>
      </c>
      <c r="AH23" s="36">
        <v>0.0</v>
      </c>
      <c r="AI23" s="24" t="s">
        <v>477</v>
      </c>
      <c r="AJ23" s="28">
        <v>1.2</v>
      </c>
      <c r="AP23" s="36">
        <v>7.5</v>
      </c>
      <c r="AQ23" s="24">
        <v>6.0</v>
      </c>
      <c r="AR23" s="28">
        <f t="shared" si="34"/>
        <v>13.5</v>
      </c>
      <c r="AS23" s="21">
        <f t="shared" ref="AS23:AT23" si="49">SUM(AP23)</f>
        <v>7.5</v>
      </c>
      <c r="AT23">
        <f t="shared" si="49"/>
        <v>6</v>
      </c>
      <c r="AU23">
        <f t="shared" si="5"/>
        <v>10</v>
      </c>
      <c r="AV23">
        <f t="shared" si="6"/>
        <v>10</v>
      </c>
      <c r="AW23">
        <f t="shared" si="7"/>
        <v>10</v>
      </c>
      <c r="AX23">
        <f t="shared" si="8"/>
        <v>7</v>
      </c>
      <c r="AY23">
        <f t="shared" ref="AY23:BD23" si="50">SUM(AJ23)</f>
        <v>1.2</v>
      </c>
      <c r="AZ23">
        <f t="shared" si="50"/>
        <v>0</v>
      </c>
      <c r="BA23">
        <f t="shared" si="50"/>
        <v>0</v>
      </c>
      <c r="BB23">
        <f t="shared" si="50"/>
        <v>0</v>
      </c>
      <c r="BC23">
        <f t="shared" si="50"/>
        <v>0</v>
      </c>
      <c r="BD23">
        <f t="shared" si="50"/>
        <v>0</v>
      </c>
      <c r="BE23">
        <f t="shared" si="10"/>
        <v>13.5</v>
      </c>
      <c r="BF23" s="4"/>
      <c r="BG23" s="50">
        <f t="shared" si="11"/>
        <v>65.2</v>
      </c>
      <c r="BH23" s="32">
        <v>2.0</v>
      </c>
    </row>
    <row r="24">
      <c r="A24" s="43">
        <v>368999.0</v>
      </c>
      <c r="B24" s="256" t="s">
        <v>501</v>
      </c>
      <c r="D24" s="257" t="s">
        <v>474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53" t="s">
        <v>474</v>
      </c>
      <c r="Q24" s="253" t="s">
        <v>474</v>
      </c>
      <c r="R24" s="27"/>
      <c r="S24" s="54">
        <v>1.0</v>
      </c>
      <c r="T24" s="43">
        <v>368999.0</v>
      </c>
      <c r="U24" s="36">
        <v>9.0</v>
      </c>
      <c r="V24" s="36">
        <v>0.0</v>
      </c>
      <c r="W24" s="24" t="s">
        <v>257</v>
      </c>
      <c r="X24" s="28">
        <v>1919763.0</v>
      </c>
      <c r="Y24" s="36">
        <v>9.0</v>
      </c>
      <c r="Z24" s="36">
        <v>0.0</v>
      </c>
      <c r="AA24" s="249" t="s">
        <v>475</v>
      </c>
      <c r="AB24" s="28">
        <v>1.4167339E7</v>
      </c>
      <c r="AC24" s="36">
        <v>9.0</v>
      </c>
      <c r="AD24" s="36">
        <v>1.0</v>
      </c>
      <c r="AE24" s="24" t="s">
        <v>492</v>
      </c>
      <c r="AF24" s="28">
        <v>463883.0</v>
      </c>
      <c r="AG24" s="36">
        <v>6.0</v>
      </c>
      <c r="AH24" s="36">
        <v>0.0</v>
      </c>
      <c r="AI24" s="24" t="s">
        <v>494</v>
      </c>
      <c r="AJ24" s="28">
        <v>0.2</v>
      </c>
      <c r="AN24" s="36">
        <v>0.4</v>
      </c>
      <c r="AP24" s="36">
        <v>6.0</v>
      </c>
      <c r="AQ24" s="24">
        <v>6.0</v>
      </c>
      <c r="AR24" s="28">
        <f t="shared" si="34"/>
        <v>12</v>
      </c>
      <c r="AS24" s="21">
        <f t="shared" ref="AS24:AT24" si="51">SUM(AP24)</f>
        <v>6</v>
      </c>
      <c r="AT24">
        <f t="shared" si="51"/>
        <v>6</v>
      </c>
      <c r="AU24">
        <f t="shared" si="5"/>
        <v>9</v>
      </c>
      <c r="AV24">
        <f t="shared" si="6"/>
        <v>9</v>
      </c>
      <c r="AW24">
        <f t="shared" si="7"/>
        <v>10</v>
      </c>
      <c r="AX24">
        <f t="shared" si="8"/>
        <v>6</v>
      </c>
      <c r="AY24">
        <f t="shared" ref="AY24:BD24" si="52">SUM(AJ24)</f>
        <v>0.2</v>
      </c>
      <c r="AZ24">
        <f t="shared" si="52"/>
        <v>0</v>
      </c>
      <c r="BA24">
        <f t="shared" si="52"/>
        <v>0</v>
      </c>
      <c r="BB24">
        <f t="shared" si="52"/>
        <v>0</v>
      </c>
      <c r="BC24">
        <f t="shared" si="52"/>
        <v>0.4</v>
      </c>
      <c r="BD24">
        <f t="shared" si="52"/>
        <v>0</v>
      </c>
      <c r="BE24">
        <f t="shared" si="10"/>
        <v>12</v>
      </c>
      <c r="BF24" s="24">
        <v>2.0</v>
      </c>
      <c r="BG24" s="50">
        <f t="shared" si="11"/>
        <v>60.6</v>
      </c>
      <c r="BH24" s="32">
        <v>1.0</v>
      </c>
    </row>
    <row r="25">
      <c r="A25" s="49"/>
      <c r="B25" s="44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49"/>
      <c r="U25" s="36"/>
      <c r="V25" s="36"/>
      <c r="W25" s="36"/>
      <c r="X25" s="36"/>
      <c r="Y25" s="36"/>
      <c r="Z25" s="36"/>
      <c r="AA25" s="36"/>
      <c r="AB25" s="36"/>
      <c r="AE25" s="37"/>
      <c r="AI25" s="37"/>
      <c r="AQ25" s="36"/>
      <c r="AR25" s="36"/>
      <c r="BG25" s="39"/>
      <c r="BH25" s="32"/>
    </row>
    <row r="26">
      <c r="A26" s="49"/>
      <c r="B26" s="44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49"/>
      <c r="U26" s="36"/>
      <c r="V26" s="36"/>
      <c r="W26" s="36"/>
      <c r="X26" s="36"/>
      <c r="Y26" s="36"/>
      <c r="Z26" s="36"/>
      <c r="AA26" s="36"/>
      <c r="AB26" s="36"/>
      <c r="AE26" s="37"/>
      <c r="AI26" s="37"/>
      <c r="AP26" s="36">
        <f t="shared" ref="AP26:AQ26" si="53">COUNTA($B$4:$B$24)-COUNTIF(AP4:AP24,"&gt;=6")</f>
        <v>3</v>
      </c>
      <c r="AQ26" s="36">
        <f t="shared" si="53"/>
        <v>4</v>
      </c>
      <c r="AR26" s="36"/>
      <c r="BG26" s="39"/>
      <c r="BH26" s="32"/>
    </row>
    <row r="27">
      <c r="A27" s="43">
        <v>465058.0</v>
      </c>
      <c r="B27" s="248" t="s">
        <v>502</v>
      </c>
      <c r="C27" s="24"/>
      <c r="D27" s="25" t="s">
        <v>91</v>
      </c>
      <c r="E27" s="27" t="s">
        <v>91</v>
      </c>
      <c r="F27" s="27" t="s">
        <v>91</v>
      </c>
      <c r="G27" s="27" t="s">
        <v>91</v>
      </c>
      <c r="H27" s="27" t="s">
        <v>91</v>
      </c>
      <c r="I27" s="27" t="s">
        <v>91</v>
      </c>
      <c r="J27" s="27" t="s">
        <v>91</v>
      </c>
      <c r="K27" s="27" t="s">
        <v>91</v>
      </c>
      <c r="L27" s="27" t="s">
        <v>91</v>
      </c>
      <c r="M27" s="27" t="s">
        <v>91</v>
      </c>
      <c r="N27" s="27" t="s">
        <v>91</v>
      </c>
      <c r="O27" s="27" t="s">
        <v>91</v>
      </c>
      <c r="P27" s="27" t="s">
        <v>91</v>
      </c>
      <c r="Q27" s="27" t="s">
        <v>91</v>
      </c>
      <c r="R27" s="27" t="s">
        <v>91</v>
      </c>
      <c r="S27" s="27" t="s">
        <v>91</v>
      </c>
      <c r="T27" s="43">
        <v>465058.0</v>
      </c>
      <c r="W27" s="24"/>
      <c r="X27" s="28"/>
      <c r="AA27" s="260"/>
      <c r="AB27" s="28"/>
      <c r="AE27" s="24"/>
      <c r="AF27" s="28"/>
      <c r="AI27" s="68"/>
      <c r="AJ27" s="28"/>
      <c r="AQ27" s="24"/>
      <c r="AR27" s="30"/>
      <c r="AS27">
        <f t="shared" ref="AS27:AT27" si="54">SUM(AP27)</f>
        <v>0</v>
      </c>
      <c r="AT27">
        <f t="shared" si="54"/>
        <v>0</v>
      </c>
      <c r="AU27" s="21">
        <f t="shared" ref="AU27:AU31" si="57">SUM(U27,V27)</f>
        <v>0</v>
      </c>
      <c r="AV27">
        <f t="shared" ref="AV27:AV31" si="58">SUM(Y27,Z27)</f>
        <v>0</v>
      </c>
      <c r="AW27">
        <f t="shared" ref="AW27:AW31" si="59">SUM(AC27,AD27)</f>
        <v>0</v>
      </c>
      <c r="AX27">
        <f t="shared" ref="AX27:AX31" si="60">SUM(AG27,AH27)</f>
        <v>0</v>
      </c>
      <c r="AY27">
        <f t="shared" ref="AY27:BD27" si="55">SUM(AJ27)</f>
        <v>0</v>
      </c>
      <c r="AZ27">
        <f t="shared" si="55"/>
        <v>0</v>
      </c>
      <c r="BA27">
        <f t="shared" si="55"/>
        <v>0</v>
      </c>
      <c r="BB27">
        <f t="shared" si="55"/>
        <v>0</v>
      </c>
      <c r="BC27">
        <f t="shared" si="55"/>
        <v>0</v>
      </c>
      <c r="BD27">
        <f t="shared" si="55"/>
        <v>0</v>
      </c>
      <c r="BE27">
        <f t="shared" ref="BE27:BE31" si="62">SUM(AR27)</f>
        <v>0</v>
      </c>
      <c r="BG27" s="31">
        <f t="shared" ref="BG27:BG31" si="63">SUM(AU27:BF27)</f>
        <v>0</v>
      </c>
      <c r="BH27" s="32"/>
    </row>
    <row r="28">
      <c r="A28" s="43">
        <v>471917.0</v>
      </c>
      <c r="B28" s="248" t="s">
        <v>503</v>
      </c>
      <c r="C28" s="24"/>
      <c r="D28" s="25" t="s">
        <v>91</v>
      </c>
      <c r="E28" s="27" t="s">
        <v>91</v>
      </c>
      <c r="F28" s="27" t="s">
        <v>91</v>
      </c>
      <c r="G28" s="27" t="s">
        <v>91</v>
      </c>
      <c r="H28" s="27" t="s">
        <v>91</v>
      </c>
      <c r="I28" s="27" t="s">
        <v>91</v>
      </c>
      <c r="J28" s="27" t="s">
        <v>91</v>
      </c>
      <c r="K28" s="27" t="s">
        <v>91</v>
      </c>
      <c r="L28" s="27" t="s">
        <v>91</v>
      </c>
      <c r="M28" s="27" t="s">
        <v>91</v>
      </c>
      <c r="N28" s="27" t="s">
        <v>91</v>
      </c>
      <c r="O28" s="27" t="s">
        <v>91</v>
      </c>
      <c r="P28" s="27" t="s">
        <v>91</v>
      </c>
      <c r="Q28" s="27" t="s">
        <v>91</v>
      </c>
      <c r="R28" s="27" t="s">
        <v>91</v>
      </c>
      <c r="S28" s="27" t="s">
        <v>91</v>
      </c>
      <c r="T28" s="43">
        <v>471917.0</v>
      </c>
      <c r="W28" s="249"/>
      <c r="X28" s="28"/>
      <c r="AA28" s="249"/>
      <c r="AB28" s="28"/>
      <c r="AE28" s="68"/>
      <c r="AF28" s="28"/>
      <c r="AI28" s="63"/>
      <c r="AJ28" s="28"/>
      <c r="AQ28" s="24"/>
      <c r="AR28" s="30"/>
      <c r="AS28">
        <f t="shared" ref="AS28:AT28" si="56">SUM(AP28)</f>
        <v>0</v>
      </c>
      <c r="AT28">
        <f t="shared" si="56"/>
        <v>0</v>
      </c>
      <c r="AU28" s="21">
        <f t="shared" si="57"/>
        <v>0</v>
      </c>
      <c r="AV28">
        <f t="shared" si="58"/>
        <v>0</v>
      </c>
      <c r="AW28">
        <f t="shared" si="59"/>
        <v>0</v>
      </c>
      <c r="AX28">
        <f t="shared" si="60"/>
        <v>0</v>
      </c>
      <c r="AY28">
        <f t="shared" ref="AY28:BD28" si="61">SUM(AJ28)</f>
        <v>0</v>
      </c>
      <c r="AZ28">
        <f t="shared" si="61"/>
        <v>0</v>
      </c>
      <c r="BA28">
        <f t="shared" si="61"/>
        <v>0</v>
      </c>
      <c r="BB28">
        <f t="shared" si="61"/>
        <v>0</v>
      </c>
      <c r="BC28">
        <f t="shared" si="61"/>
        <v>0</v>
      </c>
      <c r="BD28">
        <f t="shared" si="61"/>
        <v>0</v>
      </c>
      <c r="BE28">
        <f t="shared" si="62"/>
        <v>0</v>
      </c>
      <c r="BG28" s="31">
        <f t="shared" si="63"/>
        <v>0</v>
      </c>
      <c r="BH28" s="32"/>
    </row>
    <row r="29">
      <c r="A29" s="43">
        <v>472391.0</v>
      </c>
      <c r="B29" s="261" t="s">
        <v>504</v>
      </c>
      <c r="C29" s="24"/>
      <c r="D29" s="2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54"/>
      <c r="T29" s="43">
        <v>472391.0</v>
      </c>
      <c r="W29" s="24"/>
      <c r="X29" s="28"/>
      <c r="AA29" s="249"/>
      <c r="AB29" s="28"/>
      <c r="AE29" s="24"/>
      <c r="AF29" s="28"/>
      <c r="AI29" s="33"/>
      <c r="AJ29" s="28"/>
      <c r="AQ29" s="24"/>
      <c r="AR29" s="30"/>
      <c r="AS29">
        <f t="shared" ref="AS29:AT29" si="64">SUM(AP29)</f>
        <v>0</v>
      </c>
      <c r="AT29">
        <f t="shared" si="64"/>
        <v>0</v>
      </c>
      <c r="AU29" s="21">
        <f t="shared" si="57"/>
        <v>0</v>
      </c>
      <c r="AV29">
        <f t="shared" si="58"/>
        <v>0</v>
      </c>
      <c r="AW29">
        <f t="shared" si="59"/>
        <v>0</v>
      </c>
      <c r="AX29">
        <f t="shared" si="60"/>
        <v>0</v>
      </c>
      <c r="AY29">
        <f t="shared" ref="AY29:BD29" si="65">SUM(AJ29)</f>
        <v>0</v>
      </c>
      <c r="AZ29">
        <f t="shared" si="65"/>
        <v>0</v>
      </c>
      <c r="BA29">
        <f t="shared" si="65"/>
        <v>0</v>
      </c>
      <c r="BB29">
        <f t="shared" si="65"/>
        <v>0</v>
      </c>
      <c r="BC29">
        <f t="shared" si="65"/>
        <v>0</v>
      </c>
      <c r="BD29">
        <f t="shared" si="65"/>
        <v>0</v>
      </c>
      <c r="BE29">
        <f t="shared" si="62"/>
        <v>0</v>
      </c>
      <c r="BG29" s="31">
        <f t="shared" si="63"/>
        <v>0</v>
      </c>
      <c r="BH29" s="32"/>
    </row>
    <row r="30">
      <c r="A30" s="43">
        <v>408067.0</v>
      </c>
      <c r="B30" s="261" t="s">
        <v>505</v>
      </c>
      <c r="C30" s="4"/>
      <c r="D30" s="2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54"/>
      <c r="T30" s="43">
        <v>408067.0</v>
      </c>
      <c r="W30" s="38"/>
      <c r="X30" s="21"/>
      <c r="AA30" s="251"/>
      <c r="AB30" s="21"/>
      <c r="AE30" s="38"/>
      <c r="AF30" s="21"/>
      <c r="AI30" s="38"/>
      <c r="AJ30" s="21"/>
      <c r="AQ30" s="4"/>
      <c r="AR30" s="30"/>
      <c r="AS30">
        <f t="shared" ref="AS30:AT30" si="66">SUM(AP30)</f>
        <v>0</v>
      </c>
      <c r="AT30">
        <f t="shared" si="66"/>
        <v>0</v>
      </c>
      <c r="AU30" s="21">
        <f t="shared" si="57"/>
        <v>0</v>
      </c>
      <c r="AV30">
        <f t="shared" si="58"/>
        <v>0</v>
      </c>
      <c r="AW30">
        <f t="shared" si="59"/>
        <v>0</v>
      </c>
      <c r="AX30">
        <f t="shared" si="60"/>
        <v>0</v>
      </c>
      <c r="AY30">
        <f t="shared" ref="AY30:BD30" si="67">SUM(AJ30)</f>
        <v>0</v>
      </c>
      <c r="AZ30">
        <f t="shared" si="67"/>
        <v>0</v>
      </c>
      <c r="BA30">
        <f t="shared" si="67"/>
        <v>0</v>
      </c>
      <c r="BB30">
        <f t="shared" si="67"/>
        <v>0</v>
      </c>
      <c r="BC30">
        <f t="shared" si="67"/>
        <v>0</v>
      </c>
      <c r="BD30">
        <f t="shared" si="67"/>
        <v>0</v>
      </c>
      <c r="BE30">
        <f t="shared" si="62"/>
        <v>0</v>
      </c>
      <c r="BG30" s="31">
        <f t="shared" si="63"/>
        <v>0</v>
      </c>
      <c r="BH30" s="32"/>
    </row>
    <row r="31">
      <c r="A31" s="43">
        <v>468098.0</v>
      </c>
      <c r="B31" s="261" t="s">
        <v>506</v>
      </c>
      <c r="D31" s="2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54"/>
      <c r="T31" s="43">
        <v>468098.0</v>
      </c>
      <c r="W31" s="38"/>
      <c r="X31" s="21"/>
      <c r="AA31" s="251"/>
      <c r="AB31" s="21"/>
      <c r="AE31" s="38"/>
      <c r="AF31" s="21"/>
      <c r="AI31" s="38"/>
      <c r="AJ31" s="21"/>
      <c r="AQ31" s="4"/>
      <c r="AR31" s="30"/>
      <c r="AS31">
        <f t="shared" ref="AS31:AT31" si="68">SUM(AP31)</f>
        <v>0</v>
      </c>
      <c r="AT31">
        <f t="shared" si="68"/>
        <v>0</v>
      </c>
      <c r="AU31" s="21">
        <f t="shared" si="57"/>
        <v>0</v>
      </c>
      <c r="AV31">
        <f t="shared" si="58"/>
        <v>0</v>
      </c>
      <c r="AW31">
        <f t="shared" si="59"/>
        <v>0</v>
      </c>
      <c r="AX31">
        <f t="shared" si="60"/>
        <v>0</v>
      </c>
      <c r="AY31">
        <f t="shared" ref="AY31:BD31" si="69">SUM(AJ31)</f>
        <v>0</v>
      </c>
      <c r="AZ31">
        <f t="shared" si="69"/>
        <v>0</v>
      </c>
      <c r="BA31">
        <f t="shared" si="69"/>
        <v>0</v>
      </c>
      <c r="BB31">
        <f t="shared" si="69"/>
        <v>0</v>
      </c>
      <c r="BC31">
        <f t="shared" si="69"/>
        <v>0</v>
      </c>
      <c r="BD31">
        <f t="shared" si="69"/>
        <v>0</v>
      </c>
      <c r="BE31">
        <f t="shared" si="62"/>
        <v>0</v>
      </c>
      <c r="BG31" s="31">
        <f t="shared" si="63"/>
        <v>0</v>
      </c>
      <c r="BH31" s="32"/>
    </row>
  </sheetData>
  <mergeCells count="46">
    <mergeCell ref="N2:N3"/>
    <mergeCell ref="O2:O3"/>
    <mergeCell ref="P2:P3"/>
    <mergeCell ref="Q2:Q3"/>
    <mergeCell ref="R2:R3"/>
    <mergeCell ref="S2:S3"/>
    <mergeCell ref="T2:T3"/>
    <mergeCell ref="U2:U3"/>
    <mergeCell ref="W2:W3"/>
    <mergeCell ref="X2:X3"/>
    <mergeCell ref="AA2:AA3"/>
    <mergeCell ref="AB2:AB3"/>
    <mergeCell ref="AE2:AE3"/>
    <mergeCell ref="AF2:AF3"/>
    <mergeCell ref="A1:B1"/>
    <mergeCell ref="C1:C3"/>
    <mergeCell ref="D1:S1"/>
    <mergeCell ref="T1:W1"/>
    <mergeCell ref="X1:AA1"/>
    <mergeCell ref="AB1:AE1"/>
    <mergeCell ref="AF1:AI1"/>
    <mergeCell ref="AI2:AI3"/>
    <mergeCell ref="AP2:AP3"/>
    <mergeCell ref="AQ2:AQ3"/>
    <mergeCell ref="AS1:BE2"/>
    <mergeCell ref="BG1:BG3"/>
    <mergeCell ref="BH1:BH3"/>
    <mergeCell ref="AJ2:AJ3"/>
    <mergeCell ref="AK2:AK3"/>
    <mergeCell ref="AL2:AL3"/>
    <mergeCell ref="AM2:AM3"/>
    <mergeCell ref="AR2:AR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N2:AN3"/>
    <mergeCell ref="AO2:AO3"/>
  </mergeCells>
  <conditionalFormatting sqref="AA4">
    <cfRule type="timePeriod" dxfId="0" priority="1" timePeriod="last7Days"/>
  </conditionalFormatting>
  <conditionalFormatting sqref="AE4">
    <cfRule type="timePeriod" dxfId="0" priority="2" timePeriod="last7Days"/>
  </conditionalFormatting>
  <conditionalFormatting sqref="AE4">
    <cfRule type="timePeriod" dxfId="0" priority="3" timePeriod="last7Days"/>
  </conditionalFormatting>
  <conditionalFormatting sqref="W4 AA4 AE4">
    <cfRule type="timePeriod" dxfId="0" priority="4" timePeriod="last7Days"/>
  </conditionalFormatting>
  <conditionalFormatting sqref="W4">
    <cfRule type="timePeriod" dxfId="0" priority="5" timePeriod="last7Days"/>
  </conditionalFormatting>
  <conditionalFormatting sqref="W4">
    <cfRule type="timePeriod" dxfId="0" priority="6" timePeriod="last7Days"/>
  </conditionalFormatting>
  <conditionalFormatting sqref="AE4">
    <cfRule type="timePeriod" dxfId="0" priority="7" timePeriod="last7Days"/>
  </conditionalFormatting>
  <conditionalFormatting sqref="AS4:BF31">
    <cfRule type="cellIs" dxfId="1" priority="8" operator="lessThan">
      <formula>0.1</formula>
    </cfRule>
  </conditionalFormatting>
  <conditionalFormatting sqref="AS4:BF31">
    <cfRule type="cellIs" dxfId="2" priority="9" operator="greaterThan">
      <formula>0.1</formula>
    </cfRule>
  </conditionalFormatting>
  <conditionalFormatting sqref="BG4:BH31">
    <cfRule type="cellIs" dxfId="3" priority="10" operator="between">
      <formula>60</formula>
      <formula>68</formula>
    </cfRule>
  </conditionalFormatting>
  <conditionalFormatting sqref="BG4:BH31">
    <cfRule type="cellIs" dxfId="4" priority="11" operator="between">
      <formula>68</formula>
      <formula>74</formula>
    </cfRule>
  </conditionalFormatting>
  <conditionalFormatting sqref="BG4:BH31">
    <cfRule type="cellIs" dxfId="2" priority="12" operator="between">
      <formula>74</formula>
      <formula>81</formula>
    </cfRule>
  </conditionalFormatting>
  <conditionalFormatting sqref="BG4:BH31">
    <cfRule type="cellIs" dxfId="5" priority="13" operator="between">
      <formula>81</formula>
      <formula>90</formula>
    </cfRule>
  </conditionalFormatting>
  <conditionalFormatting sqref="BG4:BH31">
    <cfRule type="cellIs" dxfId="6" priority="14" operator="greaterThan">
      <formula>90</formula>
    </cfRule>
  </conditionalFormatting>
  <conditionalFormatting sqref="AA4">
    <cfRule type="timePeriod" dxfId="0" priority="15" timePeriod="last7Days"/>
  </conditionalFormatting>
  <conditionalFormatting sqref="G4:G15 G17:G31">
    <cfRule type="containsText" dxfId="7" priority="16" operator="containsText" text="н">
      <formula>NOT(ISERROR(SEARCH(("н"),(G4))))</formula>
    </cfRule>
  </conditionalFormatting>
  <conditionalFormatting sqref="G4:G15 G17:G31">
    <cfRule type="containsText" dxfId="7" priority="17" operator="containsText" text="n">
      <formula>NOT(ISERROR(SEARCH(("n"),(G4))))</formula>
    </cfRule>
  </conditionalFormatting>
  <conditionalFormatting sqref="F4:S15 F17:F31 G27:S28">
    <cfRule type="containsText" dxfId="7" priority="18" operator="containsText" text="н">
      <formula>NOT(ISERROR(SEARCH(("н"),(F4))))</formula>
    </cfRule>
  </conditionalFormatting>
  <conditionalFormatting sqref="F4:S15 F17:F31 G27:S28">
    <cfRule type="containsText" dxfId="7" priority="19" operator="containsText" text="n">
      <formula>NOT(ISERROR(SEARCH(("n"),(F4))))</formula>
    </cfRule>
  </conditionalFormatting>
  <conditionalFormatting sqref="U4:V4">
    <cfRule type="cellIs" dxfId="8" priority="20" operator="equal">
      <formula>0</formula>
    </cfRule>
  </conditionalFormatting>
  <conditionalFormatting sqref="Y4:Z4">
    <cfRule type="cellIs" dxfId="8" priority="21" operator="equal">
      <formula>0</formula>
    </cfRule>
  </conditionalFormatting>
  <conditionalFormatting sqref="AC4:AD4">
    <cfRule type="cellIs" dxfId="8" priority="22" operator="equal">
      <formula>0</formula>
    </cfRule>
  </conditionalFormatting>
  <conditionalFormatting sqref="AG4:AH4">
    <cfRule type="cellIs" dxfId="8" priority="23" operator="equal">
      <formula>0</formula>
    </cfRule>
  </conditionalFormatting>
  <conditionalFormatting sqref="AJ4:AQ4">
    <cfRule type="cellIs" dxfId="8" priority="24" operator="equal">
      <formula>0</formula>
    </cfRule>
  </conditionalFormatting>
  <conditionalFormatting sqref="D1:S31">
    <cfRule type="containsText" dxfId="7" priority="25" operator="containsText" text="н">
      <formula>NOT(ISERROR(SEARCH(("н"),(D1))))</formula>
    </cfRule>
  </conditionalFormatting>
  <conditionalFormatting sqref="D1:S31">
    <cfRule type="containsText" dxfId="7" priority="26" operator="containsText" text="n">
      <formula>NOT(ISERROR(SEARCH(("n"),(D1))))</formula>
    </cfRule>
  </conditionalFormatting>
  <conditionalFormatting sqref="W4">
    <cfRule type="timePeriod" dxfId="0" priority="27" timePeriod="last7Days"/>
  </conditionalFormatting>
  <conditionalFormatting sqref="AA4">
    <cfRule type="timePeriod" dxfId="0" priority="28" timePeriod="last7Days"/>
  </conditionalFormatting>
  <conditionalFormatting sqref="AE4">
    <cfRule type="timePeriod" dxfId="0" priority="29" timePeriod="last7Days"/>
  </conditionalFormatting>
  <conditionalFormatting sqref="AI4">
    <cfRule type="timePeriod" dxfId="0" priority="30" timePeriod="last7Days"/>
  </conditionalFormatting>
  <conditionalFormatting sqref="BG1:BH31">
    <cfRule type="cellIs" dxfId="3" priority="31" operator="between">
      <formula>60</formula>
      <formula>68</formula>
    </cfRule>
  </conditionalFormatting>
  <conditionalFormatting sqref="AR4:AR31">
    <cfRule type="cellIs" dxfId="6" priority="32" operator="between">
      <formula>12</formula>
      <formula>1000</formula>
    </cfRule>
  </conditionalFormatting>
  <conditionalFormatting sqref="BG1:BH31">
    <cfRule type="cellIs" dxfId="4" priority="33" operator="between">
      <formula>68</formula>
      <formula>74</formula>
    </cfRule>
  </conditionalFormatting>
  <conditionalFormatting sqref="BG1:BH31">
    <cfRule type="cellIs" dxfId="2" priority="34" operator="between">
      <formula>74</formula>
      <formula>81</formula>
    </cfRule>
  </conditionalFormatting>
  <conditionalFormatting sqref="BG1:BH31">
    <cfRule type="cellIs" dxfId="5" priority="35" operator="between">
      <formula>81</formula>
      <formula>90</formula>
    </cfRule>
  </conditionalFormatting>
  <conditionalFormatting sqref="BG1:BH31">
    <cfRule type="cellIs" dxfId="6" priority="36" operator="greaterThan">
      <formula>90</formula>
    </cfRule>
  </conditionalFormatting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19" width="2.88"/>
    <col customWidth="1" min="20" max="20" width="6.88"/>
    <col customWidth="1" min="21" max="21" width="5.0"/>
    <col customWidth="1" min="22" max="22" width="3.88"/>
    <col customWidth="1" min="23" max="23" width="4.63"/>
    <col customWidth="1" min="24" max="24" width="6.5"/>
    <col customWidth="1" min="25" max="25" width="5.13"/>
    <col customWidth="1" min="26" max="26" width="4.0"/>
    <col customWidth="1" min="27" max="27" width="5.0"/>
    <col customWidth="1" min="28" max="28" width="6.38"/>
    <col customWidth="1" min="29" max="29" width="5.13"/>
    <col customWidth="1" min="30" max="30" width="4.0"/>
    <col customWidth="1" min="31" max="31" width="5.0"/>
    <col customWidth="1" min="32" max="32" width="7.63"/>
    <col customWidth="1" min="33" max="33" width="5.0"/>
    <col customWidth="1" min="34" max="34" width="4.5"/>
    <col customWidth="1" min="35" max="35" width="5.0"/>
    <col customWidth="1" min="36" max="36" width="5.63"/>
    <col customWidth="1" min="37" max="37" width="5.13"/>
    <col customWidth="1" min="38" max="38" width="5.38"/>
    <col customWidth="1" min="39" max="39" width="5.0"/>
    <col customWidth="1" min="40" max="41" width="5.38"/>
    <col customWidth="1" min="42" max="43" width="5.88"/>
    <col customWidth="1" min="44" max="44" width="5.63"/>
    <col customWidth="1" min="45" max="45" width="4.5"/>
    <col customWidth="1" min="46" max="46" width="4.38"/>
    <col customWidth="1" min="47" max="51" width="4.25"/>
    <col customWidth="1" min="52" max="52" width="4.63"/>
    <col customWidth="1" min="53" max="53" width="4.5"/>
    <col customWidth="1" min="54" max="55" width="4.63"/>
    <col customWidth="1" min="56" max="56" width="4.5"/>
    <col customWidth="1" min="57" max="58" width="4.38"/>
    <col customWidth="1" min="59" max="59" width="6.63"/>
    <col customWidth="1" min="60" max="60" width="3.25"/>
  </cols>
  <sheetData>
    <row r="1">
      <c r="A1" s="1" t="s">
        <v>507</v>
      </c>
      <c r="C1" s="2" t="s">
        <v>1</v>
      </c>
      <c r="D1" s="3" t="s">
        <v>2</v>
      </c>
      <c r="S1" s="4"/>
      <c r="T1" s="5" t="s">
        <v>3</v>
      </c>
      <c r="W1" s="4"/>
      <c r="X1" s="5" t="s">
        <v>4</v>
      </c>
      <c r="AA1" s="4"/>
      <c r="AB1" s="5" t="s">
        <v>5</v>
      </c>
      <c r="AE1" s="4"/>
      <c r="AF1" s="5" t="s">
        <v>6</v>
      </c>
      <c r="AI1" s="4"/>
      <c r="AJ1" s="3" t="s">
        <v>7</v>
      </c>
      <c r="AK1" s="6" t="s">
        <v>8</v>
      </c>
      <c r="AL1" s="6" t="s">
        <v>9</v>
      </c>
      <c r="AM1" s="6" t="s">
        <v>10</v>
      </c>
      <c r="AN1" s="6" t="s">
        <v>11</v>
      </c>
      <c r="AO1" s="6" t="s">
        <v>12</v>
      </c>
      <c r="AP1" s="6" t="s">
        <v>13</v>
      </c>
      <c r="AQ1" s="7" t="s">
        <v>14</v>
      </c>
      <c r="AR1" s="3" t="s">
        <v>15</v>
      </c>
      <c r="AS1" s="3" t="s">
        <v>16</v>
      </c>
      <c r="BF1" s="7"/>
      <c r="BG1" s="41" t="s">
        <v>17</v>
      </c>
      <c r="BH1" s="10" t="s">
        <v>18</v>
      </c>
    </row>
    <row r="2">
      <c r="A2" s="11" t="s">
        <v>19</v>
      </c>
      <c r="B2" s="11" t="s">
        <v>20</v>
      </c>
      <c r="C2" s="4"/>
      <c r="D2" s="12">
        <v>45905.0</v>
      </c>
      <c r="E2" s="12">
        <f t="shared" ref="E2:S2" si="1">D2+7</f>
        <v>45912</v>
      </c>
      <c r="F2" s="12">
        <f t="shared" si="1"/>
        <v>45919</v>
      </c>
      <c r="G2" s="12">
        <f t="shared" si="1"/>
        <v>45926</v>
      </c>
      <c r="H2" s="12">
        <f t="shared" si="1"/>
        <v>45933</v>
      </c>
      <c r="I2" s="12">
        <f t="shared" si="1"/>
        <v>45940</v>
      </c>
      <c r="J2" s="12">
        <f t="shared" si="1"/>
        <v>45947</v>
      </c>
      <c r="K2" s="12">
        <f t="shared" si="1"/>
        <v>45954</v>
      </c>
      <c r="L2" s="12">
        <f t="shared" si="1"/>
        <v>45961</v>
      </c>
      <c r="M2" s="12">
        <f t="shared" si="1"/>
        <v>45968</v>
      </c>
      <c r="N2" s="12">
        <f t="shared" si="1"/>
        <v>45975</v>
      </c>
      <c r="O2" s="12">
        <f t="shared" si="1"/>
        <v>45982</v>
      </c>
      <c r="P2" s="12">
        <f t="shared" si="1"/>
        <v>45989</v>
      </c>
      <c r="Q2" s="12">
        <f t="shared" si="1"/>
        <v>45996</v>
      </c>
      <c r="R2" s="12">
        <f t="shared" si="1"/>
        <v>46003</v>
      </c>
      <c r="S2" s="12">
        <f t="shared" si="1"/>
        <v>46010</v>
      </c>
      <c r="T2" s="14" t="s">
        <v>21</v>
      </c>
      <c r="U2" s="15" t="s">
        <v>22</v>
      </c>
      <c r="V2" s="15" t="s">
        <v>23</v>
      </c>
      <c r="W2" s="16" t="s">
        <v>24</v>
      </c>
      <c r="X2" s="14" t="s">
        <v>21</v>
      </c>
      <c r="Y2" s="15" t="s">
        <v>22</v>
      </c>
      <c r="Z2" s="15" t="s">
        <v>23</v>
      </c>
      <c r="AA2" s="16" t="s">
        <v>24</v>
      </c>
      <c r="AB2" s="14" t="s">
        <v>21</v>
      </c>
      <c r="AC2" s="15" t="s">
        <v>22</v>
      </c>
      <c r="AD2" s="15" t="s">
        <v>23</v>
      </c>
      <c r="AE2" s="16" t="s">
        <v>24</v>
      </c>
      <c r="AF2" s="14" t="s">
        <v>21</v>
      </c>
      <c r="AG2" s="15" t="s">
        <v>22</v>
      </c>
      <c r="AH2" s="15" t="s">
        <v>23</v>
      </c>
      <c r="AI2" s="16" t="s">
        <v>24</v>
      </c>
      <c r="AJ2" s="17" t="s">
        <v>25</v>
      </c>
      <c r="AK2" s="18" t="s">
        <v>25</v>
      </c>
      <c r="AL2" s="18" t="s">
        <v>25</v>
      </c>
      <c r="AM2" s="18" t="s">
        <v>25</v>
      </c>
      <c r="AN2" s="18" t="s">
        <v>25</v>
      </c>
      <c r="AO2" s="18" t="s">
        <v>25</v>
      </c>
      <c r="AP2" s="15" t="s">
        <v>26</v>
      </c>
      <c r="AQ2" s="19" t="s">
        <v>26</v>
      </c>
      <c r="AR2" s="14" t="s">
        <v>27</v>
      </c>
      <c r="AS2" s="21"/>
      <c r="BF2" s="7"/>
      <c r="BG2" s="4"/>
    </row>
    <row r="3">
      <c r="C3" s="4"/>
      <c r="T3" s="21"/>
      <c r="U3" s="15" t="s">
        <v>26</v>
      </c>
      <c r="V3" s="15" t="s">
        <v>28</v>
      </c>
      <c r="W3" s="4"/>
      <c r="X3" s="21"/>
      <c r="Y3" s="15" t="s">
        <v>26</v>
      </c>
      <c r="Z3" s="15" t="s">
        <v>28</v>
      </c>
      <c r="AA3" s="4"/>
      <c r="AB3" s="21"/>
      <c r="AC3" s="15" t="s">
        <v>26</v>
      </c>
      <c r="AD3" s="15" t="s">
        <v>28</v>
      </c>
      <c r="AE3" s="4"/>
      <c r="AF3" s="21"/>
      <c r="AG3" s="15" t="s">
        <v>26</v>
      </c>
      <c r="AH3" s="15" t="s">
        <v>28</v>
      </c>
      <c r="AI3" s="4"/>
      <c r="AJ3" s="21"/>
      <c r="AQ3" s="4"/>
      <c r="AR3" s="21"/>
      <c r="AS3" s="17" t="s">
        <v>29</v>
      </c>
      <c r="AT3" s="18" t="s">
        <v>30</v>
      </c>
      <c r="AU3" s="18" t="s">
        <v>3</v>
      </c>
      <c r="AV3" s="18" t="s">
        <v>4</v>
      </c>
      <c r="AW3" s="18" t="s">
        <v>5</v>
      </c>
      <c r="AX3" s="18" t="s">
        <v>6</v>
      </c>
      <c r="AY3" s="18" t="s">
        <v>7</v>
      </c>
      <c r="AZ3" s="18" t="s">
        <v>8</v>
      </c>
      <c r="BA3" s="18" t="s">
        <v>9</v>
      </c>
      <c r="BB3" s="18" t="s">
        <v>10</v>
      </c>
      <c r="BC3" s="18" t="s">
        <v>11</v>
      </c>
      <c r="BD3" s="18" t="s">
        <v>12</v>
      </c>
      <c r="BE3" s="18" t="s">
        <v>31</v>
      </c>
      <c r="BF3" s="23" t="s">
        <v>23</v>
      </c>
      <c r="BG3" s="4"/>
    </row>
    <row r="4">
      <c r="A4" s="43">
        <v>465346.0</v>
      </c>
      <c r="B4" s="262" t="s">
        <v>508</v>
      </c>
      <c r="C4" s="24"/>
      <c r="D4" s="25"/>
      <c r="E4" s="27"/>
      <c r="F4" s="27"/>
      <c r="G4" s="27"/>
      <c r="H4" s="27"/>
      <c r="I4" s="27"/>
      <c r="J4" s="27" t="s">
        <v>57</v>
      </c>
      <c r="K4" s="27" t="s">
        <v>57</v>
      </c>
      <c r="L4" s="27"/>
      <c r="M4" s="27"/>
      <c r="N4" s="27"/>
      <c r="O4" s="27" t="s">
        <v>57</v>
      </c>
      <c r="P4" s="27"/>
      <c r="Q4" s="27"/>
      <c r="R4" s="27"/>
      <c r="S4" s="27"/>
      <c r="T4" s="43">
        <v>465346.0</v>
      </c>
      <c r="U4" s="36">
        <v>10.0</v>
      </c>
      <c r="V4" s="36" t="s">
        <v>509</v>
      </c>
      <c r="W4" s="68"/>
      <c r="X4" s="28">
        <v>8394.0</v>
      </c>
      <c r="Y4" s="36">
        <v>10.0</v>
      </c>
      <c r="Z4" s="36">
        <v>1.0</v>
      </c>
      <c r="AA4" s="24" t="s">
        <v>252</v>
      </c>
      <c r="AB4" s="28">
        <v>8394.0</v>
      </c>
      <c r="AC4" s="36">
        <v>9.0</v>
      </c>
      <c r="AE4" s="24" t="s">
        <v>492</v>
      </c>
      <c r="AF4" s="28">
        <v>123.0</v>
      </c>
      <c r="AG4" s="29">
        <v>6.0</v>
      </c>
      <c r="AI4" s="24" t="s">
        <v>510</v>
      </c>
      <c r="AJ4" s="28">
        <v>0.6</v>
      </c>
      <c r="AP4" s="36">
        <v>8.0</v>
      </c>
      <c r="AQ4" s="24">
        <v>7.83</v>
      </c>
      <c r="AR4" s="28">
        <f>SUM(AP4:AQ4)</f>
        <v>15.83</v>
      </c>
      <c r="AS4" s="21">
        <f t="shared" ref="AS4:AT4" si="2">SUM(AP4)</f>
        <v>8</v>
      </c>
      <c r="AT4">
        <f t="shared" si="2"/>
        <v>7.83</v>
      </c>
      <c r="AU4">
        <f t="shared" ref="AU4:AU24" si="5">SUM(U4,V4)</f>
        <v>10</v>
      </c>
      <c r="AV4">
        <f t="shared" ref="AV4:AV24" si="6">SUM(Y4,Z4)</f>
        <v>11</v>
      </c>
      <c r="AW4">
        <f t="shared" ref="AW4:AW24" si="7">SUM(AC4,AD4)</f>
        <v>9</v>
      </c>
      <c r="AX4">
        <f t="shared" ref="AX4:AX24" si="8">SUM(AG4,AH4)</f>
        <v>6</v>
      </c>
      <c r="AY4">
        <f t="shared" ref="AY4:BD4" si="3">SUM(AJ4)</f>
        <v>0.6</v>
      </c>
      <c r="AZ4">
        <f t="shared" si="3"/>
        <v>0</v>
      </c>
      <c r="BA4">
        <f t="shared" si="3"/>
        <v>0</v>
      </c>
      <c r="BB4">
        <f t="shared" si="3"/>
        <v>0</v>
      </c>
      <c r="BC4">
        <f t="shared" si="3"/>
        <v>0</v>
      </c>
      <c r="BD4">
        <f t="shared" si="3"/>
        <v>0</v>
      </c>
      <c r="BE4">
        <f t="shared" ref="BE4:BE24" si="10">SUM(AR4)</f>
        <v>15.83</v>
      </c>
      <c r="BF4" s="4"/>
      <c r="BG4" s="50">
        <f t="shared" ref="BG4:BG24" si="11">SUM(AS4:BF4)</f>
        <v>68.26</v>
      </c>
      <c r="BH4" s="32">
        <v>2.0</v>
      </c>
    </row>
    <row r="5">
      <c r="A5" s="43">
        <v>407868.0</v>
      </c>
      <c r="B5" s="262" t="s">
        <v>511</v>
      </c>
      <c r="C5" s="24"/>
      <c r="D5" s="25" t="s">
        <v>55</v>
      </c>
      <c r="E5" s="27" t="s">
        <v>55</v>
      </c>
      <c r="F5" s="27"/>
      <c r="G5" s="27"/>
      <c r="H5" s="27"/>
      <c r="I5" s="27"/>
      <c r="J5" s="27"/>
      <c r="K5" s="27"/>
      <c r="L5" s="27"/>
      <c r="M5" s="27"/>
      <c r="N5" s="27" t="s">
        <v>55</v>
      </c>
      <c r="O5" s="27" t="s">
        <v>57</v>
      </c>
      <c r="P5" s="27" t="s">
        <v>57</v>
      </c>
      <c r="Q5" s="27"/>
      <c r="R5" s="27" t="s">
        <v>57</v>
      </c>
      <c r="S5" s="27"/>
      <c r="T5" s="43">
        <v>407868.0</v>
      </c>
      <c r="U5" s="36">
        <v>9.5</v>
      </c>
      <c r="W5" s="24"/>
      <c r="X5" s="28">
        <v>991.0</v>
      </c>
      <c r="Y5" s="36">
        <v>8.8</v>
      </c>
      <c r="AA5" s="67"/>
      <c r="AB5" s="28">
        <v>1922.0</v>
      </c>
      <c r="AC5" s="36">
        <v>7.0</v>
      </c>
      <c r="AE5" s="24" t="s">
        <v>512</v>
      </c>
      <c r="AF5" s="28">
        <v>8.0</v>
      </c>
      <c r="AG5" s="36">
        <v>6.0</v>
      </c>
      <c r="AI5" s="24" t="s">
        <v>510</v>
      </c>
      <c r="AJ5" s="28">
        <v>1.1</v>
      </c>
      <c r="AK5" s="36">
        <v>0.4</v>
      </c>
      <c r="AN5" s="36">
        <v>0.01</v>
      </c>
      <c r="AO5" s="36">
        <v>0.01</v>
      </c>
      <c r="AP5" s="36">
        <v>6.0</v>
      </c>
      <c r="AQ5" s="24">
        <v>0.01</v>
      </c>
      <c r="AR5" s="28"/>
      <c r="AS5" s="21">
        <f t="shared" ref="AS5:AT5" si="4">SUM(AP5)</f>
        <v>6</v>
      </c>
      <c r="AT5">
        <f t="shared" si="4"/>
        <v>0.01</v>
      </c>
      <c r="AU5">
        <f t="shared" si="5"/>
        <v>9.5</v>
      </c>
      <c r="AV5">
        <f t="shared" si="6"/>
        <v>8.8</v>
      </c>
      <c r="AW5">
        <f t="shared" si="7"/>
        <v>7</v>
      </c>
      <c r="AX5">
        <f t="shared" si="8"/>
        <v>6</v>
      </c>
      <c r="AY5">
        <f t="shared" ref="AY5:BD5" si="9">SUM(AJ5)</f>
        <v>1.1</v>
      </c>
      <c r="AZ5">
        <f t="shared" si="9"/>
        <v>0.4</v>
      </c>
      <c r="BA5">
        <f t="shared" si="9"/>
        <v>0</v>
      </c>
      <c r="BB5">
        <f t="shared" si="9"/>
        <v>0</v>
      </c>
      <c r="BC5">
        <f t="shared" si="9"/>
        <v>0.01</v>
      </c>
      <c r="BD5">
        <f t="shared" si="9"/>
        <v>0.01</v>
      </c>
      <c r="BE5">
        <f t="shared" si="10"/>
        <v>0</v>
      </c>
      <c r="BF5" s="4"/>
      <c r="BG5" s="50">
        <f t="shared" si="11"/>
        <v>38.83</v>
      </c>
      <c r="BH5" s="32"/>
    </row>
    <row r="6">
      <c r="A6" s="43">
        <v>465824.0</v>
      </c>
      <c r="B6" s="263" t="s">
        <v>513</v>
      </c>
      <c r="C6" s="24"/>
      <c r="D6" s="25" t="s">
        <v>55</v>
      </c>
      <c r="E6" s="27" t="s">
        <v>55</v>
      </c>
      <c r="F6" s="27" t="s">
        <v>55</v>
      </c>
      <c r="G6" s="27" t="s">
        <v>57</v>
      </c>
      <c r="H6" s="27" t="s">
        <v>57</v>
      </c>
      <c r="I6" s="27" t="s">
        <v>55</v>
      </c>
      <c r="J6" s="27"/>
      <c r="K6" s="27" t="s">
        <v>57</v>
      </c>
      <c r="L6" s="36" t="s">
        <v>57</v>
      </c>
      <c r="M6" s="27"/>
      <c r="N6" s="27" t="s">
        <v>57</v>
      </c>
      <c r="O6" s="27" t="s">
        <v>57</v>
      </c>
      <c r="P6" s="27"/>
      <c r="Q6" s="27" t="s">
        <v>55</v>
      </c>
      <c r="R6" s="27" t="s">
        <v>55</v>
      </c>
      <c r="S6" s="27" t="s">
        <v>57</v>
      </c>
      <c r="T6" s="43">
        <v>465824.0</v>
      </c>
      <c r="U6" s="36">
        <v>9.0</v>
      </c>
      <c r="V6" s="36">
        <v>1.0</v>
      </c>
      <c r="W6" s="24" t="s">
        <v>514</v>
      </c>
      <c r="X6" s="28">
        <v>2824.0</v>
      </c>
      <c r="Y6" s="36">
        <v>10.0</v>
      </c>
      <c r="Z6" s="36">
        <v>1.0</v>
      </c>
      <c r="AA6" s="24" t="s">
        <v>515</v>
      </c>
      <c r="AB6" s="28">
        <v>3465.0</v>
      </c>
      <c r="AC6" s="36">
        <v>9.5</v>
      </c>
      <c r="AD6" s="36">
        <v>2.0</v>
      </c>
      <c r="AE6" s="24">
        <v>14.11</v>
      </c>
      <c r="AF6" s="28">
        <v>4824.0</v>
      </c>
      <c r="AG6" s="36">
        <v>8.75</v>
      </c>
      <c r="AH6" s="36">
        <v>2.0</v>
      </c>
      <c r="AI6" s="24">
        <v>27.12</v>
      </c>
      <c r="AJ6" s="28">
        <v>1.8</v>
      </c>
      <c r="AK6" s="36">
        <v>1.8</v>
      </c>
      <c r="AL6" s="36">
        <v>1.3</v>
      </c>
      <c r="AM6" s="36">
        <v>1.3</v>
      </c>
      <c r="AO6" s="36">
        <v>2.0</v>
      </c>
      <c r="AP6" s="36">
        <v>9.5</v>
      </c>
      <c r="AQ6" s="24">
        <v>8.04</v>
      </c>
      <c r="AR6" s="28">
        <f>SUM(AP6:AQ6)+1</f>
        <v>18.54</v>
      </c>
      <c r="AS6" s="21">
        <f t="shared" ref="AS6:AT6" si="12">SUM(AP6)</f>
        <v>9.5</v>
      </c>
      <c r="AT6">
        <f t="shared" si="12"/>
        <v>8.04</v>
      </c>
      <c r="AU6">
        <f t="shared" si="5"/>
        <v>10</v>
      </c>
      <c r="AV6">
        <f t="shared" si="6"/>
        <v>11</v>
      </c>
      <c r="AW6">
        <f t="shared" si="7"/>
        <v>11.5</v>
      </c>
      <c r="AX6">
        <f t="shared" si="8"/>
        <v>10.75</v>
      </c>
      <c r="AY6">
        <f t="shared" ref="AY6:BD6" si="13">SUM(AJ6)</f>
        <v>1.8</v>
      </c>
      <c r="AZ6">
        <f t="shared" si="13"/>
        <v>1.8</v>
      </c>
      <c r="BA6">
        <f t="shared" si="13"/>
        <v>1.3</v>
      </c>
      <c r="BB6">
        <f t="shared" si="13"/>
        <v>1.3</v>
      </c>
      <c r="BC6">
        <f t="shared" si="13"/>
        <v>0</v>
      </c>
      <c r="BD6">
        <f t="shared" si="13"/>
        <v>2</v>
      </c>
      <c r="BE6">
        <f t="shared" si="10"/>
        <v>18.54</v>
      </c>
      <c r="BF6" s="24">
        <v>3.0</v>
      </c>
      <c r="BG6" s="50">
        <f t="shared" si="11"/>
        <v>90.53</v>
      </c>
      <c r="BH6" s="32">
        <v>1.0</v>
      </c>
    </row>
    <row r="7">
      <c r="A7" s="43">
        <v>465871.0</v>
      </c>
      <c r="B7" s="262" t="s">
        <v>516</v>
      </c>
      <c r="C7" s="24"/>
      <c r="D7" s="25"/>
      <c r="E7" s="27"/>
      <c r="F7" s="27"/>
      <c r="G7" s="27"/>
      <c r="H7" s="27"/>
      <c r="I7" s="27"/>
      <c r="J7" s="27"/>
      <c r="K7" s="27"/>
      <c r="L7" s="27"/>
      <c r="M7" s="27"/>
      <c r="N7" s="27" t="s">
        <v>55</v>
      </c>
      <c r="O7" s="27" t="s">
        <v>57</v>
      </c>
      <c r="P7" s="27"/>
      <c r="Q7" s="27" t="s">
        <v>57</v>
      </c>
      <c r="R7" s="27" t="s">
        <v>57</v>
      </c>
      <c r="S7" s="27"/>
      <c r="T7" s="43">
        <v>465871.0</v>
      </c>
      <c r="U7" s="36">
        <v>9.5</v>
      </c>
      <c r="W7" s="24" t="s">
        <v>252</v>
      </c>
      <c r="X7" s="28">
        <v>34571.0</v>
      </c>
      <c r="Y7" s="36">
        <v>9.8</v>
      </c>
      <c r="AA7" s="24">
        <v>5.12</v>
      </c>
      <c r="AB7" s="28">
        <v>3517.0</v>
      </c>
      <c r="AC7" s="36">
        <v>7.0</v>
      </c>
      <c r="AE7" s="24" t="s">
        <v>512</v>
      </c>
      <c r="AF7" s="28">
        <v>123.0</v>
      </c>
      <c r="AG7" s="36">
        <v>6.0</v>
      </c>
      <c r="AI7" s="24" t="s">
        <v>510</v>
      </c>
      <c r="AJ7" s="28"/>
      <c r="AM7" s="36">
        <v>1.2</v>
      </c>
      <c r="AP7" s="36">
        <v>6.0</v>
      </c>
      <c r="AQ7" s="24">
        <v>6.0</v>
      </c>
      <c r="AR7" s="28">
        <f t="shared" ref="AR7:AR8" si="16">SUM(AP7:AQ7)</f>
        <v>12</v>
      </c>
      <c r="AS7" s="21">
        <f t="shared" ref="AS7:AT7" si="14">SUM(AP7)</f>
        <v>6</v>
      </c>
      <c r="AT7">
        <f t="shared" si="14"/>
        <v>6</v>
      </c>
      <c r="AU7">
        <f t="shared" si="5"/>
        <v>9.5</v>
      </c>
      <c r="AV7">
        <f t="shared" si="6"/>
        <v>9.8</v>
      </c>
      <c r="AW7">
        <f t="shared" si="7"/>
        <v>7</v>
      </c>
      <c r="AX7">
        <f t="shared" si="8"/>
        <v>6</v>
      </c>
      <c r="AY7">
        <f t="shared" ref="AY7:BD7" si="15">SUM(AJ7)</f>
        <v>0</v>
      </c>
      <c r="AZ7">
        <f t="shared" si="15"/>
        <v>0</v>
      </c>
      <c r="BA7">
        <f t="shared" si="15"/>
        <v>0</v>
      </c>
      <c r="BB7">
        <f t="shared" si="15"/>
        <v>1.2</v>
      </c>
      <c r="BC7">
        <f t="shared" si="15"/>
        <v>0</v>
      </c>
      <c r="BD7">
        <f t="shared" si="15"/>
        <v>0</v>
      </c>
      <c r="BE7">
        <f t="shared" si="10"/>
        <v>12</v>
      </c>
      <c r="BF7" s="24">
        <v>3.0</v>
      </c>
      <c r="BG7" s="50">
        <f t="shared" si="11"/>
        <v>60.5</v>
      </c>
      <c r="BH7" s="32">
        <v>2.0</v>
      </c>
    </row>
    <row r="8">
      <c r="A8" s="43">
        <v>463221.0</v>
      </c>
      <c r="B8" s="263" t="s">
        <v>517</v>
      </c>
      <c r="C8" s="24"/>
      <c r="D8" s="25" t="s">
        <v>55</v>
      </c>
      <c r="E8" s="27"/>
      <c r="F8" s="27"/>
      <c r="G8" s="27" t="s">
        <v>55</v>
      </c>
      <c r="H8" s="27" t="s">
        <v>57</v>
      </c>
      <c r="I8" s="27" t="s">
        <v>57</v>
      </c>
      <c r="J8" s="27" t="s">
        <v>55</v>
      </c>
      <c r="K8" s="27" t="s">
        <v>57</v>
      </c>
      <c r="L8" s="27" t="s">
        <v>55</v>
      </c>
      <c r="M8" s="27" t="s">
        <v>57</v>
      </c>
      <c r="N8" s="27"/>
      <c r="O8" s="27" t="s">
        <v>57</v>
      </c>
      <c r="P8" s="27" t="s">
        <v>57</v>
      </c>
      <c r="Q8" s="27"/>
      <c r="R8" s="27" t="s">
        <v>57</v>
      </c>
      <c r="S8" s="27" t="s">
        <v>57</v>
      </c>
      <c r="T8" s="49">
        <v>463221.0</v>
      </c>
      <c r="U8" s="36">
        <v>10.0</v>
      </c>
      <c r="V8" s="36">
        <v>1.0</v>
      </c>
      <c r="W8" s="24" t="s">
        <v>518</v>
      </c>
      <c r="X8" s="28">
        <v>2463.0</v>
      </c>
      <c r="Y8" s="36">
        <v>9.5</v>
      </c>
      <c r="Z8" s="36">
        <v>0.0</v>
      </c>
      <c r="AA8" s="24" t="s">
        <v>519</v>
      </c>
      <c r="AB8" s="28">
        <v>3221.0</v>
      </c>
      <c r="AC8" s="36">
        <v>9.75</v>
      </c>
      <c r="AD8" s="36">
        <v>1.0</v>
      </c>
      <c r="AE8" s="24">
        <v>19.12</v>
      </c>
      <c r="AF8" s="28">
        <v>4221.0</v>
      </c>
      <c r="AG8" s="36">
        <v>9.0</v>
      </c>
      <c r="AH8" s="36">
        <v>1.0</v>
      </c>
      <c r="AI8" s="24">
        <v>27.12</v>
      </c>
      <c r="AJ8" s="28"/>
      <c r="AL8" s="36">
        <v>0.1</v>
      </c>
      <c r="AM8" s="36">
        <v>0.01</v>
      </c>
      <c r="AO8" s="36">
        <v>0.01</v>
      </c>
      <c r="AP8" s="36">
        <v>6.0</v>
      </c>
      <c r="AQ8" s="24">
        <v>6.0</v>
      </c>
      <c r="AR8" s="28">
        <f t="shared" si="16"/>
        <v>12</v>
      </c>
      <c r="AS8" s="21">
        <f t="shared" ref="AS8:AT8" si="17">SUM(AP8)</f>
        <v>6</v>
      </c>
      <c r="AT8">
        <f t="shared" si="17"/>
        <v>6</v>
      </c>
      <c r="AU8">
        <f t="shared" si="5"/>
        <v>11</v>
      </c>
      <c r="AV8">
        <f t="shared" si="6"/>
        <v>9.5</v>
      </c>
      <c r="AW8">
        <f t="shared" si="7"/>
        <v>10.75</v>
      </c>
      <c r="AX8">
        <f t="shared" si="8"/>
        <v>10</v>
      </c>
      <c r="AY8">
        <f t="shared" ref="AY8:BD8" si="18">SUM(AJ8)</f>
        <v>0</v>
      </c>
      <c r="AZ8">
        <f t="shared" si="18"/>
        <v>0</v>
      </c>
      <c r="BA8">
        <f t="shared" si="18"/>
        <v>0.1</v>
      </c>
      <c r="BB8">
        <f t="shared" si="18"/>
        <v>0.01</v>
      </c>
      <c r="BC8">
        <f t="shared" si="18"/>
        <v>0</v>
      </c>
      <c r="BD8">
        <f t="shared" si="18"/>
        <v>0.01</v>
      </c>
      <c r="BE8">
        <f t="shared" si="10"/>
        <v>12</v>
      </c>
      <c r="BF8" s="4"/>
      <c r="BG8" s="50">
        <f t="shared" si="11"/>
        <v>65.37</v>
      </c>
      <c r="BH8" s="32">
        <v>1.0</v>
      </c>
    </row>
    <row r="9">
      <c r="A9" s="43">
        <v>407796.0</v>
      </c>
      <c r="B9" s="262" t="s">
        <v>520</v>
      </c>
      <c r="C9" s="4"/>
      <c r="D9" s="25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43">
        <v>407796.0</v>
      </c>
      <c r="U9" s="58"/>
      <c r="V9" s="58"/>
      <c r="W9" s="132"/>
      <c r="X9" s="60"/>
      <c r="Y9" s="58"/>
      <c r="Z9" s="58"/>
      <c r="AA9" s="132"/>
      <c r="AB9" s="60"/>
      <c r="AE9" s="24"/>
      <c r="AF9" s="28"/>
      <c r="AI9" s="63"/>
      <c r="AJ9" s="21"/>
      <c r="AN9" s="36">
        <v>0.01</v>
      </c>
      <c r="AQ9" s="24"/>
      <c r="AR9" s="28"/>
      <c r="AS9" s="21">
        <f t="shared" ref="AS9:AT9" si="19">SUM(AP9)</f>
        <v>0</v>
      </c>
      <c r="AT9">
        <f t="shared" si="19"/>
        <v>0</v>
      </c>
      <c r="AU9">
        <f t="shared" si="5"/>
        <v>0</v>
      </c>
      <c r="AV9">
        <f t="shared" si="6"/>
        <v>0</v>
      </c>
      <c r="AW9">
        <f t="shared" si="7"/>
        <v>0</v>
      </c>
      <c r="AX9">
        <f t="shared" si="8"/>
        <v>0</v>
      </c>
      <c r="AY9">
        <f t="shared" ref="AY9:BD9" si="20">SUM(AJ9)</f>
        <v>0</v>
      </c>
      <c r="AZ9">
        <f t="shared" si="20"/>
        <v>0</v>
      </c>
      <c r="BA9">
        <f t="shared" si="20"/>
        <v>0</v>
      </c>
      <c r="BB9">
        <f t="shared" si="20"/>
        <v>0</v>
      </c>
      <c r="BC9">
        <f t="shared" si="20"/>
        <v>0.01</v>
      </c>
      <c r="BD9">
        <f t="shared" si="20"/>
        <v>0</v>
      </c>
      <c r="BE9">
        <f t="shared" si="10"/>
        <v>0</v>
      </c>
      <c r="BF9" s="4"/>
      <c r="BG9" s="50">
        <f t="shared" si="11"/>
        <v>0.01</v>
      </c>
      <c r="BH9" s="32"/>
    </row>
    <row r="10">
      <c r="A10" s="36">
        <v>414219.0</v>
      </c>
      <c r="B10" s="264" t="s">
        <v>521</v>
      </c>
      <c r="D10" s="25" t="s">
        <v>55</v>
      </c>
      <c r="E10" s="27" t="s">
        <v>57</v>
      </c>
      <c r="F10" s="27" t="s">
        <v>57</v>
      </c>
      <c r="G10" s="27"/>
      <c r="H10" s="27"/>
      <c r="I10" s="27" t="s">
        <v>57</v>
      </c>
      <c r="J10" s="27" t="s">
        <v>57</v>
      </c>
      <c r="K10" s="27"/>
      <c r="L10" s="27" t="s">
        <v>55</v>
      </c>
      <c r="M10" s="27"/>
      <c r="N10" s="27" t="s">
        <v>57</v>
      </c>
      <c r="O10" s="27" t="s">
        <v>57</v>
      </c>
      <c r="P10" s="27" t="s">
        <v>57</v>
      </c>
      <c r="Q10" s="27" t="s">
        <v>57</v>
      </c>
      <c r="R10" s="27" t="s">
        <v>57</v>
      </c>
      <c r="S10" s="27" t="s">
        <v>55</v>
      </c>
      <c r="T10" s="36">
        <v>414219.0</v>
      </c>
      <c r="U10" s="36">
        <v>10.0</v>
      </c>
      <c r="V10" s="36">
        <v>2.0</v>
      </c>
      <c r="W10" s="24">
        <v>19.09</v>
      </c>
      <c r="X10" s="28">
        <v>2219.0</v>
      </c>
      <c r="Y10" s="36">
        <v>10.0</v>
      </c>
      <c r="Z10" s="36">
        <v>2.0</v>
      </c>
      <c r="AA10" s="24" t="s">
        <v>522</v>
      </c>
      <c r="AB10" s="28">
        <v>3414.0</v>
      </c>
      <c r="AC10" s="36">
        <v>10.0</v>
      </c>
      <c r="AD10" s="36">
        <v>2.0</v>
      </c>
      <c r="AE10" s="24">
        <v>14.11</v>
      </c>
      <c r="AF10" s="28">
        <v>4414.0</v>
      </c>
      <c r="AG10" s="36">
        <v>10.0</v>
      </c>
      <c r="AH10" s="36">
        <v>2.0</v>
      </c>
      <c r="AI10" s="24">
        <v>19.12</v>
      </c>
      <c r="AJ10" s="28">
        <v>0.9</v>
      </c>
      <c r="AP10" s="36">
        <v>6.0</v>
      </c>
      <c r="AQ10" s="24">
        <v>7.75</v>
      </c>
      <c r="AR10" s="28">
        <f t="shared" ref="AR10:AR11" si="23">SUM(AP10:AQ10)</f>
        <v>13.75</v>
      </c>
      <c r="AS10" s="21">
        <f t="shared" ref="AS10:AT10" si="21">SUM(AP10)</f>
        <v>6</v>
      </c>
      <c r="AT10">
        <f t="shared" si="21"/>
        <v>7.75</v>
      </c>
      <c r="AU10">
        <f t="shared" si="5"/>
        <v>12</v>
      </c>
      <c r="AV10">
        <f t="shared" si="6"/>
        <v>12</v>
      </c>
      <c r="AW10">
        <f t="shared" si="7"/>
        <v>12</v>
      </c>
      <c r="AX10">
        <f t="shared" si="8"/>
        <v>12</v>
      </c>
      <c r="AY10">
        <f t="shared" ref="AY10:BD10" si="22">SUM(AJ10)</f>
        <v>0.9</v>
      </c>
      <c r="AZ10">
        <f t="shared" si="22"/>
        <v>0</v>
      </c>
      <c r="BA10">
        <f t="shared" si="22"/>
        <v>0</v>
      </c>
      <c r="BB10">
        <f t="shared" si="22"/>
        <v>0</v>
      </c>
      <c r="BC10">
        <f t="shared" si="22"/>
        <v>0</v>
      </c>
      <c r="BD10">
        <f t="shared" si="22"/>
        <v>0</v>
      </c>
      <c r="BE10">
        <f t="shared" si="10"/>
        <v>13.75</v>
      </c>
      <c r="BF10" s="4"/>
      <c r="BG10" s="50">
        <f t="shared" si="11"/>
        <v>76.4</v>
      </c>
      <c r="BH10" s="32">
        <v>1.0</v>
      </c>
    </row>
    <row r="11">
      <c r="A11" s="43">
        <v>466449.0</v>
      </c>
      <c r="B11" s="263" t="s">
        <v>523</v>
      </c>
      <c r="C11" s="24"/>
      <c r="D11" s="25" t="s">
        <v>57</v>
      </c>
      <c r="E11" s="27"/>
      <c r="F11" s="27" t="s">
        <v>57</v>
      </c>
      <c r="G11" s="27" t="s">
        <v>57</v>
      </c>
      <c r="H11" s="27" t="s">
        <v>57</v>
      </c>
      <c r="I11" s="27"/>
      <c r="J11" s="27"/>
      <c r="K11" s="27"/>
      <c r="L11" s="27" t="s">
        <v>55</v>
      </c>
      <c r="M11" s="27"/>
      <c r="N11" s="27" t="s">
        <v>57</v>
      </c>
      <c r="O11" s="27" t="s">
        <v>57</v>
      </c>
      <c r="P11" s="27"/>
      <c r="Q11" s="27"/>
      <c r="R11" s="27"/>
      <c r="S11" s="27" t="s">
        <v>55</v>
      </c>
      <c r="T11" s="43">
        <v>466449.0</v>
      </c>
      <c r="U11" s="36">
        <v>10.0</v>
      </c>
      <c r="V11" s="36">
        <v>2.0</v>
      </c>
      <c r="W11" s="24">
        <v>19.09</v>
      </c>
      <c r="X11" s="28">
        <v>2221.0</v>
      </c>
      <c r="Y11" s="36">
        <v>10.0</v>
      </c>
      <c r="Z11" s="36">
        <v>2.0</v>
      </c>
      <c r="AA11" s="24">
        <v>19.09</v>
      </c>
      <c r="AB11" s="28">
        <v>3331.0</v>
      </c>
      <c r="AC11" s="36">
        <v>10.0</v>
      </c>
      <c r="AD11" s="36">
        <v>2.0</v>
      </c>
      <c r="AE11" s="24" t="s">
        <v>522</v>
      </c>
      <c r="AF11" s="28">
        <v>4466.0</v>
      </c>
      <c r="AG11" s="36">
        <v>10.0</v>
      </c>
      <c r="AH11" s="36">
        <v>2.0</v>
      </c>
      <c r="AI11" s="24">
        <v>21.11</v>
      </c>
      <c r="AJ11" s="28">
        <v>1.0</v>
      </c>
      <c r="AK11" s="36">
        <v>1.5</v>
      </c>
      <c r="AL11" s="36">
        <v>1.4</v>
      </c>
      <c r="AM11" s="36">
        <v>2.0</v>
      </c>
      <c r="AN11" s="36">
        <v>2.0</v>
      </c>
      <c r="AO11" s="36">
        <v>0.01</v>
      </c>
      <c r="AP11" s="36">
        <v>8.5</v>
      </c>
      <c r="AQ11" s="24">
        <v>8.5</v>
      </c>
      <c r="AR11" s="28">
        <f t="shared" si="23"/>
        <v>17</v>
      </c>
      <c r="AS11" s="21">
        <f t="shared" ref="AS11:AT11" si="24">SUM(AP11)</f>
        <v>8.5</v>
      </c>
      <c r="AT11">
        <f t="shared" si="24"/>
        <v>8.5</v>
      </c>
      <c r="AU11">
        <f t="shared" si="5"/>
        <v>12</v>
      </c>
      <c r="AV11">
        <f t="shared" si="6"/>
        <v>12</v>
      </c>
      <c r="AW11">
        <f t="shared" si="7"/>
        <v>12</v>
      </c>
      <c r="AX11">
        <f t="shared" si="8"/>
        <v>12</v>
      </c>
      <c r="AY11">
        <f t="shared" ref="AY11:BD11" si="25">SUM(AJ11)</f>
        <v>1</v>
      </c>
      <c r="AZ11">
        <f t="shared" si="25"/>
        <v>1.5</v>
      </c>
      <c r="BA11">
        <f t="shared" si="25"/>
        <v>1.4</v>
      </c>
      <c r="BB11">
        <f t="shared" si="25"/>
        <v>2</v>
      </c>
      <c r="BC11">
        <f t="shared" si="25"/>
        <v>2</v>
      </c>
      <c r="BD11">
        <f t="shared" si="25"/>
        <v>0.01</v>
      </c>
      <c r="BE11">
        <f t="shared" si="10"/>
        <v>17</v>
      </c>
      <c r="BF11" s="24">
        <v>1.0</v>
      </c>
      <c r="BG11" s="50">
        <f t="shared" si="11"/>
        <v>90.91</v>
      </c>
      <c r="BH11" s="32">
        <v>1.0</v>
      </c>
    </row>
    <row r="12">
      <c r="A12" s="36">
        <v>409141.0</v>
      </c>
      <c r="B12" s="264" t="s">
        <v>524</v>
      </c>
      <c r="D12" s="25"/>
      <c r="E12" s="27" t="s">
        <v>55</v>
      </c>
      <c r="F12" s="27"/>
      <c r="G12" s="27"/>
      <c r="H12" s="27" t="s">
        <v>55</v>
      </c>
      <c r="I12" s="27"/>
      <c r="J12" s="27"/>
      <c r="K12" s="27" t="s">
        <v>55</v>
      </c>
      <c r="L12" s="27" t="s">
        <v>55</v>
      </c>
      <c r="M12" s="27" t="s">
        <v>57</v>
      </c>
      <c r="N12" s="27"/>
      <c r="O12" s="27" t="s">
        <v>57</v>
      </c>
      <c r="P12" s="27" t="s">
        <v>55</v>
      </c>
      <c r="Q12" s="27" t="s">
        <v>57</v>
      </c>
      <c r="R12" s="27" t="s">
        <v>57</v>
      </c>
      <c r="S12" s="27" t="s">
        <v>55</v>
      </c>
      <c r="T12" s="36">
        <v>409141.0</v>
      </c>
      <c r="U12" s="36">
        <v>8.5</v>
      </c>
      <c r="V12" s="36">
        <v>0.0</v>
      </c>
      <c r="W12" s="24">
        <v>12.12</v>
      </c>
      <c r="X12" s="28">
        <v>2409.0</v>
      </c>
      <c r="AA12" s="38"/>
      <c r="AB12" s="21"/>
      <c r="AE12" s="38"/>
      <c r="AF12" s="21"/>
      <c r="AI12" s="38"/>
      <c r="AJ12" s="28">
        <v>1.2</v>
      </c>
      <c r="AK12" s="36">
        <v>0.01</v>
      </c>
      <c r="AL12" s="36">
        <v>0.01</v>
      </c>
      <c r="AN12" s="36">
        <v>0.8</v>
      </c>
      <c r="AP12" s="36">
        <v>6.0</v>
      </c>
      <c r="AQ12" s="24">
        <v>0.01</v>
      </c>
      <c r="AR12" s="28"/>
      <c r="AS12" s="21">
        <f t="shared" ref="AS12:AT12" si="26">SUM(AP12)</f>
        <v>6</v>
      </c>
      <c r="AT12">
        <f t="shared" si="26"/>
        <v>0.01</v>
      </c>
      <c r="AU12">
        <f t="shared" si="5"/>
        <v>8.5</v>
      </c>
      <c r="AV12">
        <f t="shared" si="6"/>
        <v>0</v>
      </c>
      <c r="AW12">
        <f t="shared" si="7"/>
        <v>0</v>
      </c>
      <c r="AX12">
        <f t="shared" si="8"/>
        <v>0</v>
      </c>
      <c r="AY12">
        <f t="shared" ref="AY12:BD12" si="27">SUM(AJ12)</f>
        <v>1.2</v>
      </c>
      <c r="AZ12">
        <f t="shared" si="27"/>
        <v>0.01</v>
      </c>
      <c r="BA12">
        <f t="shared" si="27"/>
        <v>0.01</v>
      </c>
      <c r="BB12">
        <f t="shared" si="27"/>
        <v>0</v>
      </c>
      <c r="BC12">
        <f t="shared" si="27"/>
        <v>0.8</v>
      </c>
      <c r="BD12">
        <f t="shared" si="27"/>
        <v>0</v>
      </c>
      <c r="BE12">
        <f t="shared" si="10"/>
        <v>0</v>
      </c>
      <c r="BF12" s="4"/>
      <c r="BG12" s="50">
        <f t="shared" si="11"/>
        <v>16.53</v>
      </c>
      <c r="BH12" s="32"/>
    </row>
    <row r="13">
      <c r="A13" s="43">
        <v>407888.0</v>
      </c>
      <c r="B13" s="263" t="s">
        <v>525</v>
      </c>
      <c r="C13" s="24"/>
      <c r="D13" s="34"/>
      <c r="E13" s="27"/>
      <c r="F13" s="27"/>
      <c r="G13" s="27" t="s">
        <v>57</v>
      </c>
      <c r="H13" s="27" t="s">
        <v>57</v>
      </c>
      <c r="I13" s="27" t="s">
        <v>57</v>
      </c>
      <c r="J13" s="27"/>
      <c r="K13" s="27" t="s">
        <v>57</v>
      </c>
      <c r="L13" s="27" t="s">
        <v>57</v>
      </c>
      <c r="M13" s="27"/>
      <c r="N13" s="27" t="s">
        <v>57</v>
      </c>
      <c r="O13" s="27" t="s">
        <v>57</v>
      </c>
      <c r="P13" s="27"/>
      <c r="Q13" s="27" t="s">
        <v>57</v>
      </c>
      <c r="R13" s="27" t="s">
        <v>57</v>
      </c>
      <c r="S13" s="27" t="s">
        <v>57</v>
      </c>
      <c r="T13" s="43">
        <v>407888.0</v>
      </c>
      <c r="U13" s="36">
        <v>10.0</v>
      </c>
      <c r="V13" s="36">
        <v>1.0</v>
      </c>
      <c r="W13" s="24" t="s">
        <v>518</v>
      </c>
      <c r="X13" s="28">
        <v>2888.0</v>
      </c>
      <c r="Y13" s="36">
        <v>10.0</v>
      </c>
      <c r="Z13" s="36">
        <v>2.0</v>
      </c>
      <c r="AA13" s="24" t="s">
        <v>515</v>
      </c>
      <c r="AB13" s="28">
        <v>3888.0</v>
      </c>
      <c r="AC13" s="36">
        <v>10.0</v>
      </c>
      <c r="AD13" s="36">
        <v>2.0</v>
      </c>
      <c r="AE13" s="24">
        <v>14.11</v>
      </c>
      <c r="AF13" s="28">
        <v>4407.0</v>
      </c>
      <c r="AG13" s="29">
        <v>9.5</v>
      </c>
      <c r="AH13" s="36">
        <v>2.0</v>
      </c>
      <c r="AI13" s="24">
        <v>19.12</v>
      </c>
      <c r="AJ13" s="28"/>
      <c r="AL13" s="36">
        <v>0.01</v>
      </c>
      <c r="AM13" s="36">
        <v>1.7</v>
      </c>
      <c r="AN13" s="36">
        <v>0.01</v>
      </c>
      <c r="AO13" s="36">
        <v>0.01</v>
      </c>
      <c r="AP13" s="36">
        <v>8.5</v>
      </c>
      <c r="AQ13" s="24">
        <v>8.5</v>
      </c>
      <c r="AR13" s="28">
        <f t="shared" ref="AR13:AR15" si="30">SUM(AP13:AQ13)</f>
        <v>17</v>
      </c>
      <c r="AS13" s="21">
        <f t="shared" ref="AS13:AT13" si="28">SUM(AP13)</f>
        <v>8.5</v>
      </c>
      <c r="AT13">
        <f t="shared" si="28"/>
        <v>8.5</v>
      </c>
      <c r="AU13">
        <f t="shared" si="5"/>
        <v>11</v>
      </c>
      <c r="AV13">
        <f t="shared" si="6"/>
        <v>12</v>
      </c>
      <c r="AW13">
        <f t="shared" si="7"/>
        <v>12</v>
      </c>
      <c r="AX13">
        <f t="shared" si="8"/>
        <v>11.5</v>
      </c>
      <c r="AY13">
        <f t="shared" ref="AY13:BD13" si="29">SUM(AJ13)</f>
        <v>0</v>
      </c>
      <c r="AZ13">
        <f t="shared" si="29"/>
        <v>0</v>
      </c>
      <c r="BA13">
        <f t="shared" si="29"/>
        <v>0.01</v>
      </c>
      <c r="BB13">
        <f t="shared" si="29"/>
        <v>1.7</v>
      </c>
      <c r="BC13">
        <f t="shared" si="29"/>
        <v>0.01</v>
      </c>
      <c r="BD13">
        <f t="shared" si="29"/>
        <v>0.01</v>
      </c>
      <c r="BE13">
        <f t="shared" si="10"/>
        <v>17</v>
      </c>
      <c r="BF13" s="24">
        <v>1.0</v>
      </c>
      <c r="BG13" s="50">
        <f t="shared" si="11"/>
        <v>83.23</v>
      </c>
      <c r="BH13" s="32">
        <v>1.0</v>
      </c>
    </row>
    <row r="14">
      <c r="A14" s="43">
        <v>466903.0</v>
      </c>
      <c r="B14" s="262" t="s">
        <v>526</v>
      </c>
      <c r="D14" s="34"/>
      <c r="E14" s="27"/>
      <c r="F14" s="27"/>
      <c r="G14" s="27"/>
      <c r="H14" s="27"/>
      <c r="I14" s="27" t="s">
        <v>57</v>
      </c>
      <c r="J14" s="27" t="s">
        <v>57</v>
      </c>
      <c r="K14" s="27"/>
      <c r="L14" s="27"/>
      <c r="M14" s="27"/>
      <c r="N14" s="27"/>
      <c r="O14" s="27"/>
      <c r="P14" s="27" t="s">
        <v>57</v>
      </c>
      <c r="Q14" s="27"/>
      <c r="R14" s="27"/>
      <c r="S14" s="27" t="s">
        <v>57</v>
      </c>
      <c r="T14" s="43">
        <v>466903.0</v>
      </c>
      <c r="U14" s="36">
        <v>10.0</v>
      </c>
      <c r="V14" s="36">
        <v>1.0</v>
      </c>
      <c r="W14" s="36" t="s">
        <v>247</v>
      </c>
      <c r="X14" s="28">
        <v>28389.0</v>
      </c>
      <c r="Y14" s="36">
        <v>10.0</v>
      </c>
      <c r="Z14" s="36">
        <v>2.0</v>
      </c>
      <c r="AA14" s="36" t="s">
        <v>227</v>
      </c>
      <c r="AB14" s="28">
        <v>8374.0</v>
      </c>
      <c r="AC14" s="36">
        <v>10.0</v>
      </c>
      <c r="AD14" s="36">
        <v>2.0</v>
      </c>
      <c r="AE14" s="84"/>
      <c r="AF14" s="28">
        <v>112.0</v>
      </c>
      <c r="AG14" s="36">
        <v>10.0</v>
      </c>
      <c r="AH14" s="36">
        <v>2.0</v>
      </c>
      <c r="AI14" s="36" t="s">
        <v>492</v>
      </c>
      <c r="AJ14" s="28"/>
      <c r="AK14" s="36">
        <v>0.7</v>
      </c>
      <c r="AM14" s="36">
        <v>1.3</v>
      </c>
      <c r="AN14" s="36">
        <v>1.6</v>
      </c>
      <c r="AO14" s="36">
        <v>0.01</v>
      </c>
      <c r="AP14" s="36">
        <v>6.5</v>
      </c>
      <c r="AQ14" s="36">
        <v>8.5</v>
      </c>
      <c r="AR14" s="28">
        <f t="shared" si="30"/>
        <v>15</v>
      </c>
      <c r="AS14" s="21">
        <f t="shared" ref="AS14:AT14" si="31">SUM(AP14)</f>
        <v>6.5</v>
      </c>
      <c r="AT14">
        <f t="shared" si="31"/>
        <v>8.5</v>
      </c>
      <c r="AU14">
        <f t="shared" si="5"/>
        <v>11</v>
      </c>
      <c r="AV14">
        <f t="shared" si="6"/>
        <v>12</v>
      </c>
      <c r="AW14">
        <f t="shared" si="7"/>
        <v>12</v>
      </c>
      <c r="AX14">
        <f t="shared" si="8"/>
        <v>12</v>
      </c>
      <c r="AY14">
        <f t="shared" ref="AY14:BD14" si="32">SUM(AJ14)</f>
        <v>0</v>
      </c>
      <c r="AZ14">
        <f t="shared" si="32"/>
        <v>0.7</v>
      </c>
      <c r="BA14">
        <f t="shared" si="32"/>
        <v>0</v>
      </c>
      <c r="BB14">
        <f t="shared" si="32"/>
        <v>1.3</v>
      </c>
      <c r="BC14">
        <f t="shared" si="32"/>
        <v>1.6</v>
      </c>
      <c r="BD14">
        <f t="shared" si="32"/>
        <v>0.01</v>
      </c>
      <c r="BE14">
        <f t="shared" si="10"/>
        <v>15</v>
      </c>
      <c r="BF14" s="24">
        <v>3.0</v>
      </c>
      <c r="BG14" s="50">
        <f t="shared" si="11"/>
        <v>83.61</v>
      </c>
      <c r="BH14" s="32">
        <v>1.0</v>
      </c>
    </row>
    <row r="15">
      <c r="A15" s="43">
        <v>466944.0</v>
      </c>
      <c r="B15" s="263" t="s">
        <v>527</v>
      </c>
      <c r="D15" s="25" t="s">
        <v>55</v>
      </c>
      <c r="E15" s="27" t="s">
        <v>55</v>
      </c>
      <c r="F15" s="27"/>
      <c r="G15" s="27" t="s">
        <v>57</v>
      </c>
      <c r="H15" s="27" t="s">
        <v>55</v>
      </c>
      <c r="I15" s="27" t="s">
        <v>57</v>
      </c>
      <c r="J15" s="27" t="s">
        <v>57</v>
      </c>
      <c r="K15" s="27"/>
      <c r="L15" s="27" t="s">
        <v>55</v>
      </c>
      <c r="M15" s="27"/>
      <c r="N15" s="27"/>
      <c r="O15" s="27"/>
      <c r="P15" s="27" t="s">
        <v>57</v>
      </c>
      <c r="Q15" s="27"/>
      <c r="R15" s="27" t="s">
        <v>55</v>
      </c>
      <c r="S15" s="27" t="s">
        <v>55</v>
      </c>
      <c r="T15" s="43">
        <v>466944.0</v>
      </c>
      <c r="U15" s="36">
        <v>10.0</v>
      </c>
      <c r="V15" s="36">
        <v>1.0</v>
      </c>
      <c r="W15" s="36" t="s">
        <v>528</v>
      </c>
      <c r="X15" s="28">
        <v>2944.0</v>
      </c>
      <c r="Y15" s="36">
        <v>9.0</v>
      </c>
      <c r="Z15" s="36">
        <v>0.0</v>
      </c>
      <c r="AA15" s="36" t="s">
        <v>529</v>
      </c>
      <c r="AB15" s="28">
        <v>3944.0</v>
      </c>
      <c r="AC15" s="36">
        <v>8.5</v>
      </c>
      <c r="AD15" s="36">
        <v>0.0</v>
      </c>
      <c r="AE15" s="36">
        <v>12.12</v>
      </c>
      <c r="AF15" s="28">
        <v>4466.0</v>
      </c>
      <c r="AG15" s="36">
        <v>8.0</v>
      </c>
      <c r="AH15" s="36">
        <v>1.0</v>
      </c>
      <c r="AI15" s="36">
        <v>27.12</v>
      </c>
      <c r="AJ15" s="28">
        <v>0.7</v>
      </c>
      <c r="AK15" s="36">
        <v>0.6</v>
      </c>
      <c r="AL15" s="36">
        <v>0.7</v>
      </c>
      <c r="AM15" s="36">
        <v>0.8</v>
      </c>
      <c r="AN15" s="36">
        <v>0.01</v>
      </c>
      <c r="AO15" s="36">
        <v>0.4</v>
      </c>
      <c r="AP15" s="36">
        <v>6.0</v>
      </c>
      <c r="AQ15" s="36">
        <v>8.5</v>
      </c>
      <c r="AR15" s="28">
        <f t="shared" si="30"/>
        <v>14.5</v>
      </c>
      <c r="AS15" s="21">
        <f t="shared" ref="AS15:AT15" si="33">SUM(AP15)</f>
        <v>6</v>
      </c>
      <c r="AT15">
        <f t="shared" si="33"/>
        <v>8.5</v>
      </c>
      <c r="AU15">
        <f t="shared" si="5"/>
        <v>11</v>
      </c>
      <c r="AV15">
        <f t="shared" si="6"/>
        <v>9</v>
      </c>
      <c r="AW15">
        <f t="shared" si="7"/>
        <v>8.5</v>
      </c>
      <c r="AX15">
        <f t="shared" si="8"/>
        <v>9</v>
      </c>
      <c r="AY15">
        <f t="shared" ref="AY15:BD15" si="34">SUM(AJ15)</f>
        <v>0.7</v>
      </c>
      <c r="AZ15">
        <f t="shared" si="34"/>
        <v>0.6</v>
      </c>
      <c r="BA15">
        <f t="shared" si="34"/>
        <v>0.7</v>
      </c>
      <c r="BB15">
        <f t="shared" si="34"/>
        <v>0.8</v>
      </c>
      <c r="BC15">
        <f t="shared" si="34"/>
        <v>0.01</v>
      </c>
      <c r="BD15">
        <f t="shared" si="34"/>
        <v>0.4</v>
      </c>
      <c r="BE15">
        <f t="shared" si="10"/>
        <v>14.5</v>
      </c>
      <c r="BF15" s="4"/>
      <c r="BG15" s="50">
        <f t="shared" si="11"/>
        <v>69.71</v>
      </c>
      <c r="BH15" s="32">
        <v>1.0</v>
      </c>
    </row>
    <row r="16">
      <c r="A16" s="43">
        <v>467082.0</v>
      </c>
      <c r="B16" s="263" t="s">
        <v>530</v>
      </c>
      <c r="D16" s="25" t="s">
        <v>55</v>
      </c>
      <c r="E16" s="27"/>
      <c r="F16" s="27"/>
      <c r="G16" s="27"/>
      <c r="H16" s="27"/>
      <c r="I16" s="27"/>
      <c r="J16" s="27"/>
      <c r="K16" s="27" t="s">
        <v>57</v>
      </c>
      <c r="L16" s="27" t="s">
        <v>55</v>
      </c>
      <c r="M16" s="27" t="s">
        <v>57</v>
      </c>
      <c r="N16" s="27" t="s">
        <v>57</v>
      </c>
      <c r="O16" s="27"/>
      <c r="P16" s="27" t="s">
        <v>57</v>
      </c>
      <c r="Q16" s="27" t="s">
        <v>57</v>
      </c>
      <c r="R16" s="27" t="s">
        <v>57</v>
      </c>
      <c r="S16" s="27" t="s">
        <v>57</v>
      </c>
      <c r="T16" s="43">
        <v>467082.0</v>
      </c>
      <c r="U16" s="36">
        <v>8.5</v>
      </c>
      <c r="V16" s="36">
        <v>0.0</v>
      </c>
      <c r="W16" s="36">
        <v>14.11</v>
      </c>
      <c r="X16" s="28">
        <v>2467.0</v>
      </c>
      <c r="Y16" s="36">
        <v>7.5</v>
      </c>
      <c r="Z16" s="36">
        <v>0.0</v>
      </c>
      <c r="AA16" s="36">
        <v>19.12</v>
      </c>
      <c r="AB16" s="28">
        <v>3467.0</v>
      </c>
      <c r="AC16" s="36">
        <v>6.0</v>
      </c>
      <c r="AD16" s="36">
        <v>0.0</v>
      </c>
      <c r="AE16" s="36">
        <v>21.02</v>
      </c>
      <c r="AF16" s="28">
        <v>4467.0</v>
      </c>
      <c r="AI16" s="85"/>
      <c r="AJ16" s="28">
        <v>0.8</v>
      </c>
      <c r="AK16" s="36">
        <v>0.9</v>
      </c>
      <c r="AL16" s="36">
        <v>0.2</v>
      </c>
      <c r="AM16" s="36">
        <v>0.9</v>
      </c>
      <c r="AP16" s="36">
        <v>6.5</v>
      </c>
      <c r="AQ16" s="36">
        <v>6.0</v>
      </c>
      <c r="AR16" s="28"/>
      <c r="AS16" s="21">
        <f t="shared" ref="AS16:AT16" si="35">SUM(AP16)</f>
        <v>6.5</v>
      </c>
      <c r="AT16">
        <f t="shared" si="35"/>
        <v>6</v>
      </c>
      <c r="AU16">
        <f t="shared" si="5"/>
        <v>8.5</v>
      </c>
      <c r="AV16">
        <f t="shared" si="6"/>
        <v>7.5</v>
      </c>
      <c r="AW16">
        <f t="shared" si="7"/>
        <v>6</v>
      </c>
      <c r="AX16">
        <f t="shared" si="8"/>
        <v>0</v>
      </c>
      <c r="AY16">
        <f t="shared" ref="AY16:BD16" si="36">SUM(AJ16)</f>
        <v>0.8</v>
      </c>
      <c r="AZ16">
        <f t="shared" si="36"/>
        <v>0.9</v>
      </c>
      <c r="BA16">
        <f t="shared" si="36"/>
        <v>0.2</v>
      </c>
      <c r="BB16">
        <f t="shared" si="36"/>
        <v>0.9</v>
      </c>
      <c r="BC16">
        <f t="shared" si="36"/>
        <v>0</v>
      </c>
      <c r="BD16">
        <f t="shared" si="36"/>
        <v>0</v>
      </c>
      <c r="BE16">
        <f t="shared" si="10"/>
        <v>0</v>
      </c>
      <c r="BF16" s="4"/>
      <c r="BG16" s="50">
        <f t="shared" si="11"/>
        <v>37.3</v>
      </c>
      <c r="BH16" s="32"/>
    </row>
    <row r="17">
      <c r="A17" s="43">
        <v>467211.0</v>
      </c>
      <c r="B17" s="263" t="s">
        <v>531</v>
      </c>
      <c r="C17" s="24"/>
      <c r="D17" s="25" t="s">
        <v>55</v>
      </c>
      <c r="E17" s="27" t="s">
        <v>55</v>
      </c>
      <c r="F17" s="27"/>
      <c r="G17" s="27" t="s">
        <v>57</v>
      </c>
      <c r="H17" s="27" t="s">
        <v>57</v>
      </c>
      <c r="I17" s="27" t="s">
        <v>57</v>
      </c>
      <c r="J17" s="27" t="s">
        <v>57</v>
      </c>
      <c r="K17" s="27"/>
      <c r="L17" s="27"/>
      <c r="M17" s="27" t="s">
        <v>57</v>
      </c>
      <c r="N17" s="27"/>
      <c r="O17" s="27"/>
      <c r="P17" s="27"/>
      <c r="Q17" s="27" t="s">
        <v>57</v>
      </c>
      <c r="R17" s="27" t="s">
        <v>57</v>
      </c>
      <c r="S17" s="27" t="s">
        <v>55</v>
      </c>
      <c r="T17" s="43">
        <v>467211.0</v>
      </c>
      <c r="U17" s="36">
        <v>10.0</v>
      </c>
      <c r="V17" s="36">
        <v>1.0</v>
      </c>
      <c r="W17" s="24" t="s">
        <v>518</v>
      </c>
      <c r="X17" s="28">
        <v>2211.0</v>
      </c>
      <c r="Y17" s="36">
        <v>10.0</v>
      </c>
      <c r="Z17" s="36">
        <v>2.0</v>
      </c>
      <c r="AA17" s="24" t="s">
        <v>522</v>
      </c>
      <c r="AB17" s="28">
        <v>3467.0</v>
      </c>
      <c r="AC17" s="36">
        <v>9.5</v>
      </c>
      <c r="AD17" s="36">
        <v>2.0</v>
      </c>
      <c r="AE17" s="24" t="s">
        <v>532</v>
      </c>
      <c r="AF17" s="28">
        <v>4211.0</v>
      </c>
      <c r="AG17" s="36">
        <v>10.0</v>
      </c>
      <c r="AH17" s="36">
        <v>2.0</v>
      </c>
      <c r="AI17" s="24" t="s">
        <v>533</v>
      </c>
      <c r="AJ17" s="28">
        <v>1.6</v>
      </c>
      <c r="AK17" s="36">
        <v>1.3</v>
      </c>
      <c r="AM17" s="36">
        <v>1.2</v>
      </c>
      <c r="AN17" s="36">
        <v>0.01</v>
      </c>
      <c r="AO17" s="36">
        <v>0.01</v>
      </c>
      <c r="AP17" s="36">
        <v>7.5</v>
      </c>
      <c r="AQ17" s="24">
        <v>8.21</v>
      </c>
      <c r="AR17" s="28">
        <f t="shared" ref="AR17:AR24" si="39">SUM(AP17:AQ17)</f>
        <v>15.71</v>
      </c>
      <c r="AS17" s="21">
        <f t="shared" ref="AS17:AT17" si="37">SUM(AP17)</f>
        <v>7.5</v>
      </c>
      <c r="AT17">
        <f t="shared" si="37"/>
        <v>8.21</v>
      </c>
      <c r="AU17">
        <f t="shared" si="5"/>
        <v>11</v>
      </c>
      <c r="AV17">
        <f t="shared" si="6"/>
        <v>12</v>
      </c>
      <c r="AW17">
        <f t="shared" si="7"/>
        <v>11.5</v>
      </c>
      <c r="AX17">
        <f t="shared" si="8"/>
        <v>12</v>
      </c>
      <c r="AY17">
        <f t="shared" ref="AY17:BD17" si="38">SUM(AJ17)</f>
        <v>1.6</v>
      </c>
      <c r="AZ17">
        <f t="shared" si="38"/>
        <v>1.3</v>
      </c>
      <c r="BA17">
        <f t="shared" si="38"/>
        <v>0</v>
      </c>
      <c r="BB17">
        <f t="shared" si="38"/>
        <v>1.2</v>
      </c>
      <c r="BC17">
        <f t="shared" si="38"/>
        <v>0.01</v>
      </c>
      <c r="BD17">
        <f t="shared" si="38"/>
        <v>0.01</v>
      </c>
      <c r="BE17">
        <f t="shared" si="10"/>
        <v>15.71</v>
      </c>
      <c r="BF17" s="24">
        <v>1.0</v>
      </c>
      <c r="BG17" s="50">
        <f t="shared" si="11"/>
        <v>83.04</v>
      </c>
      <c r="BH17" s="32">
        <v>1.0</v>
      </c>
    </row>
    <row r="18">
      <c r="A18" s="43">
        <v>467244.0</v>
      </c>
      <c r="B18" s="263" t="s">
        <v>534</v>
      </c>
      <c r="C18" s="24"/>
      <c r="D18" s="25" t="s">
        <v>55</v>
      </c>
      <c r="E18" s="27" t="s">
        <v>55</v>
      </c>
      <c r="F18" s="27" t="s">
        <v>57</v>
      </c>
      <c r="G18" s="27"/>
      <c r="H18" s="27" t="s">
        <v>57</v>
      </c>
      <c r="I18" s="27" t="s">
        <v>57</v>
      </c>
      <c r="J18" s="27" t="s">
        <v>57</v>
      </c>
      <c r="K18" s="27"/>
      <c r="L18" s="27" t="s">
        <v>55</v>
      </c>
      <c r="M18" s="27"/>
      <c r="N18" s="27"/>
      <c r="O18" s="27"/>
      <c r="P18" s="27"/>
      <c r="Q18" s="27" t="s">
        <v>57</v>
      </c>
      <c r="R18" s="27" t="s">
        <v>57</v>
      </c>
      <c r="S18" s="27" t="s">
        <v>57</v>
      </c>
      <c r="T18" s="43">
        <v>467244.0</v>
      </c>
      <c r="U18" s="36">
        <v>10.0</v>
      </c>
      <c r="V18" s="36">
        <v>1.0</v>
      </c>
      <c r="W18" s="24" t="s">
        <v>518</v>
      </c>
      <c r="X18" s="28">
        <v>2244.0</v>
      </c>
      <c r="Y18" s="36">
        <v>10.0</v>
      </c>
      <c r="Z18" s="36">
        <v>2.0</v>
      </c>
      <c r="AA18" s="24" t="s">
        <v>522</v>
      </c>
      <c r="AB18" s="28">
        <v>3244.0</v>
      </c>
      <c r="AC18" s="36">
        <v>10.0</v>
      </c>
      <c r="AD18" s="36">
        <v>0.0</v>
      </c>
      <c r="AE18" s="24" t="s">
        <v>529</v>
      </c>
      <c r="AF18" s="28">
        <v>4467.0</v>
      </c>
      <c r="AG18" s="36">
        <v>8.0</v>
      </c>
      <c r="AH18" s="36">
        <v>1.0</v>
      </c>
      <c r="AI18" s="24">
        <v>27.12</v>
      </c>
      <c r="AJ18" s="28">
        <v>1.6</v>
      </c>
      <c r="AK18" s="36">
        <v>1.4</v>
      </c>
      <c r="AM18" s="36">
        <v>1.7</v>
      </c>
      <c r="AN18" s="36">
        <v>1.6</v>
      </c>
      <c r="AO18" s="36">
        <v>0.01</v>
      </c>
      <c r="AP18" s="36">
        <v>9.0</v>
      </c>
      <c r="AQ18" s="24">
        <v>7.33</v>
      </c>
      <c r="AR18" s="28">
        <f t="shared" si="39"/>
        <v>16.33</v>
      </c>
      <c r="AS18" s="21">
        <f t="shared" ref="AS18:AT18" si="40">SUM(AP18)</f>
        <v>9</v>
      </c>
      <c r="AT18">
        <f t="shared" si="40"/>
        <v>7.33</v>
      </c>
      <c r="AU18">
        <f t="shared" si="5"/>
        <v>11</v>
      </c>
      <c r="AV18">
        <f t="shared" si="6"/>
        <v>12</v>
      </c>
      <c r="AW18">
        <f t="shared" si="7"/>
        <v>10</v>
      </c>
      <c r="AX18">
        <f t="shared" si="8"/>
        <v>9</v>
      </c>
      <c r="AY18">
        <f t="shared" ref="AY18:BD18" si="41">SUM(AJ18)</f>
        <v>1.6</v>
      </c>
      <c r="AZ18">
        <f t="shared" si="41"/>
        <v>1.4</v>
      </c>
      <c r="BA18">
        <f t="shared" si="41"/>
        <v>0</v>
      </c>
      <c r="BB18">
        <f t="shared" si="41"/>
        <v>1.7</v>
      </c>
      <c r="BC18">
        <f t="shared" si="41"/>
        <v>1.6</v>
      </c>
      <c r="BD18">
        <f t="shared" si="41"/>
        <v>0.01</v>
      </c>
      <c r="BE18">
        <f t="shared" si="10"/>
        <v>16.33</v>
      </c>
      <c r="BF18" s="24">
        <v>3.0</v>
      </c>
      <c r="BG18" s="50">
        <f t="shared" si="11"/>
        <v>83.97</v>
      </c>
      <c r="BH18" s="32">
        <v>1.0</v>
      </c>
    </row>
    <row r="19">
      <c r="A19" s="43">
        <v>467288.0</v>
      </c>
      <c r="B19" s="262" t="s">
        <v>535</v>
      </c>
      <c r="C19" s="4"/>
      <c r="D19" s="25"/>
      <c r="E19" s="27"/>
      <c r="F19" s="27"/>
      <c r="G19" s="27"/>
      <c r="H19" s="27"/>
      <c r="I19" s="27"/>
      <c r="J19" s="27" t="s">
        <v>57</v>
      </c>
      <c r="K19" s="27"/>
      <c r="L19" s="27"/>
      <c r="M19" s="27"/>
      <c r="N19" s="27" t="s">
        <v>55</v>
      </c>
      <c r="O19" s="27" t="s">
        <v>57</v>
      </c>
      <c r="P19" s="27" t="s">
        <v>57</v>
      </c>
      <c r="Q19" s="27"/>
      <c r="R19" s="27" t="s">
        <v>57</v>
      </c>
      <c r="S19" s="27" t="s">
        <v>57</v>
      </c>
      <c r="T19" s="43">
        <v>467288.0</v>
      </c>
      <c r="U19" s="36">
        <v>9.5</v>
      </c>
      <c r="W19" s="24" t="s">
        <v>252</v>
      </c>
      <c r="X19" s="28">
        <v>8576.0</v>
      </c>
      <c r="Y19" s="36">
        <v>10.0</v>
      </c>
      <c r="AA19" s="24" t="s">
        <v>254</v>
      </c>
      <c r="AB19" s="28">
        <v>4578.0</v>
      </c>
      <c r="AC19" s="36">
        <v>9.5</v>
      </c>
      <c r="AE19" s="24" t="s">
        <v>492</v>
      </c>
      <c r="AF19" s="28">
        <v>3458.0</v>
      </c>
      <c r="AG19" s="36">
        <v>8.0</v>
      </c>
      <c r="AI19" s="24" t="s">
        <v>536</v>
      </c>
      <c r="AJ19" s="28">
        <v>0.3</v>
      </c>
      <c r="AP19" s="36">
        <v>6.0</v>
      </c>
      <c r="AQ19" s="24">
        <v>6.0</v>
      </c>
      <c r="AR19" s="28">
        <f t="shared" si="39"/>
        <v>12</v>
      </c>
      <c r="AS19" s="21">
        <f t="shared" ref="AS19:AT19" si="42">SUM(AP19)</f>
        <v>6</v>
      </c>
      <c r="AT19">
        <f t="shared" si="42"/>
        <v>6</v>
      </c>
      <c r="AU19">
        <f t="shared" si="5"/>
        <v>9.5</v>
      </c>
      <c r="AV19">
        <f t="shared" si="6"/>
        <v>10</v>
      </c>
      <c r="AW19">
        <f t="shared" si="7"/>
        <v>9.5</v>
      </c>
      <c r="AX19">
        <f t="shared" si="8"/>
        <v>8</v>
      </c>
      <c r="AY19">
        <f t="shared" ref="AY19:BD19" si="43">SUM(AJ19)</f>
        <v>0.3</v>
      </c>
      <c r="AZ19">
        <f t="shared" si="43"/>
        <v>0</v>
      </c>
      <c r="BA19">
        <f t="shared" si="43"/>
        <v>0</v>
      </c>
      <c r="BB19">
        <f t="shared" si="43"/>
        <v>0</v>
      </c>
      <c r="BC19">
        <f t="shared" si="43"/>
        <v>0</v>
      </c>
      <c r="BD19">
        <f t="shared" si="43"/>
        <v>0</v>
      </c>
      <c r="BE19">
        <f t="shared" si="10"/>
        <v>12</v>
      </c>
      <c r="BF19" s="4"/>
      <c r="BG19" s="50">
        <f t="shared" si="11"/>
        <v>61.3</v>
      </c>
      <c r="BH19" s="32">
        <v>1.0</v>
      </c>
    </row>
    <row r="20">
      <c r="A20" s="43">
        <v>467318.0</v>
      </c>
      <c r="B20" s="265" t="s">
        <v>537</v>
      </c>
      <c r="C20" s="4"/>
      <c r="D20" s="25" t="s">
        <v>55</v>
      </c>
      <c r="E20" s="27" t="s">
        <v>55</v>
      </c>
      <c r="F20" s="27" t="s">
        <v>55</v>
      </c>
      <c r="G20" s="27"/>
      <c r="H20" s="27"/>
      <c r="I20" s="27"/>
      <c r="J20" s="27" t="s">
        <v>57</v>
      </c>
      <c r="K20" s="27" t="s">
        <v>57</v>
      </c>
      <c r="L20" s="27"/>
      <c r="M20" s="27"/>
      <c r="N20" s="27" t="s">
        <v>55</v>
      </c>
      <c r="O20" s="27"/>
      <c r="P20" s="27" t="s">
        <v>57</v>
      </c>
      <c r="Q20" s="27" t="s">
        <v>57</v>
      </c>
      <c r="R20" s="27"/>
      <c r="S20" s="27" t="s">
        <v>57</v>
      </c>
      <c r="T20" s="43">
        <v>467318.0</v>
      </c>
      <c r="U20" s="36">
        <v>10.0</v>
      </c>
      <c r="W20" s="24" t="s">
        <v>251</v>
      </c>
      <c r="X20" s="28">
        <v>394.0</v>
      </c>
      <c r="Y20" s="36">
        <v>9.5</v>
      </c>
      <c r="AA20" s="24">
        <v>5.12</v>
      </c>
      <c r="AB20" s="28">
        <v>2024.0</v>
      </c>
      <c r="AC20" s="36">
        <v>9.0</v>
      </c>
      <c r="AE20" s="24" t="s">
        <v>536</v>
      </c>
      <c r="AF20" s="28">
        <v>780.0</v>
      </c>
      <c r="AG20" s="36">
        <v>6.0</v>
      </c>
      <c r="AI20" s="24" t="s">
        <v>510</v>
      </c>
      <c r="AJ20" s="28">
        <v>1.4</v>
      </c>
      <c r="AP20" s="36">
        <v>6.0</v>
      </c>
      <c r="AQ20" s="24">
        <v>6.0</v>
      </c>
      <c r="AR20" s="28">
        <f t="shared" si="39"/>
        <v>12</v>
      </c>
      <c r="AS20" s="21">
        <f t="shared" ref="AS20:AT20" si="44">SUM(AP20)</f>
        <v>6</v>
      </c>
      <c r="AT20">
        <f t="shared" si="44"/>
        <v>6</v>
      </c>
      <c r="AU20">
        <f t="shared" si="5"/>
        <v>10</v>
      </c>
      <c r="AV20">
        <f t="shared" si="6"/>
        <v>9.5</v>
      </c>
      <c r="AW20">
        <f t="shared" si="7"/>
        <v>9</v>
      </c>
      <c r="AX20">
        <f t="shared" si="8"/>
        <v>6</v>
      </c>
      <c r="AY20">
        <f t="shared" ref="AY20:BD20" si="45">SUM(AJ20)</f>
        <v>1.4</v>
      </c>
      <c r="AZ20">
        <f t="shared" si="45"/>
        <v>0</v>
      </c>
      <c r="BA20">
        <f t="shared" si="45"/>
        <v>0</v>
      </c>
      <c r="BB20">
        <f t="shared" si="45"/>
        <v>0</v>
      </c>
      <c r="BC20">
        <f t="shared" si="45"/>
        <v>0</v>
      </c>
      <c r="BD20">
        <f t="shared" si="45"/>
        <v>0</v>
      </c>
      <c r="BE20">
        <f t="shared" si="10"/>
        <v>12</v>
      </c>
      <c r="BF20" s="24">
        <v>1.0</v>
      </c>
      <c r="BG20" s="50">
        <f t="shared" si="11"/>
        <v>60.9</v>
      </c>
      <c r="BH20" s="32">
        <v>2.0</v>
      </c>
    </row>
    <row r="21">
      <c r="A21" s="43">
        <v>467586.0</v>
      </c>
      <c r="B21" s="263" t="s">
        <v>538</v>
      </c>
      <c r="D21" s="25" t="s">
        <v>55</v>
      </c>
      <c r="E21" s="27" t="s">
        <v>55</v>
      </c>
      <c r="F21" s="27"/>
      <c r="G21" s="27" t="s">
        <v>57</v>
      </c>
      <c r="H21" s="27" t="s">
        <v>57</v>
      </c>
      <c r="I21" s="27"/>
      <c r="J21" s="27" t="s">
        <v>57</v>
      </c>
      <c r="K21" s="27" t="s">
        <v>57</v>
      </c>
      <c r="L21" s="27" t="s">
        <v>55</v>
      </c>
      <c r="M21" s="27" t="s">
        <v>57</v>
      </c>
      <c r="N21" s="27"/>
      <c r="O21" s="27"/>
      <c r="P21" s="27" t="s">
        <v>57</v>
      </c>
      <c r="Q21" s="27"/>
      <c r="R21" s="27"/>
      <c r="S21" s="27" t="s">
        <v>55</v>
      </c>
      <c r="T21" s="43">
        <v>467586.0</v>
      </c>
      <c r="U21" s="36">
        <v>10.0</v>
      </c>
      <c r="V21" s="36">
        <v>2.0</v>
      </c>
      <c r="W21" s="24" t="s">
        <v>539</v>
      </c>
      <c r="X21" s="28">
        <v>2586.0</v>
      </c>
      <c r="Y21" s="36">
        <v>10.0</v>
      </c>
      <c r="Z21" s="36">
        <v>2.0</v>
      </c>
      <c r="AA21" s="24" t="s">
        <v>514</v>
      </c>
      <c r="AB21" s="28">
        <v>3586.0</v>
      </c>
      <c r="AC21" s="36">
        <v>10.0</v>
      </c>
      <c r="AD21" s="36">
        <v>2.0</v>
      </c>
      <c r="AE21" s="24" t="s">
        <v>528</v>
      </c>
      <c r="AF21" s="28">
        <v>4467.0</v>
      </c>
      <c r="AG21" s="36">
        <v>10.0</v>
      </c>
      <c r="AH21" s="36">
        <v>2.0</v>
      </c>
      <c r="AI21" s="24">
        <v>19.12</v>
      </c>
      <c r="AJ21" s="28">
        <v>1.6</v>
      </c>
      <c r="AK21" s="36">
        <v>0.8</v>
      </c>
      <c r="AN21" s="36">
        <v>1.6</v>
      </c>
      <c r="AP21" s="36">
        <v>10.0</v>
      </c>
      <c r="AQ21" s="24">
        <v>9.13</v>
      </c>
      <c r="AR21" s="28">
        <f t="shared" si="39"/>
        <v>19.13</v>
      </c>
      <c r="AS21" s="21">
        <f t="shared" ref="AS21:AT21" si="46">SUM(AP21)</f>
        <v>10</v>
      </c>
      <c r="AT21">
        <f t="shared" si="46"/>
        <v>9.13</v>
      </c>
      <c r="AU21">
        <f t="shared" si="5"/>
        <v>12</v>
      </c>
      <c r="AV21">
        <f t="shared" si="6"/>
        <v>12</v>
      </c>
      <c r="AW21">
        <f t="shared" si="7"/>
        <v>12</v>
      </c>
      <c r="AX21">
        <f t="shared" si="8"/>
        <v>12</v>
      </c>
      <c r="AY21">
        <f t="shared" ref="AY21:BD21" si="47">SUM(AJ21)</f>
        <v>1.6</v>
      </c>
      <c r="AZ21">
        <f t="shared" si="47"/>
        <v>0.8</v>
      </c>
      <c r="BA21">
        <f t="shared" si="47"/>
        <v>0</v>
      </c>
      <c r="BB21">
        <f t="shared" si="47"/>
        <v>0</v>
      </c>
      <c r="BC21">
        <f t="shared" si="47"/>
        <v>1.6</v>
      </c>
      <c r="BD21">
        <f t="shared" si="47"/>
        <v>0</v>
      </c>
      <c r="BE21">
        <f t="shared" si="10"/>
        <v>19.13</v>
      </c>
      <c r="BF21" s="4"/>
      <c r="BG21" s="50">
        <f t="shared" si="11"/>
        <v>90.26</v>
      </c>
      <c r="BH21" s="32">
        <v>1.0</v>
      </c>
    </row>
    <row r="22">
      <c r="A22" s="43">
        <v>409658.0</v>
      </c>
      <c r="B22" s="263" t="s">
        <v>540</v>
      </c>
      <c r="D22" s="25"/>
      <c r="E22" s="27" t="s">
        <v>55</v>
      </c>
      <c r="F22" s="27"/>
      <c r="G22" s="27" t="s">
        <v>57</v>
      </c>
      <c r="H22" s="27" t="s">
        <v>57</v>
      </c>
      <c r="I22" s="27" t="s">
        <v>57</v>
      </c>
      <c r="J22" s="27"/>
      <c r="K22" s="27" t="s">
        <v>55</v>
      </c>
      <c r="L22" s="27" t="s">
        <v>55</v>
      </c>
      <c r="M22" s="27"/>
      <c r="N22" s="27"/>
      <c r="O22" s="27"/>
      <c r="P22" s="27" t="s">
        <v>57</v>
      </c>
      <c r="Q22" s="27" t="s">
        <v>57</v>
      </c>
      <c r="R22" s="27" t="s">
        <v>57</v>
      </c>
      <c r="S22" s="27"/>
      <c r="T22" s="43">
        <v>409658.0</v>
      </c>
      <c r="U22" s="36">
        <v>10.0</v>
      </c>
      <c r="V22" s="36">
        <v>1.0</v>
      </c>
      <c r="W22" s="24" t="s">
        <v>518</v>
      </c>
      <c r="X22" s="28">
        <v>2409.0</v>
      </c>
      <c r="Y22" s="36">
        <v>9.0</v>
      </c>
      <c r="Z22" s="36">
        <v>0.0</v>
      </c>
      <c r="AA22" s="24" t="s">
        <v>529</v>
      </c>
      <c r="AB22" s="28">
        <v>3658.0</v>
      </c>
      <c r="AC22" s="36">
        <v>6.0</v>
      </c>
      <c r="AD22" s="36">
        <v>0.0</v>
      </c>
      <c r="AE22" s="24">
        <v>7.02</v>
      </c>
      <c r="AF22" s="28">
        <v>4409.0</v>
      </c>
      <c r="AG22" s="36">
        <v>6.0</v>
      </c>
      <c r="AH22" s="36">
        <v>0.0</v>
      </c>
      <c r="AI22" s="24">
        <v>14.02</v>
      </c>
      <c r="AJ22" s="28">
        <v>0.3</v>
      </c>
      <c r="AK22" s="36">
        <v>0.4</v>
      </c>
      <c r="AM22" s="36">
        <v>0.8</v>
      </c>
      <c r="AN22" s="36">
        <v>0.01</v>
      </c>
      <c r="AP22" s="36">
        <v>7.5</v>
      </c>
      <c r="AQ22" s="24">
        <v>6.0</v>
      </c>
      <c r="AR22" s="28">
        <f t="shared" si="39"/>
        <v>13.5</v>
      </c>
      <c r="AS22" s="21">
        <f t="shared" ref="AS22:AT22" si="48">SUM(AP22)</f>
        <v>7.5</v>
      </c>
      <c r="AT22">
        <f t="shared" si="48"/>
        <v>6</v>
      </c>
      <c r="AU22">
        <f t="shared" si="5"/>
        <v>11</v>
      </c>
      <c r="AV22">
        <f t="shared" si="6"/>
        <v>9</v>
      </c>
      <c r="AW22">
        <f t="shared" si="7"/>
        <v>6</v>
      </c>
      <c r="AX22">
        <f t="shared" si="8"/>
        <v>6</v>
      </c>
      <c r="AY22">
        <f t="shared" ref="AY22:BD22" si="49">SUM(AJ22)</f>
        <v>0.3</v>
      </c>
      <c r="AZ22">
        <f t="shared" si="49"/>
        <v>0.4</v>
      </c>
      <c r="BA22">
        <f t="shared" si="49"/>
        <v>0</v>
      </c>
      <c r="BB22">
        <f t="shared" si="49"/>
        <v>0.8</v>
      </c>
      <c r="BC22">
        <f t="shared" si="49"/>
        <v>0.01</v>
      </c>
      <c r="BD22">
        <f t="shared" si="49"/>
        <v>0</v>
      </c>
      <c r="BE22">
        <f t="shared" si="10"/>
        <v>13.5</v>
      </c>
      <c r="BF22" s="4"/>
      <c r="BG22" s="50">
        <f t="shared" si="11"/>
        <v>60.51</v>
      </c>
      <c r="BH22" s="32">
        <v>2.0</v>
      </c>
    </row>
    <row r="23">
      <c r="A23" s="43">
        <v>472548.0</v>
      </c>
      <c r="B23" s="262" t="s">
        <v>541</v>
      </c>
      <c r="D23" s="25" t="s">
        <v>57</v>
      </c>
      <c r="E23" s="27" t="s">
        <v>57</v>
      </c>
      <c r="F23" s="27" t="s">
        <v>57</v>
      </c>
      <c r="G23" s="27" t="s">
        <v>57</v>
      </c>
      <c r="H23" s="27"/>
      <c r="I23" s="27" t="s">
        <v>57</v>
      </c>
      <c r="J23" s="27" t="s">
        <v>57</v>
      </c>
      <c r="K23" s="27" t="s">
        <v>57</v>
      </c>
      <c r="L23" s="27"/>
      <c r="M23" s="27"/>
      <c r="N23" s="27"/>
      <c r="O23" s="27" t="s">
        <v>57</v>
      </c>
      <c r="P23" s="27" t="s">
        <v>57</v>
      </c>
      <c r="Q23" s="27"/>
      <c r="R23" s="27" t="s">
        <v>57</v>
      </c>
      <c r="S23" s="27" t="s">
        <v>57</v>
      </c>
      <c r="T23" s="43">
        <v>472548.0</v>
      </c>
      <c r="U23" s="36">
        <v>10.0</v>
      </c>
      <c r="V23" s="36">
        <v>2.0</v>
      </c>
      <c r="W23" s="249" t="s">
        <v>490</v>
      </c>
      <c r="X23" s="21"/>
      <c r="Y23" s="36">
        <v>10.0</v>
      </c>
      <c r="Z23" s="36">
        <v>2.0</v>
      </c>
      <c r="AA23" s="24" t="s">
        <v>251</v>
      </c>
      <c r="AB23" s="28">
        <v>8394.0</v>
      </c>
      <c r="AC23" s="36">
        <v>10.0</v>
      </c>
      <c r="AD23" s="36">
        <v>2.0</v>
      </c>
      <c r="AE23" s="24" t="s">
        <v>254</v>
      </c>
      <c r="AF23" s="28">
        <v>7485.0</v>
      </c>
      <c r="AG23" s="36">
        <v>10.0</v>
      </c>
      <c r="AH23" s="36">
        <v>2.0</v>
      </c>
      <c r="AI23" s="24" t="s">
        <v>475</v>
      </c>
      <c r="AJ23" s="28">
        <v>0.6</v>
      </c>
      <c r="AM23" s="36">
        <v>2.0</v>
      </c>
      <c r="AO23" s="36">
        <v>0.01</v>
      </c>
      <c r="AP23" s="36">
        <v>9.0</v>
      </c>
      <c r="AQ23" s="24">
        <v>9.5</v>
      </c>
      <c r="AR23" s="28">
        <f t="shared" si="39"/>
        <v>18.5</v>
      </c>
      <c r="AS23" s="21">
        <f t="shared" ref="AS23:AT23" si="50">SUM(AP23)</f>
        <v>9</v>
      </c>
      <c r="AT23">
        <f t="shared" si="50"/>
        <v>9.5</v>
      </c>
      <c r="AU23">
        <f t="shared" si="5"/>
        <v>12</v>
      </c>
      <c r="AV23">
        <f t="shared" si="6"/>
        <v>12</v>
      </c>
      <c r="AW23">
        <f t="shared" si="7"/>
        <v>12</v>
      </c>
      <c r="AX23">
        <f t="shared" si="8"/>
        <v>12</v>
      </c>
      <c r="AY23">
        <f t="shared" ref="AY23:BD23" si="51">SUM(AJ23)</f>
        <v>0.6</v>
      </c>
      <c r="AZ23">
        <f t="shared" si="51"/>
        <v>0</v>
      </c>
      <c r="BA23">
        <f t="shared" si="51"/>
        <v>0</v>
      </c>
      <c r="BB23">
        <f t="shared" si="51"/>
        <v>2</v>
      </c>
      <c r="BC23">
        <f t="shared" si="51"/>
        <v>0</v>
      </c>
      <c r="BD23">
        <f t="shared" si="51"/>
        <v>0.01</v>
      </c>
      <c r="BE23">
        <f t="shared" si="10"/>
        <v>18.5</v>
      </c>
      <c r="BF23" s="24">
        <v>3.0</v>
      </c>
      <c r="BG23" s="50">
        <f t="shared" si="11"/>
        <v>90.61</v>
      </c>
      <c r="BH23" s="32">
        <v>1.0</v>
      </c>
    </row>
    <row r="24">
      <c r="A24" s="43">
        <v>467783.0</v>
      </c>
      <c r="B24" s="263" t="s">
        <v>542</v>
      </c>
      <c r="D24" s="25" t="s">
        <v>55</v>
      </c>
      <c r="E24" s="27" t="s">
        <v>55</v>
      </c>
      <c r="F24" s="27" t="s">
        <v>55</v>
      </c>
      <c r="G24" s="27" t="s">
        <v>57</v>
      </c>
      <c r="H24" s="27" t="s">
        <v>57</v>
      </c>
      <c r="I24" s="27" t="s">
        <v>57</v>
      </c>
      <c r="J24" s="27" t="s">
        <v>55</v>
      </c>
      <c r="K24" s="27" t="s">
        <v>55</v>
      </c>
      <c r="L24" s="27" t="s">
        <v>55</v>
      </c>
      <c r="M24" s="27" t="s">
        <v>57</v>
      </c>
      <c r="N24" s="27"/>
      <c r="O24" s="27"/>
      <c r="P24" s="27" t="s">
        <v>55</v>
      </c>
      <c r="Q24" s="27"/>
      <c r="R24" s="27"/>
      <c r="S24" s="27" t="s">
        <v>55</v>
      </c>
      <c r="T24" s="43">
        <v>467783.0</v>
      </c>
      <c r="U24" s="36">
        <v>10.0</v>
      </c>
      <c r="V24" s="36">
        <v>1.0</v>
      </c>
      <c r="W24" s="24" t="s">
        <v>518</v>
      </c>
      <c r="X24" s="28">
        <v>2783.0</v>
      </c>
      <c r="Y24" s="36">
        <v>9.5</v>
      </c>
      <c r="Z24" s="36">
        <v>0.0</v>
      </c>
      <c r="AA24" s="24">
        <v>14.11</v>
      </c>
      <c r="AB24" s="28">
        <v>3467.0</v>
      </c>
      <c r="AC24" s="36">
        <v>8.5</v>
      </c>
      <c r="AD24" s="36">
        <v>0.0</v>
      </c>
      <c r="AE24" s="24">
        <v>12.12</v>
      </c>
      <c r="AF24" s="28">
        <v>4467.0</v>
      </c>
      <c r="AG24" s="36">
        <v>8.0</v>
      </c>
      <c r="AH24" s="36">
        <v>1.0</v>
      </c>
      <c r="AI24" s="24">
        <v>27.12</v>
      </c>
      <c r="AJ24" s="28">
        <v>0.8</v>
      </c>
      <c r="AK24" s="36">
        <v>0.4</v>
      </c>
      <c r="AL24" s="36">
        <v>0.8</v>
      </c>
      <c r="AM24" s="36">
        <v>1.8</v>
      </c>
      <c r="AN24" s="36">
        <v>1.6</v>
      </c>
      <c r="AP24" s="36">
        <v>8.5</v>
      </c>
      <c r="AQ24" s="24">
        <v>8.54</v>
      </c>
      <c r="AR24" s="28">
        <f t="shared" si="39"/>
        <v>17.04</v>
      </c>
      <c r="AS24" s="21">
        <f t="shared" ref="AS24:AT24" si="52">SUM(AP24)</f>
        <v>8.5</v>
      </c>
      <c r="AT24">
        <f t="shared" si="52"/>
        <v>8.54</v>
      </c>
      <c r="AU24">
        <f t="shared" si="5"/>
        <v>11</v>
      </c>
      <c r="AV24">
        <f t="shared" si="6"/>
        <v>9.5</v>
      </c>
      <c r="AW24">
        <f t="shared" si="7"/>
        <v>8.5</v>
      </c>
      <c r="AX24">
        <f t="shared" si="8"/>
        <v>9</v>
      </c>
      <c r="AY24">
        <f t="shared" ref="AY24:BD24" si="53">SUM(AJ24)</f>
        <v>0.8</v>
      </c>
      <c r="AZ24">
        <f t="shared" si="53"/>
        <v>0.4</v>
      </c>
      <c r="BA24">
        <f t="shared" si="53"/>
        <v>0.8</v>
      </c>
      <c r="BB24">
        <f t="shared" si="53"/>
        <v>1.8</v>
      </c>
      <c r="BC24">
        <f t="shared" si="53"/>
        <v>1.6</v>
      </c>
      <c r="BD24">
        <f t="shared" si="53"/>
        <v>0</v>
      </c>
      <c r="BE24">
        <f t="shared" si="10"/>
        <v>17.04</v>
      </c>
      <c r="BF24" s="4"/>
      <c r="BG24" s="50">
        <f t="shared" si="11"/>
        <v>77.48</v>
      </c>
      <c r="BH24" s="32">
        <v>1.0</v>
      </c>
    </row>
    <row r="25">
      <c r="A25" s="36"/>
      <c r="B25" s="26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36"/>
      <c r="U25" s="36"/>
      <c r="V25" s="36"/>
      <c r="W25" s="36"/>
      <c r="X25" s="36"/>
      <c r="AA25" s="37"/>
      <c r="AE25" s="37"/>
      <c r="AI25" s="37"/>
      <c r="AJ25" s="36"/>
      <c r="AK25" s="36"/>
      <c r="AL25" s="36"/>
      <c r="AN25" s="36"/>
      <c r="AP25" s="36"/>
      <c r="AQ25" s="36"/>
      <c r="AR25" s="36"/>
      <c r="BG25" s="39"/>
      <c r="BH25" s="32"/>
    </row>
    <row r="26">
      <c r="A26" s="36"/>
      <c r="B26" s="26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36"/>
      <c r="U26" s="36"/>
      <c r="V26" s="36"/>
      <c r="W26" s="36"/>
      <c r="X26" s="36"/>
      <c r="AA26" s="37"/>
      <c r="AE26" s="37"/>
      <c r="AI26" s="37"/>
      <c r="AJ26" s="36"/>
      <c r="AK26" s="36"/>
      <c r="AL26" s="36"/>
      <c r="AN26" s="36"/>
      <c r="AP26" s="36">
        <f t="shared" ref="AP26:AQ26" si="54">COUNTA($B$4:$B$24)-COUNTIF(AP4:AP24,"&gt;=6")</f>
        <v>1</v>
      </c>
      <c r="AQ26" s="36">
        <f t="shared" si="54"/>
        <v>3</v>
      </c>
      <c r="AR26" s="36"/>
      <c r="BG26" s="39"/>
      <c r="BH26" s="32"/>
    </row>
    <row r="27">
      <c r="A27" s="43">
        <v>408578.0</v>
      </c>
      <c r="B27" s="267" t="s">
        <v>543</v>
      </c>
      <c r="C27" s="24"/>
      <c r="D27" s="2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43">
        <v>408578.0</v>
      </c>
      <c r="W27" s="24"/>
      <c r="X27" s="28"/>
      <c r="AA27" s="68"/>
      <c r="AB27" s="28"/>
      <c r="AE27" s="33"/>
      <c r="AF27" s="28"/>
      <c r="AI27" s="24"/>
      <c r="AJ27" s="28"/>
      <c r="AQ27" s="24"/>
      <c r="AR27" s="30"/>
      <c r="AS27">
        <f t="shared" ref="AS27:AT27" si="55">SUM(AP27)</f>
        <v>0</v>
      </c>
      <c r="AT27">
        <f t="shared" si="55"/>
        <v>0</v>
      </c>
      <c r="AU27" s="21">
        <f t="shared" ref="AU27:AU30" si="58">SUM(U27,V27)</f>
        <v>0</v>
      </c>
      <c r="AV27">
        <f t="shared" ref="AV27:AV30" si="59">SUM(Y27,Z27)</f>
        <v>0</v>
      </c>
      <c r="AW27">
        <f t="shared" ref="AW27:AW30" si="60">SUM(AC27,AD27)</f>
        <v>0</v>
      </c>
      <c r="AX27">
        <f t="shared" ref="AX27:AX30" si="61">SUM(AG27,AH27)</f>
        <v>0</v>
      </c>
      <c r="AY27">
        <f t="shared" ref="AY27:BD27" si="56">SUM(AJ27)</f>
        <v>0</v>
      </c>
      <c r="AZ27">
        <f t="shared" si="56"/>
        <v>0</v>
      </c>
      <c r="BA27">
        <f t="shared" si="56"/>
        <v>0</v>
      </c>
      <c r="BB27">
        <f t="shared" si="56"/>
        <v>0</v>
      </c>
      <c r="BC27">
        <f t="shared" si="56"/>
        <v>0</v>
      </c>
      <c r="BD27">
        <f t="shared" si="56"/>
        <v>0</v>
      </c>
      <c r="BE27">
        <f t="shared" ref="BE27:BE30" si="63">SUM(AR27)</f>
        <v>0</v>
      </c>
      <c r="BG27" s="31">
        <f t="shared" ref="BG27:BG30" si="64">SUM(AU27:BF27)</f>
        <v>0</v>
      </c>
      <c r="BH27" s="32"/>
    </row>
    <row r="28">
      <c r="A28" s="43">
        <v>407885.0</v>
      </c>
      <c r="B28" s="267" t="s">
        <v>544</v>
      </c>
      <c r="C28" s="24"/>
      <c r="D28" s="34"/>
      <c r="E28" s="27" t="s">
        <v>55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43">
        <v>407885.0</v>
      </c>
      <c r="W28" s="67"/>
      <c r="X28" s="28"/>
      <c r="AA28" s="24"/>
      <c r="AB28" s="28"/>
      <c r="AE28" s="68"/>
      <c r="AF28" s="28"/>
      <c r="AI28" s="24"/>
      <c r="AJ28" s="28"/>
      <c r="AQ28" s="24"/>
      <c r="AR28" s="30"/>
      <c r="AS28">
        <f t="shared" ref="AS28:AT28" si="57">SUM(AP28)</f>
        <v>0</v>
      </c>
      <c r="AT28">
        <f t="shared" si="57"/>
        <v>0</v>
      </c>
      <c r="AU28" s="21">
        <f t="shared" si="58"/>
        <v>0</v>
      </c>
      <c r="AV28">
        <f t="shared" si="59"/>
        <v>0</v>
      </c>
      <c r="AW28">
        <f t="shared" si="60"/>
        <v>0</v>
      </c>
      <c r="AX28">
        <f t="shared" si="61"/>
        <v>0</v>
      </c>
      <c r="AY28">
        <f t="shared" ref="AY28:BD28" si="62">SUM(AJ28)</f>
        <v>0</v>
      </c>
      <c r="AZ28">
        <f t="shared" si="62"/>
        <v>0</v>
      </c>
      <c r="BA28">
        <f t="shared" si="62"/>
        <v>0</v>
      </c>
      <c r="BB28">
        <f t="shared" si="62"/>
        <v>0</v>
      </c>
      <c r="BC28">
        <f t="shared" si="62"/>
        <v>0</v>
      </c>
      <c r="BD28">
        <f t="shared" si="62"/>
        <v>0</v>
      </c>
      <c r="BE28">
        <f t="shared" si="63"/>
        <v>0</v>
      </c>
      <c r="BG28" s="31">
        <f t="shared" si="64"/>
        <v>0</v>
      </c>
      <c r="BH28" s="32"/>
    </row>
    <row r="29">
      <c r="A29" s="43">
        <v>470162.0</v>
      </c>
      <c r="B29" s="267" t="s">
        <v>545</v>
      </c>
      <c r="D29" s="2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43">
        <v>470162.0</v>
      </c>
      <c r="W29" s="38"/>
      <c r="X29" s="21"/>
      <c r="AA29" s="38"/>
      <c r="AB29" s="21"/>
      <c r="AE29" s="38"/>
      <c r="AF29" s="21"/>
      <c r="AI29" s="38"/>
      <c r="AJ29" s="21"/>
      <c r="AQ29" s="4"/>
      <c r="AR29" s="30"/>
      <c r="AS29">
        <f t="shared" ref="AS29:AT29" si="65">SUM(AP29)</f>
        <v>0</v>
      </c>
      <c r="AT29">
        <f t="shared" si="65"/>
        <v>0</v>
      </c>
      <c r="AU29" s="21">
        <f t="shared" si="58"/>
        <v>0</v>
      </c>
      <c r="AV29">
        <f t="shared" si="59"/>
        <v>0</v>
      </c>
      <c r="AW29">
        <f t="shared" si="60"/>
        <v>0</v>
      </c>
      <c r="AX29">
        <f t="shared" si="61"/>
        <v>0</v>
      </c>
      <c r="AY29">
        <f t="shared" ref="AY29:BD29" si="66">SUM(AJ29)</f>
        <v>0</v>
      </c>
      <c r="AZ29">
        <f t="shared" si="66"/>
        <v>0</v>
      </c>
      <c r="BA29">
        <f t="shared" si="66"/>
        <v>0</v>
      </c>
      <c r="BB29">
        <f t="shared" si="66"/>
        <v>0</v>
      </c>
      <c r="BC29">
        <f t="shared" si="66"/>
        <v>0</v>
      </c>
      <c r="BD29">
        <f t="shared" si="66"/>
        <v>0</v>
      </c>
      <c r="BE29">
        <f t="shared" si="63"/>
        <v>0</v>
      </c>
      <c r="BG29" s="31">
        <f t="shared" si="64"/>
        <v>0</v>
      </c>
      <c r="BH29" s="32"/>
    </row>
    <row r="30">
      <c r="A30" s="43">
        <v>407938.0</v>
      </c>
      <c r="B30" s="267" t="s">
        <v>546</v>
      </c>
      <c r="D30" s="2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43">
        <v>407938.0</v>
      </c>
      <c r="W30" s="38"/>
      <c r="X30" s="21"/>
      <c r="AA30" s="38"/>
      <c r="AB30" s="21"/>
      <c r="AE30" s="38"/>
      <c r="AF30" s="21"/>
      <c r="AI30" s="38"/>
      <c r="AJ30" s="21"/>
      <c r="AQ30" s="4"/>
      <c r="AR30" s="30"/>
      <c r="AS30">
        <f t="shared" ref="AS30:AT30" si="67">SUM(AP30)</f>
        <v>0</v>
      </c>
      <c r="AT30">
        <f t="shared" si="67"/>
        <v>0</v>
      </c>
      <c r="AU30" s="21">
        <f t="shared" si="58"/>
        <v>0</v>
      </c>
      <c r="AV30">
        <f t="shared" si="59"/>
        <v>0</v>
      </c>
      <c r="AW30">
        <f t="shared" si="60"/>
        <v>0</v>
      </c>
      <c r="AX30">
        <f t="shared" si="61"/>
        <v>0</v>
      </c>
      <c r="AY30">
        <f t="shared" ref="AY30:BD30" si="68">SUM(AJ30)</f>
        <v>0</v>
      </c>
      <c r="AZ30">
        <f t="shared" si="68"/>
        <v>0</v>
      </c>
      <c r="BA30">
        <f t="shared" si="68"/>
        <v>0</v>
      </c>
      <c r="BB30">
        <f t="shared" si="68"/>
        <v>0</v>
      </c>
      <c r="BC30">
        <f t="shared" si="68"/>
        <v>0</v>
      </c>
      <c r="BD30">
        <f t="shared" si="68"/>
        <v>0</v>
      </c>
      <c r="BE30">
        <f t="shared" si="63"/>
        <v>0</v>
      </c>
      <c r="BG30" s="31">
        <f t="shared" si="64"/>
        <v>0</v>
      </c>
      <c r="BH30" s="32"/>
    </row>
  </sheetData>
  <mergeCells count="45">
    <mergeCell ref="N2:N3"/>
    <mergeCell ref="O2:O3"/>
    <mergeCell ref="P2:P3"/>
    <mergeCell ref="Q2:Q3"/>
    <mergeCell ref="R2:R3"/>
    <mergeCell ref="S2:S3"/>
    <mergeCell ref="T2:T3"/>
    <mergeCell ref="W2:W3"/>
    <mergeCell ref="X2:X3"/>
    <mergeCell ref="AA2:AA3"/>
    <mergeCell ref="AB2:AB3"/>
    <mergeCell ref="AE2:AE3"/>
    <mergeCell ref="AF2:AF3"/>
    <mergeCell ref="AI2:AI3"/>
    <mergeCell ref="A1:B1"/>
    <mergeCell ref="C1:C3"/>
    <mergeCell ref="D1:S1"/>
    <mergeCell ref="T1:W1"/>
    <mergeCell ref="X1:AA1"/>
    <mergeCell ref="AB1:AE1"/>
    <mergeCell ref="AF1:AI1"/>
    <mergeCell ref="AP2:AP3"/>
    <mergeCell ref="AQ2:AQ3"/>
    <mergeCell ref="AS1:BE2"/>
    <mergeCell ref="BG1:BG3"/>
    <mergeCell ref="BH1:BH3"/>
    <mergeCell ref="AJ2:AJ3"/>
    <mergeCell ref="AK2:AK3"/>
    <mergeCell ref="AL2:AL3"/>
    <mergeCell ref="AM2:AM3"/>
    <mergeCell ref="AR2:AR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N2:AN3"/>
    <mergeCell ref="AO2:AO3"/>
  </mergeCells>
  <conditionalFormatting sqref="AA4">
    <cfRule type="timePeriod" dxfId="0" priority="1" timePeriod="last7Days"/>
  </conditionalFormatting>
  <conditionalFormatting sqref="AE4">
    <cfRule type="timePeriod" dxfId="0" priority="2" timePeriod="last7Days"/>
  </conditionalFormatting>
  <conditionalFormatting sqref="AE4">
    <cfRule type="timePeriod" dxfId="0" priority="3" timePeriod="last7Days"/>
  </conditionalFormatting>
  <conditionalFormatting sqref="W4 AA4 AE4">
    <cfRule type="timePeriod" dxfId="0" priority="4" timePeriod="last7Days"/>
  </conditionalFormatting>
  <conditionalFormatting sqref="W4">
    <cfRule type="timePeriod" dxfId="0" priority="5" timePeriod="last7Days"/>
  </conditionalFormatting>
  <conditionalFormatting sqref="W4">
    <cfRule type="timePeriod" dxfId="0" priority="6" timePeriod="last7Days"/>
  </conditionalFormatting>
  <conditionalFormatting sqref="AE4">
    <cfRule type="timePeriod" dxfId="0" priority="7" timePeriod="last7Days"/>
  </conditionalFormatting>
  <conditionalFormatting sqref="AS4:BF30">
    <cfRule type="cellIs" dxfId="1" priority="8" operator="lessThan">
      <formula>0.1</formula>
    </cfRule>
  </conditionalFormatting>
  <conditionalFormatting sqref="AS4:BF30">
    <cfRule type="cellIs" dxfId="2" priority="9" operator="greaterThan">
      <formula>0.1</formula>
    </cfRule>
  </conditionalFormatting>
  <conditionalFormatting sqref="BG4:BH30">
    <cfRule type="cellIs" dxfId="3" priority="10" operator="between">
      <formula>60</formula>
      <formula>68</formula>
    </cfRule>
  </conditionalFormatting>
  <conditionalFormatting sqref="BG4:BH30">
    <cfRule type="cellIs" dxfId="4" priority="11" operator="between">
      <formula>68</formula>
      <formula>74</formula>
    </cfRule>
  </conditionalFormatting>
  <conditionalFormatting sqref="BG4:BH30">
    <cfRule type="cellIs" dxfId="2" priority="12" operator="between">
      <formula>74</formula>
      <formula>81</formula>
    </cfRule>
  </conditionalFormatting>
  <conditionalFormatting sqref="BG4:BH30">
    <cfRule type="cellIs" dxfId="5" priority="13" operator="between">
      <formula>81</formula>
      <formula>90</formula>
    </cfRule>
  </conditionalFormatting>
  <conditionalFormatting sqref="BG4:BH30">
    <cfRule type="cellIs" dxfId="6" priority="14" operator="greaterThan">
      <formula>90</formula>
    </cfRule>
  </conditionalFormatting>
  <conditionalFormatting sqref="AA4">
    <cfRule type="timePeriod" dxfId="0" priority="15" timePeriod="last7Days"/>
  </conditionalFormatting>
  <conditionalFormatting sqref="G4:G15 G17:G30">
    <cfRule type="containsText" dxfId="7" priority="16" operator="containsText" text="н">
      <formula>NOT(ISERROR(SEARCH(("н"),(G4))))</formula>
    </cfRule>
  </conditionalFormatting>
  <conditionalFormatting sqref="G4:G15 G17:G30">
    <cfRule type="containsText" dxfId="7" priority="17" operator="containsText" text="n">
      <formula>NOT(ISERROR(SEARCH(("n"),(G4))))</formula>
    </cfRule>
  </conditionalFormatting>
  <conditionalFormatting sqref="F4:F15 F17:F30">
    <cfRule type="containsText" dxfId="7" priority="18" operator="containsText" text="н">
      <formula>NOT(ISERROR(SEARCH(("н"),(F4))))</formula>
    </cfRule>
  </conditionalFormatting>
  <conditionalFormatting sqref="F4:F15 F17:F30">
    <cfRule type="containsText" dxfId="7" priority="19" operator="containsText" text="n">
      <formula>NOT(ISERROR(SEARCH(("n"),(F4))))</formula>
    </cfRule>
  </conditionalFormatting>
  <conditionalFormatting sqref="U4:V4">
    <cfRule type="cellIs" dxfId="8" priority="20" operator="equal">
      <formula>0</formula>
    </cfRule>
  </conditionalFormatting>
  <conditionalFormatting sqref="Y4:Z4">
    <cfRule type="cellIs" dxfId="8" priority="21" operator="equal">
      <formula>0</formula>
    </cfRule>
  </conditionalFormatting>
  <conditionalFormatting sqref="AC4:AD4">
    <cfRule type="cellIs" dxfId="8" priority="22" operator="equal">
      <formula>0</formula>
    </cfRule>
  </conditionalFormatting>
  <conditionalFormatting sqref="AG4:AH4">
    <cfRule type="cellIs" dxfId="8" priority="23" operator="equal">
      <formula>0</formula>
    </cfRule>
  </conditionalFormatting>
  <conditionalFormatting sqref="AJ4:AQ4">
    <cfRule type="cellIs" dxfId="8" priority="24" operator="equal">
      <formula>0</formula>
    </cfRule>
  </conditionalFormatting>
  <conditionalFormatting sqref="D1:S30">
    <cfRule type="containsText" dxfId="7" priority="25" operator="containsText" text="н">
      <formula>NOT(ISERROR(SEARCH(("н"),(D1))))</formula>
    </cfRule>
  </conditionalFormatting>
  <conditionalFormatting sqref="D1:S30">
    <cfRule type="containsText" dxfId="7" priority="26" operator="containsText" text="n">
      <formula>NOT(ISERROR(SEARCH(("n"),(D1))))</formula>
    </cfRule>
  </conditionalFormatting>
  <conditionalFormatting sqref="W4">
    <cfRule type="timePeriod" dxfId="0" priority="27" timePeriod="last7Days"/>
  </conditionalFormatting>
  <conditionalFormatting sqref="AA4">
    <cfRule type="timePeriod" dxfId="0" priority="28" timePeriod="last7Days"/>
  </conditionalFormatting>
  <conditionalFormatting sqref="AE4">
    <cfRule type="timePeriod" dxfId="0" priority="29" timePeriod="last7Days"/>
  </conditionalFormatting>
  <conditionalFormatting sqref="AI4">
    <cfRule type="timePeriod" dxfId="0" priority="30" timePeriod="last7Days"/>
  </conditionalFormatting>
  <conditionalFormatting sqref="BG1:BH30">
    <cfRule type="cellIs" dxfId="3" priority="31" operator="between">
      <formula>60</formula>
      <formula>68</formula>
    </cfRule>
  </conditionalFormatting>
  <conditionalFormatting sqref="AR4:AR30">
    <cfRule type="cellIs" dxfId="6" priority="32" operator="between">
      <formula>12</formula>
      <formula>1000</formula>
    </cfRule>
  </conditionalFormatting>
  <conditionalFormatting sqref="BG1:BH30">
    <cfRule type="cellIs" dxfId="4" priority="33" operator="between">
      <formula>68</formula>
      <formula>74</formula>
    </cfRule>
  </conditionalFormatting>
  <conditionalFormatting sqref="BG1:BH30">
    <cfRule type="cellIs" dxfId="2" priority="34" operator="between">
      <formula>74</formula>
      <formula>81</formula>
    </cfRule>
  </conditionalFormatting>
  <conditionalFormatting sqref="BG1:BH30">
    <cfRule type="cellIs" dxfId="5" priority="35" operator="between">
      <formula>81</formula>
      <formula>90</formula>
    </cfRule>
  </conditionalFormatting>
  <conditionalFormatting sqref="BG1:BH30">
    <cfRule type="cellIs" dxfId="6" priority="36" operator="greaterThan">
      <formula>90</formula>
    </cfRule>
  </conditionalFormatting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26" width="2.88"/>
    <col customWidth="1" min="27" max="27" width="7.13"/>
    <col customWidth="1" min="28" max="28" width="5.38"/>
    <col customWidth="1" min="29" max="29" width="3.88"/>
    <col customWidth="1" min="30" max="30" width="4.63"/>
    <col customWidth="1" min="31" max="31" width="6.5"/>
    <col customWidth="1" min="32" max="32" width="5.13"/>
    <col customWidth="1" min="33" max="33" width="4.0"/>
    <col customWidth="1" min="34" max="34" width="5.0"/>
    <col customWidth="1" min="35" max="35" width="6.38"/>
    <col customWidth="1" min="36" max="36" width="5.13"/>
    <col customWidth="1" min="37" max="37" width="4.0"/>
    <col customWidth="1" min="38" max="38" width="5.0"/>
    <col customWidth="1" min="39" max="39" width="7.63"/>
    <col customWidth="1" min="40" max="40" width="5.0"/>
    <col customWidth="1" min="41" max="41" width="4.5"/>
    <col customWidth="1" min="42" max="42" width="5.0"/>
    <col customWidth="1" min="43" max="43" width="5.63"/>
    <col customWidth="1" min="44" max="44" width="5.13"/>
    <col customWidth="1" min="45" max="45" width="5.38"/>
    <col customWidth="1" min="46" max="46" width="5.0"/>
    <col customWidth="1" min="47" max="48" width="5.38"/>
    <col customWidth="1" min="49" max="50" width="5.88"/>
    <col customWidth="1" min="51" max="51" width="5.63"/>
    <col customWidth="1" min="52" max="52" width="4.5"/>
    <col customWidth="1" min="53" max="53" width="4.38"/>
    <col customWidth="1" min="54" max="58" width="4.25"/>
    <col customWidth="1" min="59" max="59" width="4.63"/>
    <col customWidth="1" min="60" max="60" width="4.5"/>
    <col customWidth="1" min="61" max="62" width="4.63"/>
    <col customWidth="1" min="63" max="63" width="4.5"/>
    <col customWidth="1" min="64" max="65" width="4.38"/>
    <col customWidth="1" min="66" max="66" width="6.63"/>
    <col customWidth="1" min="67" max="67" width="3.25"/>
  </cols>
  <sheetData>
    <row r="1">
      <c r="A1" s="1" t="s">
        <v>547</v>
      </c>
      <c r="C1" s="2" t="s">
        <v>1</v>
      </c>
      <c r="D1" s="3" t="s">
        <v>2</v>
      </c>
      <c r="Z1" s="4"/>
      <c r="AA1" s="5" t="s">
        <v>3</v>
      </c>
      <c r="AD1" s="4"/>
      <c r="AE1" s="5" t="s">
        <v>4</v>
      </c>
      <c r="AH1" s="4"/>
      <c r="AI1" s="5" t="s">
        <v>5</v>
      </c>
      <c r="AL1" s="4"/>
      <c r="AM1" s="5" t="s">
        <v>6</v>
      </c>
      <c r="AP1" s="4"/>
      <c r="AQ1" s="3" t="s">
        <v>7</v>
      </c>
      <c r="AR1" s="6" t="s">
        <v>8</v>
      </c>
      <c r="AS1" s="6" t="s">
        <v>9</v>
      </c>
      <c r="AT1" s="6" t="s">
        <v>10</v>
      </c>
      <c r="AU1" s="6" t="s">
        <v>11</v>
      </c>
      <c r="AV1" s="6" t="s">
        <v>12</v>
      </c>
      <c r="AW1" s="6" t="s">
        <v>13</v>
      </c>
      <c r="AX1" s="7" t="s">
        <v>14</v>
      </c>
      <c r="AY1" s="3" t="s">
        <v>15</v>
      </c>
      <c r="AZ1" s="6" t="s">
        <v>16</v>
      </c>
      <c r="BM1" s="7"/>
      <c r="BN1" s="41" t="s">
        <v>17</v>
      </c>
      <c r="BO1" s="10" t="s">
        <v>18</v>
      </c>
    </row>
    <row r="2">
      <c r="A2" s="11" t="s">
        <v>19</v>
      </c>
      <c r="B2" s="11" t="s">
        <v>20</v>
      </c>
      <c r="C2" s="4"/>
      <c r="D2" s="12">
        <v>45540.0</v>
      </c>
      <c r="E2" s="12">
        <f t="shared" ref="E2:S2" si="1">D2+7</f>
        <v>45547</v>
      </c>
      <c r="F2" s="12">
        <f t="shared" si="1"/>
        <v>45554</v>
      </c>
      <c r="G2" s="12">
        <f t="shared" si="1"/>
        <v>45561</v>
      </c>
      <c r="H2" s="12">
        <f t="shared" si="1"/>
        <v>45568</v>
      </c>
      <c r="I2" s="12">
        <f t="shared" si="1"/>
        <v>45575</v>
      </c>
      <c r="J2" s="12">
        <f t="shared" si="1"/>
        <v>45582</v>
      </c>
      <c r="K2" s="12">
        <f t="shared" si="1"/>
        <v>45589</v>
      </c>
      <c r="L2" s="12">
        <f t="shared" si="1"/>
        <v>45596</v>
      </c>
      <c r="M2" s="12">
        <f t="shared" si="1"/>
        <v>45603</v>
      </c>
      <c r="N2" s="12">
        <f t="shared" si="1"/>
        <v>45610</v>
      </c>
      <c r="O2" s="12">
        <f t="shared" si="1"/>
        <v>45617</v>
      </c>
      <c r="P2" s="12">
        <f t="shared" si="1"/>
        <v>45624</v>
      </c>
      <c r="Q2" s="12">
        <f t="shared" si="1"/>
        <v>45631</v>
      </c>
      <c r="R2" s="12">
        <f t="shared" si="1"/>
        <v>45638</v>
      </c>
      <c r="S2" s="12">
        <f t="shared" si="1"/>
        <v>45645</v>
      </c>
      <c r="T2" s="12"/>
      <c r="U2" s="12">
        <f>S2+39</f>
        <v>45684</v>
      </c>
      <c r="V2" s="12">
        <f>U2+10</f>
        <v>45694</v>
      </c>
      <c r="W2" s="12">
        <f t="shared" ref="W2:X2" si="2">V2+7</f>
        <v>45701</v>
      </c>
      <c r="X2" s="12">
        <f t="shared" si="2"/>
        <v>45708</v>
      </c>
      <c r="Y2" s="12">
        <f>X2+1</f>
        <v>45709</v>
      </c>
      <c r="Z2" s="12">
        <f>Y2+2</f>
        <v>45711</v>
      </c>
      <c r="AA2" s="14" t="s">
        <v>21</v>
      </c>
      <c r="AB2" s="15" t="s">
        <v>22</v>
      </c>
      <c r="AC2" s="15" t="s">
        <v>23</v>
      </c>
      <c r="AD2" s="16" t="s">
        <v>24</v>
      </c>
      <c r="AE2" s="14" t="s">
        <v>21</v>
      </c>
      <c r="AF2" s="15" t="s">
        <v>22</v>
      </c>
      <c r="AG2" s="15" t="s">
        <v>23</v>
      </c>
      <c r="AH2" s="16" t="s">
        <v>24</v>
      </c>
      <c r="AI2" s="14" t="s">
        <v>21</v>
      </c>
      <c r="AJ2" s="15" t="s">
        <v>22</v>
      </c>
      <c r="AK2" s="15" t="s">
        <v>23</v>
      </c>
      <c r="AL2" s="16" t="s">
        <v>24</v>
      </c>
      <c r="AM2" s="14" t="s">
        <v>21</v>
      </c>
      <c r="AN2" s="15" t="s">
        <v>22</v>
      </c>
      <c r="AO2" s="15" t="s">
        <v>23</v>
      </c>
      <c r="AP2" s="16" t="s">
        <v>24</v>
      </c>
      <c r="AQ2" s="17" t="s">
        <v>25</v>
      </c>
      <c r="AR2" s="18" t="s">
        <v>25</v>
      </c>
      <c r="AS2" s="18" t="s">
        <v>25</v>
      </c>
      <c r="AT2" s="18" t="s">
        <v>25</v>
      </c>
      <c r="AU2" s="18" t="s">
        <v>25</v>
      </c>
      <c r="AV2" s="18" t="s">
        <v>25</v>
      </c>
      <c r="AW2" s="15" t="s">
        <v>26</v>
      </c>
      <c r="AX2" s="19" t="s">
        <v>26</v>
      </c>
      <c r="AY2" s="14" t="s">
        <v>27</v>
      </c>
      <c r="BM2" s="7"/>
      <c r="BN2" s="4"/>
    </row>
    <row r="3">
      <c r="C3" s="4"/>
      <c r="AA3" s="21"/>
      <c r="AB3" s="18" t="s">
        <v>26</v>
      </c>
      <c r="AC3" s="18" t="s">
        <v>28</v>
      </c>
      <c r="AD3" s="4"/>
      <c r="AE3" s="21"/>
      <c r="AF3" s="18" t="s">
        <v>26</v>
      </c>
      <c r="AG3" s="18" t="s">
        <v>28</v>
      </c>
      <c r="AH3" s="4"/>
      <c r="AI3" s="21"/>
      <c r="AJ3" s="15" t="s">
        <v>26</v>
      </c>
      <c r="AK3" s="15" t="s">
        <v>28</v>
      </c>
      <c r="AL3" s="4"/>
      <c r="AM3" s="21"/>
      <c r="AN3" s="15" t="s">
        <v>26</v>
      </c>
      <c r="AO3" s="15" t="s">
        <v>28</v>
      </c>
      <c r="AP3" s="4"/>
      <c r="AQ3" s="21"/>
      <c r="AX3" s="4"/>
      <c r="AY3" s="21"/>
      <c r="AZ3" s="17" t="s">
        <v>29</v>
      </c>
      <c r="BA3" s="18" t="s">
        <v>30</v>
      </c>
      <c r="BB3" s="18" t="s">
        <v>3</v>
      </c>
      <c r="BC3" s="18" t="s">
        <v>4</v>
      </c>
      <c r="BD3" s="18" t="s">
        <v>5</v>
      </c>
      <c r="BE3" s="18" t="s">
        <v>6</v>
      </c>
      <c r="BF3" s="18" t="s">
        <v>7</v>
      </c>
      <c r="BG3" s="18" t="s">
        <v>8</v>
      </c>
      <c r="BH3" s="18" t="s">
        <v>9</v>
      </c>
      <c r="BI3" s="18" t="s">
        <v>10</v>
      </c>
      <c r="BJ3" s="18" t="s">
        <v>11</v>
      </c>
      <c r="BK3" s="18" t="s">
        <v>12</v>
      </c>
      <c r="BL3" s="18" t="s">
        <v>31</v>
      </c>
      <c r="BM3" s="23" t="s">
        <v>23</v>
      </c>
      <c r="BN3" s="4"/>
    </row>
    <row r="4">
      <c r="A4" s="43">
        <v>464902.0</v>
      </c>
      <c r="B4" s="55" t="s">
        <v>548</v>
      </c>
      <c r="C4" s="24"/>
      <c r="D4" s="25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T4" s="27"/>
      <c r="U4" s="27"/>
      <c r="V4" s="27"/>
      <c r="W4" s="27"/>
      <c r="X4" s="27"/>
      <c r="Y4" s="27"/>
      <c r="Z4" s="27"/>
      <c r="AA4" s="43">
        <v>464902.0</v>
      </c>
      <c r="AD4" s="68"/>
      <c r="AE4" s="28"/>
      <c r="AH4" s="24"/>
      <c r="AI4" s="28"/>
      <c r="AL4" s="24"/>
      <c r="AM4" s="28"/>
      <c r="AN4" s="29"/>
      <c r="AP4" s="68"/>
      <c r="AQ4" s="28"/>
      <c r="AX4" s="24"/>
      <c r="AY4" s="28"/>
      <c r="AZ4" s="21">
        <f t="shared" ref="AZ4:BA4" si="3">SUM(AW4)</f>
        <v>0</v>
      </c>
      <c r="BA4">
        <f t="shared" si="3"/>
        <v>0</v>
      </c>
      <c r="BB4">
        <f t="shared" ref="BB4:BB25" si="6">SUM(AB4,AC4)</f>
        <v>0</v>
      </c>
      <c r="BC4">
        <f t="shared" ref="BC4:BC25" si="7">SUM(AF4,AG4)</f>
        <v>0</v>
      </c>
      <c r="BD4">
        <f t="shared" ref="BD4:BD25" si="8">SUM(AJ4,AK4)</f>
        <v>0</v>
      </c>
      <c r="BE4">
        <f t="shared" ref="BE4:BE25" si="9">SUM(AN4,AO4)</f>
        <v>0</v>
      </c>
      <c r="BF4">
        <f t="shared" ref="BF4:BK4" si="4">SUM(AQ4)</f>
        <v>0</v>
      </c>
      <c r="BG4">
        <f t="shared" si="4"/>
        <v>0</v>
      </c>
      <c r="BH4">
        <f t="shared" si="4"/>
        <v>0</v>
      </c>
      <c r="BI4">
        <f t="shared" si="4"/>
        <v>0</v>
      </c>
      <c r="BJ4">
        <f t="shared" si="4"/>
        <v>0</v>
      </c>
      <c r="BK4">
        <f t="shared" si="4"/>
        <v>0</v>
      </c>
      <c r="BL4">
        <f t="shared" ref="BL4:BL25" si="11">SUM(AY4)</f>
        <v>0</v>
      </c>
      <c r="BM4" s="4"/>
      <c r="BN4" s="50">
        <f t="shared" ref="BN4:BN25" si="12">SUM(AZ4:BM4)</f>
        <v>0</v>
      </c>
      <c r="BO4" s="32"/>
    </row>
    <row r="5">
      <c r="A5" s="43">
        <v>465026.0</v>
      </c>
      <c r="B5" s="55" t="s">
        <v>549</v>
      </c>
      <c r="C5" s="24"/>
      <c r="D5" s="25" t="s">
        <v>55</v>
      </c>
      <c r="E5" s="27"/>
      <c r="F5" s="27"/>
      <c r="G5" s="27"/>
      <c r="H5" s="27"/>
      <c r="I5" s="27">
        <v>1.0</v>
      </c>
      <c r="J5" s="27">
        <v>1.0</v>
      </c>
      <c r="K5" s="27"/>
      <c r="L5" s="27"/>
      <c r="M5" s="27"/>
      <c r="N5" s="27">
        <v>2.0</v>
      </c>
      <c r="O5" s="27">
        <v>1.0</v>
      </c>
      <c r="P5" s="27">
        <v>1.0</v>
      </c>
      <c r="Q5" s="27">
        <v>1.0</v>
      </c>
      <c r="R5" s="27">
        <v>1.0</v>
      </c>
      <c r="T5" s="27" t="s">
        <v>55</v>
      </c>
      <c r="U5" s="27"/>
      <c r="V5" s="27"/>
      <c r="W5" s="27"/>
      <c r="X5" s="27"/>
      <c r="Y5" s="27"/>
      <c r="Z5" s="27"/>
      <c r="AA5" s="43">
        <v>465026.0</v>
      </c>
      <c r="AB5" s="36">
        <v>8.0</v>
      </c>
      <c r="AC5" s="36">
        <v>2.0</v>
      </c>
      <c r="AD5" s="24">
        <v>17.1</v>
      </c>
      <c r="AE5" s="28">
        <v>65548.0</v>
      </c>
      <c r="AF5" s="36">
        <v>10.0</v>
      </c>
      <c r="AG5" s="36">
        <v>2.0</v>
      </c>
      <c r="AH5" s="24">
        <v>21.11</v>
      </c>
      <c r="AI5" s="28">
        <v>342453.0</v>
      </c>
      <c r="AJ5" s="36">
        <v>10.0</v>
      </c>
      <c r="AK5" s="36">
        <v>2.0</v>
      </c>
      <c r="AL5" s="24">
        <v>5.12</v>
      </c>
      <c r="AM5" s="28">
        <v>3.4241234E7</v>
      </c>
      <c r="AN5" s="36">
        <v>10.0</v>
      </c>
      <c r="AO5" s="36">
        <v>2.0</v>
      </c>
      <c r="AP5" s="24">
        <v>29.12</v>
      </c>
      <c r="AQ5" s="28">
        <v>0.3</v>
      </c>
      <c r="AU5" s="36">
        <v>0.8</v>
      </c>
      <c r="AW5" s="36">
        <v>6.0</v>
      </c>
      <c r="AX5" s="24">
        <v>6.0</v>
      </c>
      <c r="AY5" s="28">
        <f t="shared" ref="AY5:AY6" si="13">SUM(AW5:AX5)</f>
        <v>12</v>
      </c>
      <c r="AZ5" s="21">
        <f t="shared" ref="AZ5:BA5" si="5">SUM(AW5)</f>
        <v>6</v>
      </c>
      <c r="BA5">
        <f t="shared" si="5"/>
        <v>6</v>
      </c>
      <c r="BB5">
        <f t="shared" si="6"/>
        <v>10</v>
      </c>
      <c r="BC5">
        <f t="shared" si="7"/>
        <v>12</v>
      </c>
      <c r="BD5">
        <f t="shared" si="8"/>
        <v>12</v>
      </c>
      <c r="BE5">
        <f t="shared" si="9"/>
        <v>12</v>
      </c>
      <c r="BF5">
        <f t="shared" ref="BF5:BK5" si="10">SUM(AQ5)</f>
        <v>0.3</v>
      </c>
      <c r="BG5">
        <f t="shared" si="10"/>
        <v>0</v>
      </c>
      <c r="BH5">
        <f t="shared" si="10"/>
        <v>0</v>
      </c>
      <c r="BI5">
        <f t="shared" si="10"/>
        <v>0</v>
      </c>
      <c r="BJ5">
        <f t="shared" si="10"/>
        <v>0.8</v>
      </c>
      <c r="BK5">
        <f t="shared" si="10"/>
        <v>0</v>
      </c>
      <c r="BL5">
        <f t="shared" si="11"/>
        <v>12</v>
      </c>
      <c r="BM5" s="4"/>
      <c r="BN5" s="50">
        <f t="shared" si="12"/>
        <v>71.1</v>
      </c>
      <c r="BO5" s="32">
        <v>1.0</v>
      </c>
    </row>
    <row r="6">
      <c r="A6" s="43">
        <v>431831.0</v>
      </c>
      <c r="B6" s="55" t="s">
        <v>550</v>
      </c>
      <c r="C6" s="24"/>
      <c r="D6" s="25"/>
      <c r="E6" s="27"/>
      <c r="F6" s="27">
        <v>2.0</v>
      </c>
      <c r="G6" s="27"/>
      <c r="H6" s="27"/>
      <c r="I6" s="27">
        <v>3.0</v>
      </c>
      <c r="J6" s="27"/>
      <c r="K6" s="27"/>
      <c r="L6" s="27"/>
      <c r="M6" s="27"/>
      <c r="N6" s="27"/>
      <c r="O6" s="27"/>
      <c r="P6" s="27">
        <v>2.0</v>
      </c>
      <c r="Q6" s="27">
        <v>1.0</v>
      </c>
      <c r="R6" s="27">
        <v>1.0</v>
      </c>
      <c r="T6" s="27" t="s">
        <v>55</v>
      </c>
      <c r="U6" s="27"/>
      <c r="V6" s="27"/>
      <c r="W6" s="27"/>
      <c r="X6" s="27"/>
      <c r="Y6" s="27"/>
      <c r="Z6" s="27"/>
      <c r="AA6" s="43">
        <v>431831.0</v>
      </c>
      <c r="AB6" s="36">
        <v>10.0</v>
      </c>
      <c r="AC6" s="36">
        <v>2.0</v>
      </c>
      <c r="AD6" s="24">
        <v>19.09</v>
      </c>
      <c r="AE6" s="28">
        <v>44213.0</v>
      </c>
      <c r="AF6" s="36">
        <v>9.5</v>
      </c>
      <c r="AG6" s="36">
        <v>2.0</v>
      </c>
      <c r="AH6" s="24">
        <v>10.1</v>
      </c>
      <c r="AI6" s="28">
        <v>512133.0</v>
      </c>
      <c r="AJ6" s="36">
        <v>10.0</v>
      </c>
      <c r="AK6" s="36">
        <v>2.0</v>
      </c>
      <c r="AL6" s="24">
        <v>28.11</v>
      </c>
      <c r="AM6" s="28">
        <v>442459.0</v>
      </c>
      <c r="AN6" s="36">
        <v>10.0</v>
      </c>
      <c r="AO6" s="36">
        <v>2.0</v>
      </c>
      <c r="AP6" s="24">
        <v>29.12</v>
      </c>
      <c r="AQ6" s="28">
        <v>1.9</v>
      </c>
      <c r="AR6" s="36">
        <v>1.4</v>
      </c>
      <c r="AT6" s="36">
        <v>0.4</v>
      </c>
      <c r="AU6" s="36">
        <v>0.01</v>
      </c>
      <c r="AV6" s="36">
        <v>0.01</v>
      </c>
      <c r="AW6" s="36">
        <v>6.0</v>
      </c>
      <c r="AX6" s="24">
        <v>6.0</v>
      </c>
      <c r="AY6" s="28">
        <f t="shared" si="13"/>
        <v>12</v>
      </c>
      <c r="AZ6" s="21">
        <f t="shared" ref="AZ6:BA6" si="14">SUM(AW6)</f>
        <v>6</v>
      </c>
      <c r="BA6">
        <f t="shared" si="14"/>
        <v>6</v>
      </c>
      <c r="BB6">
        <f t="shared" si="6"/>
        <v>12</v>
      </c>
      <c r="BC6">
        <f t="shared" si="7"/>
        <v>11.5</v>
      </c>
      <c r="BD6">
        <f t="shared" si="8"/>
        <v>12</v>
      </c>
      <c r="BE6">
        <f t="shared" si="9"/>
        <v>12</v>
      </c>
      <c r="BF6">
        <f t="shared" ref="BF6:BK6" si="15">SUM(AQ6)</f>
        <v>1.9</v>
      </c>
      <c r="BG6">
        <f t="shared" si="15"/>
        <v>1.4</v>
      </c>
      <c r="BH6">
        <f t="shared" si="15"/>
        <v>0</v>
      </c>
      <c r="BI6">
        <f t="shared" si="15"/>
        <v>0.4</v>
      </c>
      <c r="BJ6">
        <f t="shared" si="15"/>
        <v>0.01</v>
      </c>
      <c r="BK6">
        <f t="shared" si="15"/>
        <v>0.01</v>
      </c>
      <c r="BL6">
        <f t="shared" si="11"/>
        <v>12</v>
      </c>
      <c r="BM6" s="4"/>
      <c r="BN6" s="50">
        <f t="shared" si="12"/>
        <v>75.22</v>
      </c>
      <c r="BO6" s="32">
        <v>1.0</v>
      </c>
    </row>
    <row r="7">
      <c r="A7" s="43">
        <v>465601.0</v>
      </c>
      <c r="B7" s="55" t="s">
        <v>551</v>
      </c>
      <c r="C7" s="24"/>
      <c r="D7" s="25"/>
      <c r="E7" s="27"/>
      <c r="F7" s="27"/>
      <c r="G7" s="27"/>
      <c r="H7" s="27"/>
      <c r="I7" s="27"/>
      <c r="J7" s="27"/>
      <c r="K7" s="27"/>
      <c r="L7" s="27"/>
      <c r="M7" s="27">
        <v>1.0</v>
      </c>
      <c r="N7" s="27">
        <v>1.0</v>
      </c>
      <c r="O7" s="27">
        <v>1.0</v>
      </c>
      <c r="P7" s="27">
        <v>1.0</v>
      </c>
      <c r="Q7" s="27"/>
      <c r="R7" s="27"/>
      <c r="T7" s="27">
        <v>1.0</v>
      </c>
      <c r="U7" s="27"/>
      <c r="V7" s="27"/>
      <c r="W7" s="27"/>
      <c r="X7" s="27"/>
      <c r="Y7" s="27"/>
      <c r="Z7" s="27"/>
      <c r="AA7" s="43">
        <v>465601.0</v>
      </c>
      <c r="AB7" s="36">
        <v>9.0</v>
      </c>
      <c r="AC7" s="36">
        <v>0.0</v>
      </c>
      <c r="AD7" s="24">
        <v>14.11</v>
      </c>
      <c r="AE7" s="28">
        <v>123244.0</v>
      </c>
      <c r="AF7" s="36">
        <v>10.0</v>
      </c>
      <c r="AG7" s="36">
        <v>0.0</v>
      </c>
      <c r="AH7" s="24">
        <v>28.11</v>
      </c>
      <c r="AI7" s="28">
        <v>453454.0</v>
      </c>
      <c r="AJ7" s="36">
        <v>10.0</v>
      </c>
      <c r="AK7" s="36">
        <v>1.0</v>
      </c>
      <c r="AL7" s="24">
        <v>19.12</v>
      </c>
      <c r="AM7" s="28">
        <v>765423.0</v>
      </c>
      <c r="AN7" s="36">
        <v>0.1</v>
      </c>
      <c r="AP7" s="24"/>
      <c r="AQ7" s="28"/>
      <c r="AU7" s="36">
        <v>1.6</v>
      </c>
      <c r="AW7" s="36">
        <v>0.01</v>
      </c>
      <c r="AX7" s="24">
        <v>0.01</v>
      </c>
      <c r="AY7" s="28"/>
      <c r="AZ7" s="21">
        <f t="shared" ref="AZ7:BA7" si="16">SUM(AW7)</f>
        <v>0.01</v>
      </c>
      <c r="BA7">
        <f t="shared" si="16"/>
        <v>0.01</v>
      </c>
      <c r="BB7">
        <f t="shared" si="6"/>
        <v>9</v>
      </c>
      <c r="BC7">
        <f t="shared" si="7"/>
        <v>10</v>
      </c>
      <c r="BD7">
        <f t="shared" si="8"/>
        <v>11</v>
      </c>
      <c r="BE7">
        <f t="shared" si="9"/>
        <v>0.1</v>
      </c>
      <c r="BF7">
        <f t="shared" ref="BF7:BK7" si="17">SUM(AQ7)</f>
        <v>0</v>
      </c>
      <c r="BG7">
        <f t="shared" si="17"/>
        <v>0</v>
      </c>
      <c r="BH7">
        <f t="shared" si="17"/>
        <v>0</v>
      </c>
      <c r="BI7">
        <f t="shared" si="17"/>
        <v>0</v>
      </c>
      <c r="BJ7">
        <f t="shared" si="17"/>
        <v>1.6</v>
      </c>
      <c r="BK7">
        <f t="shared" si="17"/>
        <v>0</v>
      </c>
      <c r="BL7">
        <f t="shared" si="11"/>
        <v>0</v>
      </c>
      <c r="BM7" s="4"/>
      <c r="BN7" s="50">
        <f t="shared" si="12"/>
        <v>31.72</v>
      </c>
      <c r="BO7" s="32"/>
    </row>
    <row r="8">
      <c r="A8" s="43">
        <v>465602.0</v>
      </c>
      <c r="B8" s="55" t="s">
        <v>552</v>
      </c>
      <c r="C8" s="24"/>
      <c r="D8" s="25" t="s">
        <v>55</v>
      </c>
      <c r="E8" s="27"/>
      <c r="F8" s="27"/>
      <c r="G8" s="27"/>
      <c r="H8" s="27"/>
      <c r="I8" s="27"/>
      <c r="J8" s="27"/>
      <c r="K8" s="27">
        <v>1.0</v>
      </c>
      <c r="L8" s="27">
        <v>3.0</v>
      </c>
      <c r="M8" s="27"/>
      <c r="N8" s="27">
        <v>1.0</v>
      </c>
      <c r="O8" s="27">
        <v>1.0</v>
      </c>
      <c r="P8" s="27"/>
      <c r="Q8" s="27"/>
      <c r="R8" s="27"/>
      <c r="T8" s="27">
        <v>2.0</v>
      </c>
      <c r="U8" s="27"/>
      <c r="V8" s="27"/>
      <c r="W8" s="27"/>
      <c r="X8" s="27"/>
      <c r="Y8" s="27"/>
      <c r="Z8" s="27"/>
      <c r="AA8" s="43">
        <v>465602.0</v>
      </c>
      <c r="AB8" s="36">
        <v>9.0</v>
      </c>
      <c r="AC8" s="36">
        <v>1.0</v>
      </c>
      <c r="AD8" s="24">
        <v>31.1</v>
      </c>
      <c r="AE8" s="28">
        <v>32422.0</v>
      </c>
      <c r="AF8" s="36">
        <v>10.0</v>
      </c>
      <c r="AG8" s="36">
        <v>1.0</v>
      </c>
      <c r="AH8" s="24">
        <v>21.11</v>
      </c>
      <c r="AI8" s="28">
        <v>342342.0</v>
      </c>
      <c r="AJ8" s="36">
        <v>10.0</v>
      </c>
      <c r="AK8" s="36">
        <v>1.0</v>
      </c>
      <c r="AL8" s="24">
        <v>19.12</v>
      </c>
      <c r="AM8" s="28">
        <v>432136.0</v>
      </c>
      <c r="AN8" s="36">
        <v>6.0</v>
      </c>
      <c r="AO8" s="36">
        <v>0.0</v>
      </c>
      <c r="AP8" s="24">
        <v>25.02</v>
      </c>
      <c r="AQ8" s="28">
        <v>0.1</v>
      </c>
      <c r="AW8" s="36">
        <v>8.5</v>
      </c>
      <c r="AX8" s="24">
        <v>6.0</v>
      </c>
      <c r="AY8" s="28">
        <f t="shared" ref="AY8:AY18" si="20">SUM(AW8:AX8)</f>
        <v>14.5</v>
      </c>
      <c r="AZ8" s="21">
        <f t="shared" ref="AZ8:BA8" si="18">SUM(AW8)</f>
        <v>8.5</v>
      </c>
      <c r="BA8">
        <f t="shared" si="18"/>
        <v>6</v>
      </c>
      <c r="BB8">
        <f t="shared" si="6"/>
        <v>10</v>
      </c>
      <c r="BC8">
        <f t="shared" si="7"/>
        <v>11</v>
      </c>
      <c r="BD8">
        <f t="shared" si="8"/>
        <v>11</v>
      </c>
      <c r="BE8">
        <f t="shared" si="9"/>
        <v>6</v>
      </c>
      <c r="BF8">
        <f t="shared" ref="BF8:BK8" si="19">SUM(AQ8)</f>
        <v>0.1</v>
      </c>
      <c r="BG8">
        <f t="shared" si="19"/>
        <v>0</v>
      </c>
      <c r="BH8">
        <f t="shared" si="19"/>
        <v>0</v>
      </c>
      <c r="BI8">
        <f t="shared" si="19"/>
        <v>0</v>
      </c>
      <c r="BJ8">
        <f t="shared" si="19"/>
        <v>0</v>
      </c>
      <c r="BK8">
        <f t="shared" si="19"/>
        <v>0</v>
      </c>
      <c r="BL8">
        <f t="shared" si="11"/>
        <v>14.5</v>
      </c>
      <c r="BM8" s="4"/>
      <c r="BN8" s="50">
        <f t="shared" si="12"/>
        <v>67.1</v>
      </c>
      <c r="BO8" s="32">
        <v>2.0</v>
      </c>
    </row>
    <row r="9">
      <c r="A9" s="43">
        <v>471855.0</v>
      </c>
      <c r="B9" s="55" t="s">
        <v>553</v>
      </c>
      <c r="C9" s="4"/>
      <c r="D9" s="25" t="s">
        <v>55</v>
      </c>
      <c r="E9" s="27"/>
      <c r="F9" s="27"/>
      <c r="G9" s="27"/>
      <c r="H9" s="27">
        <v>1.0</v>
      </c>
      <c r="I9" s="27">
        <v>2.0</v>
      </c>
      <c r="J9" s="27"/>
      <c r="K9" s="27"/>
      <c r="L9" s="27"/>
      <c r="M9" s="27"/>
      <c r="N9" s="27">
        <v>2.0</v>
      </c>
      <c r="O9" s="27"/>
      <c r="P9" s="27">
        <v>1.0</v>
      </c>
      <c r="Q9" s="27"/>
      <c r="R9" s="27">
        <v>1.0</v>
      </c>
      <c r="T9" s="27">
        <v>2.0</v>
      </c>
      <c r="U9" s="27"/>
      <c r="V9" s="27"/>
      <c r="W9" s="27"/>
      <c r="X9" s="27"/>
      <c r="Y9" s="27"/>
      <c r="Z9" s="27"/>
      <c r="AA9" s="43">
        <v>471855.0</v>
      </c>
      <c r="AB9" s="61">
        <v>10.0</v>
      </c>
      <c r="AC9" s="61">
        <v>2.0</v>
      </c>
      <c r="AD9" s="109">
        <v>10.1</v>
      </c>
      <c r="AE9" s="62">
        <v>232343.0</v>
      </c>
      <c r="AF9" s="61">
        <v>10.0</v>
      </c>
      <c r="AG9" s="61">
        <v>2.0</v>
      </c>
      <c r="AH9" s="109">
        <v>14.11</v>
      </c>
      <c r="AI9" s="62">
        <v>324757.0</v>
      </c>
      <c r="AJ9" s="36">
        <v>10.0</v>
      </c>
      <c r="AK9" s="36">
        <v>2.0</v>
      </c>
      <c r="AL9" s="24">
        <v>28.11</v>
      </c>
      <c r="AM9" s="28">
        <v>342341.0</v>
      </c>
      <c r="AN9" s="36">
        <v>10.0</v>
      </c>
      <c r="AO9" s="36">
        <v>2.0</v>
      </c>
      <c r="AP9" s="24">
        <v>29.12</v>
      </c>
      <c r="AQ9" s="28">
        <v>0.5</v>
      </c>
      <c r="AR9" s="36">
        <v>0.8</v>
      </c>
      <c r="AS9" s="36">
        <v>0.5</v>
      </c>
      <c r="AT9" s="36">
        <v>0.4</v>
      </c>
      <c r="AU9" s="36">
        <v>1.2</v>
      </c>
      <c r="AV9" s="36">
        <v>0.4</v>
      </c>
      <c r="AW9" s="36">
        <v>6.5</v>
      </c>
      <c r="AX9" s="24">
        <v>6.0</v>
      </c>
      <c r="AY9" s="28">
        <f t="shared" si="20"/>
        <v>12.5</v>
      </c>
      <c r="AZ9" s="21">
        <f t="shared" ref="AZ9:BA9" si="21">SUM(AW9)</f>
        <v>6.5</v>
      </c>
      <c r="BA9">
        <f t="shared" si="21"/>
        <v>6</v>
      </c>
      <c r="BB9">
        <f t="shared" si="6"/>
        <v>12</v>
      </c>
      <c r="BC9">
        <f t="shared" si="7"/>
        <v>12</v>
      </c>
      <c r="BD9">
        <f t="shared" si="8"/>
        <v>12</v>
      </c>
      <c r="BE9">
        <f t="shared" si="9"/>
        <v>12</v>
      </c>
      <c r="BF9">
        <f t="shared" ref="BF9:BK9" si="22">SUM(AQ9)</f>
        <v>0.5</v>
      </c>
      <c r="BG9">
        <f t="shared" si="22"/>
        <v>0.8</v>
      </c>
      <c r="BH9">
        <f t="shared" si="22"/>
        <v>0.5</v>
      </c>
      <c r="BI9">
        <f t="shared" si="22"/>
        <v>0.4</v>
      </c>
      <c r="BJ9">
        <f t="shared" si="22"/>
        <v>1.2</v>
      </c>
      <c r="BK9">
        <f t="shared" si="22"/>
        <v>0.4</v>
      </c>
      <c r="BL9">
        <f t="shared" si="11"/>
        <v>12.5</v>
      </c>
      <c r="BM9" s="4"/>
      <c r="BN9" s="50">
        <f t="shared" si="12"/>
        <v>76.8</v>
      </c>
      <c r="BO9" s="32">
        <v>1.0</v>
      </c>
    </row>
    <row r="10">
      <c r="A10" s="43">
        <v>435169.0</v>
      </c>
      <c r="B10" s="55" t="s">
        <v>554</v>
      </c>
      <c r="C10" s="24"/>
      <c r="D10" s="25">
        <v>2.0</v>
      </c>
      <c r="E10" s="27"/>
      <c r="F10" s="27">
        <v>1.0</v>
      </c>
      <c r="G10" s="27"/>
      <c r="H10" s="27"/>
      <c r="I10" s="27">
        <v>1.0</v>
      </c>
      <c r="J10" s="27"/>
      <c r="K10" s="27"/>
      <c r="L10" s="27"/>
      <c r="M10" s="27">
        <v>1.0</v>
      </c>
      <c r="N10" s="27"/>
      <c r="O10" s="27"/>
      <c r="P10" s="27"/>
      <c r="Q10" s="27">
        <v>1.0</v>
      </c>
      <c r="R10" s="27">
        <v>1.0</v>
      </c>
      <c r="T10" s="27" t="s">
        <v>55</v>
      </c>
      <c r="U10" s="27"/>
      <c r="V10" s="27"/>
      <c r="W10" s="27"/>
      <c r="X10" s="27"/>
      <c r="Y10" s="27"/>
      <c r="Z10" s="27"/>
      <c r="AA10" s="43">
        <v>435169.0</v>
      </c>
      <c r="AB10" s="36">
        <v>10.0</v>
      </c>
      <c r="AC10" s="36">
        <v>2.0</v>
      </c>
      <c r="AD10" s="24">
        <v>8.09</v>
      </c>
      <c r="AE10" s="28">
        <v>81.0</v>
      </c>
      <c r="AF10" s="36">
        <v>10.0</v>
      </c>
      <c r="AG10" s="36">
        <v>2.0</v>
      </c>
      <c r="AH10" s="24">
        <v>10.1</v>
      </c>
      <c r="AI10" s="28">
        <v>434343.0</v>
      </c>
      <c r="AJ10" s="36">
        <v>10.0</v>
      </c>
      <c r="AK10" s="36">
        <v>2.0</v>
      </c>
      <c r="AL10" s="24">
        <v>7.11</v>
      </c>
      <c r="AM10" s="28">
        <v>434.0</v>
      </c>
      <c r="AN10" s="36">
        <v>10.0</v>
      </c>
      <c r="AO10" s="36">
        <v>2.0</v>
      </c>
      <c r="AP10" s="24">
        <v>29.12</v>
      </c>
      <c r="AQ10" s="28">
        <v>1.6</v>
      </c>
      <c r="AU10" s="36">
        <v>1.6</v>
      </c>
      <c r="AV10" s="36">
        <v>0.93</v>
      </c>
      <c r="AW10" s="36">
        <v>8.0</v>
      </c>
      <c r="AX10" s="24">
        <v>7.0</v>
      </c>
      <c r="AY10" s="28">
        <f t="shared" si="20"/>
        <v>15</v>
      </c>
      <c r="AZ10" s="21">
        <f t="shared" ref="AZ10:BA10" si="23">SUM(AW10)</f>
        <v>8</v>
      </c>
      <c r="BA10">
        <f t="shared" si="23"/>
        <v>7</v>
      </c>
      <c r="BB10">
        <f t="shared" si="6"/>
        <v>12</v>
      </c>
      <c r="BC10">
        <f t="shared" si="7"/>
        <v>12</v>
      </c>
      <c r="BD10">
        <f t="shared" si="8"/>
        <v>12</v>
      </c>
      <c r="BE10">
        <f t="shared" si="9"/>
        <v>12</v>
      </c>
      <c r="BF10">
        <f t="shared" ref="BF10:BK10" si="24">SUM(AQ10)</f>
        <v>1.6</v>
      </c>
      <c r="BG10">
        <f t="shared" si="24"/>
        <v>0</v>
      </c>
      <c r="BH10">
        <f t="shared" si="24"/>
        <v>0</v>
      </c>
      <c r="BI10">
        <f t="shared" si="24"/>
        <v>0</v>
      </c>
      <c r="BJ10">
        <f t="shared" si="24"/>
        <v>1.6</v>
      </c>
      <c r="BK10">
        <f t="shared" si="24"/>
        <v>0.93</v>
      </c>
      <c r="BL10">
        <f t="shared" si="11"/>
        <v>15</v>
      </c>
      <c r="BM10" s="24">
        <v>1.0</v>
      </c>
      <c r="BN10" s="50">
        <f t="shared" si="12"/>
        <v>83.13</v>
      </c>
      <c r="BO10" s="32">
        <v>1.0</v>
      </c>
    </row>
    <row r="11">
      <c r="A11" s="43">
        <v>465676.0</v>
      </c>
      <c r="B11" s="55" t="s">
        <v>555</v>
      </c>
      <c r="C11" s="24"/>
      <c r="D11" s="25" t="s">
        <v>55</v>
      </c>
      <c r="E11" s="25" t="s">
        <v>55</v>
      </c>
      <c r="F11" s="27"/>
      <c r="G11" s="27"/>
      <c r="H11" s="27">
        <v>3.0</v>
      </c>
      <c r="I11" s="27">
        <v>1.0</v>
      </c>
      <c r="J11" s="27">
        <v>1.0</v>
      </c>
      <c r="K11" s="27">
        <v>3.0</v>
      </c>
      <c r="L11" s="27"/>
      <c r="M11" s="27"/>
      <c r="N11" s="27"/>
      <c r="O11" s="27"/>
      <c r="P11" s="27">
        <v>3.0</v>
      </c>
      <c r="Q11" s="27"/>
      <c r="R11" s="27"/>
      <c r="T11" s="27" t="s">
        <v>55</v>
      </c>
      <c r="U11" s="27"/>
      <c r="V11" s="27"/>
      <c r="W11" s="27"/>
      <c r="X11" s="27"/>
      <c r="Y11" s="27"/>
      <c r="Z11" s="27"/>
      <c r="AA11" s="43">
        <v>465676.0</v>
      </c>
      <c r="AB11" s="36">
        <v>8.0</v>
      </c>
      <c r="AC11" s="36">
        <v>2.0</v>
      </c>
      <c r="AD11" s="24">
        <v>3.1</v>
      </c>
      <c r="AE11" s="28">
        <v>34312.0</v>
      </c>
      <c r="AF11" s="36">
        <v>8.0</v>
      </c>
      <c r="AG11" s="36">
        <v>2.0</v>
      </c>
      <c r="AH11" s="24">
        <v>24.1</v>
      </c>
      <c r="AI11" s="28">
        <v>565928.0</v>
      </c>
      <c r="AJ11" s="36">
        <v>8.5</v>
      </c>
      <c r="AK11" s="36">
        <v>2.0</v>
      </c>
      <c r="AL11" s="24">
        <v>28.11</v>
      </c>
      <c r="AM11" s="28">
        <v>3.2434212E7</v>
      </c>
      <c r="AN11" s="36">
        <v>6.0</v>
      </c>
      <c r="AO11" s="36">
        <v>0.0</v>
      </c>
      <c r="AP11" s="24">
        <v>18.02</v>
      </c>
      <c r="AQ11" s="28"/>
      <c r="AW11" s="36">
        <v>6.5</v>
      </c>
      <c r="AX11" s="24">
        <v>6.0</v>
      </c>
      <c r="AY11" s="28">
        <f t="shared" si="20"/>
        <v>12.5</v>
      </c>
      <c r="AZ11" s="21">
        <f t="shared" ref="AZ11:BA11" si="25">SUM(AW11)</f>
        <v>6.5</v>
      </c>
      <c r="BA11">
        <f t="shared" si="25"/>
        <v>6</v>
      </c>
      <c r="BB11">
        <f t="shared" si="6"/>
        <v>10</v>
      </c>
      <c r="BC11">
        <f t="shared" si="7"/>
        <v>10</v>
      </c>
      <c r="BD11">
        <f t="shared" si="8"/>
        <v>10.5</v>
      </c>
      <c r="BE11">
        <f t="shared" si="9"/>
        <v>6</v>
      </c>
      <c r="BF11">
        <f t="shared" ref="BF11:BK11" si="26">SUM(AQ11)</f>
        <v>0</v>
      </c>
      <c r="BG11">
        <f t="shared" si="26"/>
        <v>0</v>
      </c>
      <c r="BH11">
        <f t="shared" si="26"/>
        <v>0</v>
      </c>
      <c r="BI11">
        <f t="shared" si="26"/>
        <v>0</v>
      </c>
      <c r="BJ11">
        <f t="shared" si="26"/>
        <v>0</v>
      </c>
      <c r="BK11">
        <f t="shared" si="26"/>
        <v>0</v>
      </c>
      <c r="BL11">
        <f t="shared" si="11"/>
        <v>12.5</v>
      </c>
      <c r="BM11" s="4"/>
      <c r="BN11" s="50">
        <f t="shared" si="12"/>
        <v>61.5</v>
      </c>
      <c r="BO11" s="32">
        <v>2.0</v>
      </c>
    </row>
    <row r="12">
      <c r="A12" s="43">
        <v>381731.0</v>
      </c>
      <c r="B12" s="55" t="s">
        <v>556</v>
      </c>
      <c r="D12" s="25" t="s">
        <v>55</v>
      </c>
      <c r="E12" s="27"/>
      <c r="F12" s="27"/>
      <c r="G12" s="27">
        <v>1.0</v>
      </c>
      <c r="H12" s="36">
        <v>2.0</v>
      </c>
      <c r="I12" s="27"/>
      <c r="J12" s="27"/>
      <c r="K12" s="27"/>
      <c r="L12" s="27">
        <v>1.0</v>
      </c>
      <c r="M12" s="27">
        <v>1.0</v>
      </c>
      <c r="N12" s="27">
        <v>1.0</v>
      </c>
      <c r="O12" s="27"/>
      <c r="P12" s="27">
        <v>2.0</v>
      </c>
      <c r="Q12" s="27">
        <v>1.0</v>
      </c>
      <c r="R12" s="27">
        <v>1.0</v>
      </c>
      <c r="T12" s="27" t="s">
        <v>55</v>
      </c>
      <c r="U12" s="27"/>
      <c r="V12" s="27"/>
      <c r="W12" s="27"/>
      <c r="X12" s="27"/>
      <c r="Y12" s="27"/>
      <c r="Z12" s="27"/>
      <c r="AA12" s="43">
        <v>381731.0</v>
      </c>
      <c r="AB12" s="36">
        <v>9.0</v>
      </c>
      <c r="AC12" s="36">
        <v>2.0</v>
      </c>
      <c r="AD12" s="36">
        <v>3.1</v>
      </c>
      <c r="AE12" s="28">
        <v>45801.0</v>
      </c>
      <c r="AF12" s="36">
        <v>9.5</v>
      </c>
      <c r="AG12" s="36">
        <v>2.0</v>
      </c>
      <c r="AH12" s="36">
        <v>7.11</v>
      </c>
      <c r="AI12" s="28">
        <v>23343.0</v>
      </c>
      <c r="AJ12" s="36">
        <v>10.0</v>
      </c>
      <c r="AK12" s="36">
        <v>2.0</v>
      </c>
      <c r="AL12" s="24">
        <v>28.11</v>
      </c>
      <c r="AM12" s="28">
        <v>343453.0</v>
      </c>
      <c r="AN12" s="36">
        <v>10.0</v>
      </c>
      <c r="AO12" s="36">
        <v>2.0</v>
      </c>
      <c r="AP12" s="24">
        <v>29.12</v>
      </c>
      <c r="AQ12" s="28">
        <v>0.7</v>
      </c>
      <c r="AR12" s="36">
        <v>0.4</v>
      </c>
      <c r="AS12" s="36">
        <v>0.5</v>
      </c>
      <c r="AU12" s="36">
        <v>1.6</v>
      </c>
      <c r="AV12" s="36">
        <v>0.01</v>
      </c>
      <c r="AW12" s="36">
        <v>6.0</v>
      </c>
      <c r="AX12" s="36">
        <v>6.43</v>
      </c>
      <c r="AY12" s="28">
        <f t="shared" si="20"/>
        <v>12.43</v>
      </c>
      <c r="AZ12" s="21">
        <f t="shared" ref="AZ12:BA12" si="27">SUM(AW12)</f>
        <v>6</v>
      </c>
      <c r="BA12">
        <f t="shared" si="27"/>
        <v>6.43</v>
      </c>
      <c r="BB12">
        <f t="shared" si="6"/>
        <v>11</v>
      </c>
      <c r="BC12">
        <f t="shared" si="7"/>
        <v>11.5</v>
      </c>
      <c r="BD12">
        <f t="shared" si="8"/>
        <v>12</v>
      </c>
      <c r="BE12">
        <f t="shared" si="9"/>
        <v>12</v>
      </c>
      <c r="BF12">
        <f t="shared" ref="BF12:BK12" si="28">SUM(AQ12)</f>
        <v>0.7</v>
      </c>
      <c r="BG12">
        <f t="shared" si="28"/>
        <v>0.4</v>
      </c>
      <c r="BH12">
        <f t="shared" si="28"/>
        <v>0.5</v>
      </c>
      <c r="BI12">
        <f t="shared" si="28"/>
        <v>0</v>
      </c>
      <c r="BJ12">
        <f t="shared" si="28"/>
        <v>1.6</v>
      </c>
      <c r="BK12">
        <f t="shared" si="28"/>
        <v>0.01</v>
      </c>
      <c r="BL12">
        <f t="shared" si="11"/>
        <v>12.43</v>
      </c>
      <c r="BM12" s="4"/>
      <c r="BN12" s="50">
        <f t="shared" si="12"/>
        <v>74.57</v>
      </c>
      <c r="BO12" s="32">
        <v>2.0</v>
      </c>
    </row>
    <row r="13">
      <c r="A13" s="43">
        <v>466298.0</v>
      </c>
      <c r="B13" s="268" t="s">
        <v>557</v>
      </c>
      <c r="D13" s="25" t="s">
        <v>55</v>
      </c>
      <c r="E13" s="27"/>
      <c r="F13" s="27"/>
      <c r="G13" s="27"/>
      <c r="I13" s="27" t="s">
        <v>55</v>
      </c>
      <c r="J13" s="27" t="s">
        <v>55</v>
      </c>
      <c r="K13" s="27" t="s">
        <v>55</v>
      </c>
      <c r="L13" s="27" t="s">
        <v>55</v>
      </c>
      <c r="M13" s="27" t="s">
        <v>55</v>
      </c>
      <c r="N13" s="27"/>
      <c r="O13" s="27" t="s">
        <v>55</v>
      </c>
      <c r="P13" s="27"/>
      <c r="Q13" s="27"/>
      <c r="R13" s="27" t="s">
        <v>55</v>
      </c>
      <c r="S13" s="27" t="s">
        <v>55</v>
      </c>
      <c r="T13" s="27" t="s">
        <v>55</v>
      </c>
      <c r="U13" s="27"/>
      <c r="V13" s="27" t="s">
        <v>55</v>
      </c>
      <c r="W13" s="27" t="s">
        <v>55</v>
      </c>
      <c r="X13" s="27" t="s">
        <v>84</v>
      </c>
      <c r="Y13" s="27" t="s">
        <v>55</v>
      </c>
      <c r="Z13" s="27" t="s">
        <v>55</v>
      </c>
      <c r="AA13" s="43">
        <v>466298.0</v>
      </c>
      <c r="AB13" s="36">
        <v>8.0</v>
      </c>
      <c r="AC13" s="36">
        <v>2.0</v>
      </c>
      <c r="AD13" s="36">
        <v>31.1</v>
      </c>
      <c r="AE13" s="28">
        <v>83927.0</v>
      </c>
      <c r="AF13" s="36">
        <v>8.0</v>
      </c>
      <c r="AG13" s="36">
        <v>2.0</v>
      </c>
      <c r="AH13" s="36">
        <v>21.11</v>
      </c>
      <c r="AI13" s="28">
        <v>93857.0</v>
      </c>
      <c r="AJ13" s="36">
        <v>9.0</v>
      </c>
      <c r="AK13" s="36">
        <v>2.0</v>
      </c>
      <c r="AL13" s="36">
        <v>13.02</v>
      </c>
      <c r="AM13" s="28">
        <v>52511.0</v>
      </c>
      <c r="AN13" s="36">
        <v>8.0</v>
      </c>
      <c r="AO13" s="36">
        <v>2.0</v>
      </c>
      <c r="AP13" s="36">
        <v>23.02</v>
      </c>
      <c r="AQ13" s="28">
        <v>1.4</v>
      </c>
      <c r="AU13" s="36">
        <v>1.2</v>
      </c>
      <c r="AV13" s="36">
        <v>0.01</v>
      </c>
      <c r="AW13" s="36">
        <v>6.0</v>
      </c>
      <c r="AX13" s="36">
        <v>6.0</v>
      </c>
      <c r="AY13" s="28">
        <f t="shared" si="20"/>
        <v>12</v>
      </c>
      <c r="AZ13" s="21">
        <f t="shared" ref="AZ13:BA13" si="29">SUM(AW13)</f>
        <v>6</v>
      </c>
      <c r="BA13">
        <f t="shared" si="29"/>
        <v>6</v>
      </c>
      <c r="BB13">
        <f t="shared" si="6"/>
        <v>10</v>
      </c>
      <c r="BC13">
        <f t="shared" si="7"/>
        <v>10</v>
      </c>
      <c r="BD13">
        <f t="shared" si="8"/>
        <v>11</v>
      </c>
      <c r="BE13">
        <f t="shared" si="9"/>
        <v>10</v>
      </c>
      <c r="BF13">
        <f t="shared" ref="BF13:BK13" si="30">SUM(AQ13)</f>
        <v>1.4</v>
      </c>
      <c r="BG13">
        <f t="shared" si="30"/>
        <v>0</v>
      </c>
      <c r="BH13">
        <f t="shared" si="30"/>
        <v>0</v>
      </c>
      <c r="BI13">
        <f t="shared" si="30"/>
        <v>0</v>
      </c>
      <c r="BJ13">
        <f t="shared" si="30"/>
        <v>1.2</v>
      </c>
      <c r="BK13">
        <f t="shared" si="30"/>
        <v>0.01</v>
      </c>
      <c r="BL13">
        <f t="shared" si="11"/>
        <v>12</v>
      </c>
      <c r="BM13" s="4"/>
      <c r="BN13" s="50">
        <f t="shared" si="12"/>
        <v>67.61</v>
      </c>
      <c r="BO13" s="32">
        <v>2.0</v>
      </c>
    </row>
    <row r="14">
      <c r="A14" s="43">
        <v>466385.0</v>
      </c>
      <c r="B14" s="268" t="s">
        <v>558</v>
      </c>
      <c r="C14" s="24"/>
      <c r="D14" s="25" t="s">
        <v>55</v>
      </c>
      <c r="E14" s="27"/>
      <c r="F14" s="27" t="s">
        <v>55</v>
      </c>
      <c r="G14" s="27" t="s">
        <v>55</v>
      </c>
      <c r="I14" s="27"/>
      <c r="J14" s="27" t="s">
        <v>55</v>
      </c>
      <c r="K14" s="27"/>
      <c r="L14" s="27"/>
      <c r="M14" s="27" t="s">
        <v>55</v>
      </c>
      <c r="N14" s="27" t="s">
        <v>55</v>
      </c>
      <c r="O14" s="27" t="s">
        <v>55</v>
      </c>
      <c r="P14" s="27" t="s">
        <v>55</v>
      </c>
      <c r="Q14" s="27" t="s">
        <v>55</v>
      </c>
      <c r="R14" s="27"/>
      <c r="S14" s="27"/>
      <c r="T14" s="27" t="s">
        <v>55</v>
      </c>
      <c r="U14" s="27"/>
      <c r="V14" s="27"/>
      <c r="W14" s="27"/>
      <c r="X14" s="27"/>
      <c r="Y14" s="27"/>
      <c r="Z14" s="27"/>
      <c r="AA14" s="43">
        <v>466385.0</v>
      </c>
      <c r="AB14" s="36">
        <v>7.5</v>
      </c>
      <c r="AC14" s="36">
        <v>2.0</v>
      </c>
      <c r="AD14" s="24">
        <v>26.09</v>
      </c>
      <c r="AE14" s="28">
        <v>72947.0</v>
      </c>
      <c r="AF14" s="36">
        <v>9.5</v>
      </c>
      <c r="AG14" s="36">
        <v>2.0</v>
      </c>
      <c r="AH14" s="24">
        <v>17.1</v>
      </c>
      <c r="AI14" s="28">
        <v>24397.0</v>
      </c>
      <c r="AJ14" s="36">
        <v>9.0</v>
      </c>
      <c r="AK14" s="36">
        <v>2.0</v>
      </c>
      <c r="AL14" s="24">
        <v>14.11</v>
      </c>
      <c r="AM14" s="28">
        <v>34748.0</v>
      </c>
      <c r="AN14" s="36">
        <v>10.0</v>
      </c>
      <c r="AO14" s="36">
        <v>2.0</v>
      </c>
      <c r="AP14" s="24">
        <v>5.12</v>
      </c>
      <c r="AQ14" s="28">
        <v>0.4</v>
      </c>
      <c r="AR14" s="36">
        <v>0.4</v>
      </c>
      <c r="AS14" s="36">
        <v>0.01</v>
      </c>
      <c r="AT14" s="36">
        <v>0.01</v>
      </c>
      <c r="AV14" s="36">
        <v>0.01</v>
      </c>
      <c r="AW14" s="36">
        <v>6.0</v>
      </c>
      <c r="AX14" s="24">
        <v>6.0</v>
      </c>
      <c r="AY14" s="28">
        <f t="shared" si="20"/>
        <v>12</v>
      </c>
      <c r="AZ14" s="21">
        <f t="shared" ref="AZ14:BA14" si="31">SUM(AW14)</f>
        <v>6</v>
      </c>
      <c r="BA14">
        <f t="shared" si="31"/>
        <v>6</v>
      </c>
      <c r="BB14">
        <f t="shared" si="6"/>
        <v>9.5</v>
      </c>
      <c r="BC14">
        <f t="shared" si="7"/>
        <v>11.5</v>
      </c>
      <c r="BD14">
        <f t="shared" si="8"/>
        <v>11</v>
      </c>
      <c r="BE14">
        <f t="shared" si="9"/>
        <v>12</v>
      </c>
      <c r="BF14">
        <f t="shared" ref="BF14:BK14" si="32">SUM(AQ14)</f>
        <v>0.4</v>
      </c>
      <c r="BG14">
        <f t="shared" si="32"/>
        <v>0.4</v>
      </c>
      <c r="BH14">
        <f t="shared" si="32"/>
        <v>0.01</v>
      </c>
      <c r="BI14">
        <f t="shared" si="32"/>
        <v>0.01</v>
      </c>
      <c r="BJ14">
        <f t="shared" si="32"/>
        <v>0</v>
      </c>
      <c r="BK14">
        <f t="shared" si="32"/>
        <v>0.01</v>
      </c>
      <c r="BL14">
        <f t="shared" si="11"/>
        <v>12</v>
      </c>
      <c r="BM14" s="4"/>
      <c r="BN14" s="50">
        <f t="shared" si="12"/>
        <v>68.83</v>
      </c>
      <c r="BO14" s="32">
        <v>2.0</v>
      </c>
    </row>
    <row r="15">
      <c r="A15" s="43">
        <v>466472.0</v>
      </c>
      <c r="B15" s="268" t="s">
        <v>559</v>
      </c>
      <c r="C15" s="4"/>
      <c r="D15" s="25" t="s">
        <v>55</v>
      </c>
      <c r="E15" s="27"/>
      <c r="F15" s="27"/>
      <c r="G15" s="27"/>
      <c r="I15" s="27" t="s">
        <v>55</v>
      </c>
      <c r="J15" s="27" t="s">
        <v>55</v>
      </c>
      <c r="K15" s="27" t="s">
        <v>55</v>
      </c>
      <c r="L15" s="27" t="s">
        <v>55</v>
      </c>
      <c r="M15" s="27" t="s">
        <v>55</v>
      </c>
      <c r="N15" s="27"/>
      <c r="O15" s="27" t="s">
        <v>55</v>
      </c>
      <c r="P15" s="27" t="s">
        <v>55</v>
      </c>
      <c r="Q15" s="27" t="s">
        <v>55</v>
      </c>
      <c r="R15" s="27"/>
      <c r="S15" s="27"/>
      <c r="T15" s="27" t="s">
        <v>55</v>
      </c>
      <c r="U15" s="27"/>
      <c r="V15" s="27"/>
      <c r="W15" s="27"/>
      <c r="X15" s="27">
        <v>2.0</v>
      </c>
      <c r="Y15" s="27"/>
      <c r="Z15" s="27"/>
      <c r="AA15" s="43">
        <v>466472.0</v>
      </c>
      <c r="AB15" s="36">
        <v>8.5</v>
      </c>
      <c r="AC15" s="36">
        <v>2.0</v>
      </c>
      <c r="AD15" s="24">
        <v>24.1</v>
      </c>
      <c r="AE15" s="28">
        <v>62734.0</v>
      </c>
      <c r="AF15" s="36">
        <v>9.0</v>
      </c>
      <c r="AG15" s="36">
        <v>2.0</v>
      </c>
      <c r="AH15" s="24">
        <v>21.11</v>
      </c>
      <c r="AI15" s="28">
        <v>74829.0</v>
      </c>
      <c r="AJ15" s="36">
        <v>9.0</v>
      </c>
      <c r="AK15" s="36">
        <v>2.0</v>
      </c>
      <c r="AL15" s="24">
        <v>5.12</v>
      </c>
      <c r="AM15" s="28">
        <v>43253.0</v>
      </c>
      <c r="AN15" s="36">
        <v>8.0</v>
      </c>
      <c r="AO15" s="36">
        <v>2.0</v>
      </c>
      <c r="AP15" s="24">
        <v>20.02</v>
      </c>
      <c r="AQ15" s="28">
        <v>1.2</v>
      </c>
      <c r="AW15" s="36">
        <v>6.0</v>
      </c>
      <c r="AX15" s="24">
        <v>6.0</v>
      </c>
      <c r="AY15" s="28">
        <f t="shared" si="20"/>
        <v>12</v>
      </c>
      <c r="AZ15" s="21">
        <f t="shared" ref="AZ15:BA15" si="33">SUM(AW15)</f>
        <v>6</v>
      </c>
      <c r="BA15">
        <f t="shared" si="33"/>
        <v>6</v>
      </c>
      <c r="BB15">
        <f t="shared" si="6"/>
        <v>10.5</v>
      </c>
      <c r="BC15">
        <f t="shared" si="7"/>
        <v>11</v>
      </c>
      <c r="BD15">
        <f t="shared" si="8"/>
        <v>11</v>
      </c>
      <c r="BE15">
        <f t="shared" si="9"/>
        <v>10</v>
      </c>
      <c r="BF15">
        <f t="shared" ref="BF15:BK15" si="34">SUM(AQ15)</f>
        <v>1.2</v>
      </c>
      <c r="BG15">
        <f t="shared" si="34"/>
        <v>0</v>
      </c>
      <c r="BH15">
        <f t="shared" si="34"/>
        <v>0</v>
      </c>
      <c r="BI15">
        <f t="shared" si="34"/>
        <v>0</v>
      </c>
      <c r="BJ15">
        <f t="shared" si="34"/>
        <v>0</v>
      </c>
      <c r="BK15">
        <f t="shared" si="34"/>
        <v>0</v>
      </c>
      <c r="BL15">
        <f t="shared" si="11"/>
        <v>12</v>
      </c>
      <c r="BM15" s="4"/>
      <c r="BN15" s="50">
        <f t="shared" si="12"/>
        <v>67.7</v>
      </c>
      <c r="BO15" s="32">
        <v>2.0</v>
      </c>
    </row>
    <row r="16">
      <c r="A16" s="43">
        <v>466546.0</v>
      </c>
      <c r="B16" s="268" t="s">
        <v>560</v>
      </c>
      <c r="C16" s="4"/>
      <c r="D16" s="25" t="s">
        <v>55</v>
      </c>
      <c r="E16" s="27"/>
      <c r="F16" s="27"/>
      <c r="G16" s="27"/>
      <c r="I16" s="27"/>
      <c r="J16" s="27" t="s">
        <v>55</v>
      </c>
      <c r="K16" s="27" t="s">
        <v>55</v>
      </c>
      <c r="L16" s="27"/>
      <c r="M16" s="27"/>
      <c r="N16" s="27" t="s">
        <v>55</v>
      </c>
      <c r="O16" s="27" t="s">
        <v>55</v>
      </c>
      <c r="P16" s="27" t="s">
        <v>55</v>
      </c>
      <c r="Q16" s="27" t="s">
        <v>55</v>
      </c>
      <c r="R16" s="27"/>
      <c r="S16" s="27"/>
      <c r="T16" s="27" t="s">
        <v>55</v>
      </c>
      <c r="U16" s="27"/>
      <c r="V16" s="27" t="s">
        <v>55</v>
      </c>
      <c r="W16" s="27"/>
      <c r="X16" s="27"/>
      <c r="Y16" s="27" t="s">
        <v>55</v>
      </c>
      <c r="Z16" s="27" t="s">
        <v>55</v>
      </c>
      <c r="AA16" s="43">
        <v>466546.0</v>
      </c>
      <c r="AB16" s="36">
        <v>9.5</v>
      </c>
      <c r="AC16" s="36">
        <v>2.0</v>
      </c>
      <c r="AD16" s="24">
        <v>24.1</v>
      </c>
      <c r="AE16" s="28">
        <v>62781.0</v>
      </c>
      <c r="AF16" s="36">
        <v>9.5</v>
      </c>
      <c r="AG16" s="36">
        <v>2.0</v>
      </c>
      <c r="AH16" s="24">
        <v>21.11</v>
      </c>
      <c r="AI16" s="28">
        <v>24742.0</v>
      </c>
      <c r="AJ16" s="36">
        <v>9.0</v>
      </c>
      <c r="AK16" s="36">
        <v>2.0</v>
      </c>
      <c r="AL16" s="24">
        <v>6.02</v>
      </c>
      <c r="AM16" s="28">
        <v>23434.0</v>
      </c>
      <c r="AN16" s="36">
        <v>9.0</v>
      </c>
      <c r="AO16" s="36">
        <v>2.0</v>
      </c>
      <c r="AP16" s="24">
        <v>23.02</v>
      </c>
      <c r="AQ16" s="28">
        <v>0.1</v>
      </c>
      <c r="AR16" s="36">
        <v>0.5</v>
      </c>
      <c r="AU16" s="36">
        <v>1.6</v>
      </c>
      <c r="AW16" s="36">
        <v>6.0</v>
      </c>
      <c r="AX16" s="24">
        <v>6.0</v>
      </c>
      <c r="AY16" s="28">
        <f t="shared" si="20"/>
        <v>12</v>
      </c>
      <c r="AZ16" s="21">
        <f t="shared" ref="AZ16:BA16" si="35">SUM(AW16)</f>
        <v>6</v>
      </c>
      <c r="BA16">
        <f t="shared" si="35"/>
        <v>6</v>
      </c>
      <c r="BB16">
        <f t="shared" si="6"/>
        <v>11.5</v>
      </c>
      <c r="BC16">
        <f t="shared" si="7"/>
        <v>11.5</v>
      </c>
      <c r="BD16">
        <f t="shared" si="8"/>
        <v>11</v>
      </c>
      <c r="BE16">
        <f t="shared" si="9"/>
        <v>11</v>
      </c>
      <c r="BF16">
        <f t="shared" ref="BF16:BK16" si="36">SUM(AQ16)</f>
        <v>0.1</v>
      </c>
      <c r="BG16">
        <f t="shared" si="36"/>
        <v>0.5</v>
      </c>
      <c r="BH16">
        <f t="shared" si="36"/>
        <v>0</v>
      </c>
      <c r="BI16">
        <f t="shared" si="36"/>
        <v>0</v>
      </c>
      <c r="BJ16">
        <f t="shared" si="36"/>
        <v>1.6</v>
      </c>
      <c r="BK16">
        <f t="shared" si="36"/>
        <v>0</v>
      </c>
      <c r="BL16">
        <f t="shared" si="11"/>
        <v>12</v>
      </c>
      <c r="BM16" s="4"/>
      <c r="BN16" s="50">
        <f t="shared" si="12"/>
        <v>71.2</v>
      </c>
      <c r="BO16" s="32">
        <v>2.0</v>
      </c>
    </row>
    <row r="17">
      <c r="A17" s="43">
        <v>466629.0</v>
      </c>
      <c r="B17" s="268" t="s">
        <v>561</v>
      </c>
      <c r="D17" s="25" t="s">
        <v>55</v>
      </c>
      <c r="E17" s="27"/>
      <c r="F17" s="27"/>
      <c r="G17" s="27" t="s">
        <v>55</v>
      </c>
      <c r="I17" s="27" t="s">
        <v>55</v>
      </c>
      <c r="J17" s="27" t="s">
        <v>55</v>
      </c>
      <c r="K17" s="27" t="s">
        <v>55</v>
      </c>
      <c r="L17" s="27" t="s">
        <v>55</v>
      </c>
      <c r="M17" s="27" t="s">
        <v>55</v>
      </c>
      <c r="N17" s="27"/>
      <c r="O17" s="27" t="s">
        <v>55</v>
      </c>
      <c r="P17" s="27"/>
      <c r="Q17" s="27"/>
      <c r="R17" s="27" t="s">
        <v>55</v>
      </c>
      <c r="S17" s="27" t="s">
        <v>55</v>
      </c>
      <c r="T17" s="27" t="s">
        <v>55</v>
      </c>
      <c r="U17" s="27" t="s">
        <v>55</v>
      </c>
      <c r="V17" s="27"/>
      <c r="W17" s="27"/>
      <c r="X17" s="27"/>
      <c r="Y17" s="27"/>
      <c r="Z17" s="27"/>
      <c r="AA17" s="43">
        <v>466629.0</v>
      </c>
      <c r="AB17" s="36">
        <v>10.0</v>
      </c>
      <c r="AC17" s="36">
        <v>2.0</v>
      </c>
      <c r="AD17" s="24">
        <v>17.1</v>
      </c>
      <c r="AE17" s="28">
        <v>64589.0</v>
      </c>
      <c r="AF17" s="36">
        <v>9.5</v>
      </c>
      <c r="AG17" s="36">
        <v>2.0</v>
      </c>
      <c r="AH17" s="24">
        <v>7.11</v>
      </c>
      <c r="AI17" s="28">
        <v>91823.0</v>
      </c>
      <c r="AJ17" s="36">
        <v>10.0</v>
      </c>
      <c r="AK17" s="36">
        <v>2.0</v>
      </c>
      <c r="AL17" s="24">
        <v>21.11</v>
      </c>
      <c r="AM17" s="28">
        <v>38475.0</v>
      </c>
      <c r="AN17" s="36">
        <v>10.0</v>
      </c>
      <c r="AO17" s="36">
        <v>2.0</v>
      </c>
      <c r="AP17" s="24">
        <v>27.01</v>
      </c>
      <c r="AQ17" s="28">
        <v>0.9</v>
      </c>
      <c r="AW17" s="36">
        <v>9.5</v>
      </c>
      <c r="AX17" s="24">
        <v>6.0</v>
      </c>
      <c r="AY17" s="28">
        <f t="shared" si="20"/>
        <v>15.5</v>
      </c>
      <c r="AZ17" s="21">
        <f t="shared" ref="AZ17:BA17" si="37">SUM(AW17)</f>
        <v>9.5</v>
      </c>
      <c r="BA17">
        <f t="shared" si="37"/>
        <v>6</v>
      </c>
      <c r="BB17">
        <f t="shared" si="6"/>
        <v>12</v>
      </c>
      <c r="BC17">
        <f t="shared" si="7"/>
        <v>11.5</v>
      </c>
      <c r="BD17">
        <f t="shared" si="8"/>
        <v>12</v>
      </c>
      <c r="BE17">
        <f t="shared" si="9"/>
        <v>12</v>
      </c>
      <c r="BF17">
        <f t="shared" ref="BF17:BK17" si="38">SUM(AQ17)</f>
        <v>0.9</v>
      </c>
      <c r="BG17">
        <f t="shared" si="38"/>
        <v>0</v>
      </c>
      <c r="BH17">
        <f t="shared" si="38"/>
        <v>0</v>
      </c>
      <c r="BI17">
        <f t="shared" si="38"/>
        <v>0</v>
      </c>
      <c r="BJ17">
        <f t="shared" si="38"/>
        <v>0</v>
      </c>
      <c r="BK17">
        <f t="shared" si="38"/>
        <v>0</v>
      </c>
      <c r="BL17">
        <f t="shared" si="11"/>
        <v>15.5</v>
      </c>
      <c r="BM17" s="4"/>
      <c r="BN17" s="50">
        <f t="shared" si="12"/>
        <v>79.4</v>
      </c>
      <c r="BO17" s="32">
        <v>1.0</v>
      </c>
    </row>
    <row r="18">
      <c r="A18" s="43">
        <v>467282.0</v>
      </c>
      <c r="B18" s="268" t="s">
        <v>562</v>
      </c>
      <c r="D18" s="25"/>
      <c r="E18" s="27"/>
      <c r="F18" s="27" t="s">
        <v>55</v>
      </c>
      <c r="G18" s="27" t="s">
        <v>55</v>
      </c>
      <c r="I18" s="27" t="s">
        <v>55</v>
      </c>
      <c r="J18" s="27"/>
      <c r="K18" s="27"/>
      <c r="L18" s="27" t="s">
        <v>55</v>
      </c>
      <c r="M18" s="27" t="s">
        <v>55</v>
      </c>
      <c r="N18" s="27"/>
      <c r="O18" s="27"/>
      <c r="P18" s="27"/>
      <c r="Q18" s="27" t="s">
        <v>55</v>
      </c>
      <c r="R18" s="27"/>
      <c r="S18" s="27"/>
      <c r="T18" s="27" t="s">
        <v>55</v>
      </c>
      <c r="U18" s="27" t="s">
        <v>55</v>
      </c>
      <c r="V18" s="27"/>
      <c r="W18" s="27"/>
      <c r="X18" s="27"/>
      <c r="Y18" s="27"/>
      <c r="Z18" s="27"/>
      <c r="AA18" s="43">
        <v>467282.0</v>
      </c>
      <c r="AB18" s="36">
        <v>10.0</v>
      </c>
      <c r="AC18" s="36">
        <v>2.0</v>
      </c>
      <c r="AD18" s="24">
        <v>19.09</v>
      </c>
      <c r="AE18" s="28">
        <v>38593.0</v>
      </c>
      <c r="AF18" s="36">
        <v>10.0</v>
      </c>
      <c r="AG18" s="36">
        <v>2.0</v>
      </c>
      <c r="AH18" s="24">
        <v>10.1</v>
      </c>
      <c r="AI18" s="28">
        <v>3465.0</v>
      </c>
      <c r="AJ18" s="36">
        <v>10.0</v>
      </c>
      <c r="AK18" s="36">
        <v>2.0</v>
      </c>
      <c r="AL18" s="24">
        <v>7.11</v>
      </c>
      <c r="AM18" s="28">
        <v>34679.0</v>
      </c>
      <c r="AN18" s="36">
        <v>10.0</v>
      </c>
      <c r="AO18" s="36">
        <v>2.0</v>
      </c>
      <c r="AP18" s="24">
        <v>27.01</v>
      </c>
      <c r="AQ18" s="28">
        <v>1.4</v>
      </c>
      <c r="AW18" s="36">
        <v>6.0</v>
      </c>
      <c r="AX18" s="24">
        <v>6.5</v>
      </c>
      <c r="AY18" s="28">
        <f t="shared" si="20"/>
        <v>12.5</v>
      </c>
      <c r="AZ18" s="21">
        <f t="shared" ref="AZ18:BA18" si="39">SUM(AW18)</f>
        <v>6</v>
      </c>
      <c r="BA18">
        <f t="shared" si="39"/>
        <v>6.5</v>
      </c>
      <c r="BB18">
        <f t="shared" si="6"/>
        <v>12</v>
      </c>
      <c r="BC18">
        <f t="shared" si="7"/>
        <v>12</v>
      </c>
      <c r="BD18">
        <f t="shared" si="8"/>
        <v>12</v>
      </c>
      <c r="BE18">
        <f t="shared" si="9"/>
        <v>12</v>
      </c>
      <c r="BF18">
        <f t="shared" ref="BF18:BK18" si="40">SUM(AQ18)</f>
        <v>1.4</v>
      </c>
      <c r="BG18">
        <f t="shared" si="40"/>
        <v>0</v>
      </c>
      <c r="BH18">
        <f t="shared" si="40"/>
        <v>0</v>
      </c>
      <c r="BI18">
        <f t="shared" si="40"/>
        <v>0</v>
      </c>
      <c r="BJ18">
        <f t="shared" si="40"/>
        <v>0</v>
      </c>
      <c r="BK18">
        <f t="shared" si="40"/>
        <v>0</v>
      </c>
      <c r="BL18">
        <f t="shared" si="11"/>
        <v>12.5</v>
      </c>
      <c r="BM18" s="4"/>
      <c r="BN18" s="50">
        <f t="shared" si="12"/>
        <v>74.4</v>
      </c>
      <c r="BO18" s="32">
        <v>1.0</v>
      </c>
    </row>
    <row r="19">
      <c r="A19" s="43">
        <v>409611.0</v>
      </c>
      <c r="B19" s="268" t="s">
        <v>563</v>
      </c>
      <c r="D19" s="25" t="s">
        <v>55</v>
      </c>
      <c r="E19" s="27"/>
      <c r="F19" s="27"/>
      <c r="G19" s="27"/>
      <c r="I19" s="27"/>
      <c r="J19" s="27" t="s">
        <v>55</v>
      </c>
      <c r="K19" s="27" t="s">
        <v>55</v>
      </c>
      <c r="L19" s="27"/>
      <c r="M19" s="27" t="s">
        <v>55</v>
      </c>
      <c r="N19" s="27"/>
      <c r="O19" s="27" t="s">
        <v>55</v>
      </c>
      <c r="P19" s="27" t="s">
        <v>55</v>
      </c>
      <c r="Q19" s="27"/>
      <c r="R19" s="27" t="s">
        <v>55</v>
      </c>
      <c r="S19" s="27"/>
      <c r="T19" s="27"/>
      <c r="U19" s="27"/>
      <c r="V19" s="27"/>
      <c r="W19" s="27"/>
      <c r="X19" s="27"/>
      <c r="Y19" s="27"/>
      <c r="Z19" s="27"/>
      <c r="AA19" s="43">
        <v>409611.0</v>
      </c>
      <c r="AB19" s="36">
        <v>7.0</v>
      </c>
      <c r="AC19" s="36">
        <v>2.0</v>
      </c>
      <c r="AD19" s="24">
        <v>7.11</v>
      </c>
      <c r="AE19" s="28">
        <v>36589.0</v>
      </c>
      <c r="AF19" s="36">
        <v>8.0</v>
      </c>
      <c r="AG19" s="36">
        <v>2.0</v>
      </c>
      <c r="AH19" s="24">
        <v>28.11</v>
      </c>
      <c r="AI19" s="28">
        <v>83924.0</v>
      </c>
      <c r="AL19" s="38"/>
      <c r="AM19" s="21"/>
      <c r="AP19" s="38"/>
      <c r="AQ19" s="21"/>
      <c r="AX19" s="24">
        <v>0.01</v>
      </c>
      <c r="AY19" s="28"/>
      <c r="AZ19" s="21">
        <f t="shared" ref="AZ19:BA19" si="41">SUM(AW19)</f>
        <v>0</v>
      </c>
      <c r="BA19">
        <f t="shared" si="41"/>
        <v>0.01</v>
      </c>
      <c r="BB19">
        <f t="shared" si="6"/>
        <v>9</v>
      </c>
      <c r="BC19">
        <f t="shared" si="7"/>
        <v>10</v>
      </c>
      <c r="BD19">
        <f t="shared" si="8"/>
        <v>0</v>
      </c>
      <c r="BE19">
        <f t="shared" si="9"/>
        <v>0</v>
      </c>
      <c r="BF19">
        <f t="shared" ref="BF19:BK19" si="42">SUM(AQ19)</f>
        <v>0</v>
      </c>
      <c r="BG19">
        <f t="shared" si="42"/>
        <v>0</v>
      </c>
      <c r="BH19">
        <f t="shared" si="42"/>
        <v>0</v>
      </c>
      <c r="BI19">
        <f t="shared" si="42"/>
        <v>0</v>
      </c>
      <c r="BJ19">
        <f t="shared" si="42"/>
        <v>0</v>
      </c>
      <c r="BK19">
        <f t="shared" si="42"/>
        <v>0</v>
      </c>
      <c r="BL19">
        <f t="shared" si="11"/>
        <v>0</v>
      </c>
      <c r="BM19" s="4"/>
      <c r="BN19" s="50">
        <f t="shared" si="12"/>
        <v>19.01</v>
      </c>
      <c r="BO19" s="32"/>
    </row>
    <row r="20">
      <c r="A20" s="43">
        <v>467676.0</v>
      </c>
      <c r="B20" s="268" t="s">
        <v>564</v>
      </c>
      <c r="D20" s="25" t="s">
        <v>55</v>
      </c>
      <c r="E20" s="27"/>
      <c r="F20" s="27"/>
      <c r="G20" s="27"/>
      <c r="I20" s="27" t="s">
        <v>55</v>
      </c>
      <c r="J20" s="27" t="s">
        <v>55</v>
      </c>
      <c r="K20" s="27" t="s">
        <v>55</v>
      </c>
      <c r="L20" s="27"/>
      <c r="M20" s="27"/>
      <c r="N20" s="27" t="s">
        <v>55</v>
      </c>
      <c r="O20" s="27"/>
      <c r="P20" s="27" t="s">
        <v>55</v>
      </c>
      <c r="Q20" s="27" t="s">
        <v>55</v>
      </c>
      <c r="R20" s="27"/>
      <c r="S20" s="27"/>
      <c r="T20" s="27" t="s">
        <v>55</v>
      </c>
      <c r="U20" s="27"/>
      <c r="V20" s="27"/>
      <c r="W20" s="27"/>
      <c r="X20" s="27"/>
      <c r="Y20" s="27" t="s">
        <v>55</v>
      </c>
      <c r="Z20" s="27" t="s">
        <v>55</v>
      </c>
      <c r="AA20" s="43">
        <v>467676.0</v>
      </c>
      <c r="AB20" s="36">
        <v>8.0</v>
      </c>
      <c r="AC20" s="36">
        <v>2.0</v>
      </c>
      <c r="AD20" s="24">
        <v>24.1</v>
      </c>
      <c r="AE20" s="28">
        <v>83781.0</v>
      </c>
      <c r="AF20" s="36">
        <v>8.0</v>
      </c>
      <c r="AG20" s="36">
        <v>2.0</v>
      </c>
      <c r="AH20" s="24">
        <v>14.11</v>
      </c>
      <c r="AI20" s="28">
        <v>67948.0</v>
      </c>
      <c r="AJ20" s="36">
        <v>9.0</v>
      </c>
      <c r="AK20" s="36">
        <v>2.0</v>
      </c>
      <c r="AL20" s="24">
        <v>5.12</v>
      </c>
      <c r="AM20" s="28">
        <v>41256.0</v>
      </c>
      <c r="AN20" s="36">
        <v>7.0</v>
      </c>
      <c r="AO20" s="36">
        <v>2.0</v>
      </c>
      <c r="AP20" s="24">
        <v>23.02</v>
      </c>
      <c r="AQ20" s="28">
        <v>1.5</v>
      </c>
      <c r="AR20" s="36">
        <v>0.2</v>
      </c>
      <c r="AT20" s="36">
        <v>0.3</v>
      </c>
      <c r="AW20" s="36">
        <v>7.5</v>
      </c>
      <c r="AX20" s="24">
        <v>6.0</v>
      </c>
      <c r="AY20" s="28">
        <f t="shared" ref="AY20:AY21" si="45">SUM(AW20:AX20)</f>
        <v>13.5</v>
      </c>
      <c r="AZ20" s="21">
        <f t="shared" ref="AZ20:BA20" si="43">SUM(AW20)</f>
        <v>7.5</v>
      </c>
      <c r="BA20">
        <f t="shared" si="43"/>
        <v>6</v>
      </c>
      <c r="BB20">
        <f t="shared" si="6"/>
        <v>10</v>
      </c>
      <c r="BC20">
        <f t="shared" si="7"/>
        <v>10</v>
      </c>
      <c r="BD20">
        <f t="shared" si="8"/>
        <v>11</v>
      </c>
      <c r="BE20">
        <f t="shared" si="9"/>
        <v>9</v>
      </c>
      <c r="BF20">
        <f t="shared" ref="BF20:BK20" si="44">SUM(AQ20)</f>
        <v>1.5</v>
      </c>
      <c r="BG20">
        <f t="shared" si="44"/>
        <v>0.2</v>
      </c>
      <c r="BH20">
        <f t="shared" si="44"/>
        <v>0</v>
      </c>
      <c r="BI20">
        <f t="shared" si="44"/>
        <v>0.3</v>
      </c>
      <c r="BJ20">
        <f t="shared" si="44"/>
        <v>0</v>
      </c>
      <c r="BK20">
        <f t="shared" si="44"/>
        <v>0</v>
      </c>
      <c r="BL20">
        <f t="shared" si="11"/>
        <v>13.5</v>
      </c>
      <c r="BM20" s="4"/>
      <c r="BN20" s="50">
        <f t="shared" si="12"/>
        <v>69</v>
      </c>
      <c r="BO20" s="32">
        <v>2.0</v>
      </c>
    </row>
    <row r="21">
      <c r="A21" s="43">
        <v>463226.0</v>
      </c>
      <c r="B21" s="268" t="s">
        <v>565</v>
      </c>
      <c r="D21" s="25" t="s">
        <v>55</v>
      </c>
      <c r="E21" s="25" t="s">
        <v>55</v>
      </c>
      <c r="F21" s="27"/>
      <c r="G21" s="27" t="s">
        <v>55</v>
      </c>
      <c r="H21" s="36" t="s">
        <v>55</v>
      </c>
      <c r="I21" s="27" t="s">
        <v>55</v>
      </c>
      <c r="J21" s="27"/>
      <c r="K21" s="27" t="s">
        <v>55</v>
      </c>
      <c r="L21" s="27"/>
      <c r="M21" s="27"/>
      <c r="N21" s="27"/>
      <c r="O21" s="27" t="s">
        <v>55</v>
      </c>
      <c r="P21" s="27" t="s">
        <v>55</v>
      </c>
      <c r="Q21" s="27" t="s">
        <v>55</v>
      </c>
      <c r="R21" s="27"/>
      <c r="S21" s="27" t="s">
        <v>55</v>
      </c>
      <c r="T21" s="27" t="s">
        <v>55</v>
      </c>
      <c r="U21" s="27"/>
      <c r="V21" s="27" t="s">
        <v>55</v>
      </c>
      <c r="W21" s="27" t="s">
        <v>55</v>
      </c>
      <c r="X21" s="27"/>
      <c r="Y21" s="27"/>
      <c r="Z21" s="27"/>
      <c r="AA21" s="43">
        <v>463226.0</v>
      </c>
      <c r="AB21" s="36">
        <v>8.0</v>
      </c>
      <c r="AC21" s="36">
        <v>2.0</v>
      </c>
      <c r="AD21" s="24">
        <v>10.1</v>
      </c>
      <c r="AE21" s="28">
        <v>9843.0</v>
      </c>
      <c r="AF21" s="36">
        <v>9.0</v>
      </c>
      <c r="AG21" s="36">
        <v>2.0</v>
      </c>
      <c r="AH21" s="24">
        <v>31.1</v>
      </c>
      <c r="AI21" s="28">
        <v>3892.0</v>
      </c>
      <c r="AJ21" s="36">
        <v>8.0</v>
      </c>
      <c r="AK21" s="36">
        <v>2.0</v>
      </c>
      <c r="AL21" s="24">
        <v>28.11</v>
      </c>
      <c r="AM21" s="28">
        <v>78290.0</v>
      </c>
      <c r="AN21" s="36">
        <v>8.0</v>
      </c>
      <c r="AO21" s="36">
        <v>2.0</v>
      </c>
      <c r="AP21" s="24">
        <v>13.02</v>
      </c>
      <c r="AQ21" s="28">
        <v>0.01</v>
      </c>
      <c r="AR21" s="36">
        <v>0.1</v>
      </c>
      <c r="AS21" s="36">
        <v>0.01</v>
      </c>
      <c r="AT21" s="36">
        <v>1.3</v>
      </c>
      <c r="AW21" s="36">
        <v>6.0</v>
      </c>
      <c r="AX21" s="24">
        <v>6.0</v>
      </c>
      <c r="AY21" s="28">
        <f t="shared" si="45"/>
        <v>12</v>
      </c>
      <c r="AZ21" s="21">
        <f t="shared" ref="AZ21:BA21" si="46">SUM(AW21)</f>
        <v>6</v>
      </c>
      <c r="BA21">
        <f t="shared" si="46"/>
        <v>6</v>
      </c>
      <c r="BB21">
        <f t="shared" si="6"/>
        <v>10</v>
      </c>
      <c r="BC21">
        <f t="shared" si="7"/>
        <v>11</v>
      </c>
      <c r="BD21">
        <f t="shared" si="8"/>
        <v>10</v>
      </c>
      <c r="BE21">
        <f t="shared" si="9"/>
        <v>10</v>
      </c>
      <c r="BF21">
        <f t="shared" ref="BF21:BK21" si="47">SUM(AQ21)</f>
        <v>0.01</v>
      </c>
      <c r="BG21">
        <f t="shared" si="47"/>
        <v>0.1</v>
      </c>
      <c r="BH21">
        <f t="shared" si="47"/>
        <v>0.01</v>
      </c>
      <c r="BI21">
        <f t="shared" si="47"/>
        <v>1.3</v>
      </c>
      <c r="BJ21">
        <f t="shared" si="47"/>
        <v>0</v>
      </c>
      <c r="BK21">
        <f t="shared" si="47"/>
        <v>0</v>
      </c>
      <c r="BL21">
        <f t="shared" si="11"/>
        <v>12</v>
      </c>
      <c r="BM21" s="4"/>
      <c r="BN21" s="50">
        <f t="shared" si="12"/>
        <v>66.42</v>
      </c>
      <c r="BO21" s="32">
        <v>2.0</v>
      </c>
    </row>
    <row r="22">
      <c r="A22" s="43">
        <v>467898.0</v>
      </c>
      <c r="B22" s="268" t="s">
        <v>566</v>
      </c>
      <c r="D22" s="25" t="s">
        <v>55</v>
      </c>
      <c r="E22" s="27"/>
      <c r="F22" s="27"/>
      <c r="G22" s="27" t="s">
        <v>55</v>
      </c>
      <c r="H22" s="36" t="s">
        <v>55</v>
      </c>
      <c r="I22" s="27"/>
      <c r="J22" s="27" t="s">
        <v>55</v>
      </c>
      <c r="K22" s="27"/>
      <c r="L22" s="27"/>
      <c r="M22" s="27" t="s">
        <v>55</v>
      </c>
      <c r="N22" s="27"/>
      <c r="O22" s="27"/>
      <c r="P22" s="27"/>
      <c r="Q22" s="27" t="s">
        <v>55</v>
      </c>
      <c r="R22" s="27" t="s">
        <v>55</v>
      </c>
      <c r="S22" s="27" t="s">
        <v>55</v>
      </c>
      <c r="T22" s="27" t="s">
        <v>55</v>
      </c>
      <c r="U22" s="27"/>
      <c r="V22" s="27"/>
      <c r="W22" s="27"/>
      <c r="X22" s="27"/>
      <c r="Y22" s="27"/>
      <c r="Z22" s="27"/>
      <c r="AA22" s="43">
        <v>467898.0</v>
      </c>
      <c r="AB22" s="36">
        <v>10.0</v>
      </c>
      <c r="AC22" s="36">
        <v>2.0</v>
      </c>
      <c r="AD22" s="24">
        <v>3.1</v>
      </c>
      <c r="AE22" s="28">
        <v>64589.0</v>
      </c>
      <c r="AF22" s="36">
        <v>10.0</v>
      </c>
      <c r="AG22" s="36">
        <v>2.0</v>
      </c>
      <c r="AH22" s="24">
        <v>17.1</v>
      </c>
      <c r="AI22" s="28">
        <v>34657.0</v>
      </c>
      <c r="AJ22" s="36">
        <v>10.0</v>
      </c>
      <c r="AK22" s="36">
        <v>2.0</v>
      </c>
      <c r="AL22" s="24">
        <v>7.11</v>
      </c>
      <c r="AM22" s="28">
        <v>32891.0</v>
      </c>
      <c r="AN22" s="36">
        <v>10.0</v>
      </c>
      <c r="AO22" s="36">
        <v>2.0</v>
      </c>
      <c r="AP22" s="24">
        <v>12.12</v>
      </c>
      <c r="AQ22" s="28">
        <v>1.2</v>
      </c>
      <c r="AR22" s="36">
        <v>1.6</v>
      </c>
      <c r="AS22" s="36">
        <v>1.3</v>
      </c>
      <c r="AT22" s="36">
        <v>0.9</v>
      </c>
      <c r="AU22" s="36">
        <v>0.8</v>
      </c>
      <c r="AW22" s="36">
        <v>9.0</v>
      </c>
      <c r="AX22" s="24">
        <v>7.17</v>
      </c>
      <c r="AY22" s="28">
        <f>SUM(AW22:AX22)+1</f>
        <v>17.17</v>
      </c>
      <c r="AZ22" s="21">
        <f t="shared" ref="AZ22:BA22" si="48">SUM(AW22)</f>
        <v>9</v>
      </c>
      <c r="BA22">
        <f t="shared" si="48"/>
        <v>7.17</v>
      </c>
      <c r="BB22">
        <f t="shared" si="6"/>
        <v>12</v>
      </c>
      <c r="BC22">
        <f t="shared" si="7"/>
        <v>12</v>
      </c>
      <c r="BD22">
        <f t="shared" si="8"/>
        <v>12</v>
      </c>
      <c r="BE22">
        <f t="shared" si="9"/>
        <v>12</v>
      </c>
      <c r="BF22">
        <f t="shared" ref="BF22:BK22" si="49">SUM(AQ22)</f>
        <v>1.2</v>
      </c>
      <c r="BG22">
        <f t="shared" si="49"/>
        <v>1.6</v>
      </c>
      <c r="BH22">
        <f t="shared" si="49"/>
        <v>1.3</v>
      </c>
      <c r="BI22">
        <f t="shared" si="49"/>
        <v>0.9</v>
      </c>
      <c r="BJ22">
        <f t="shared" si="49"/>
        <v>0.8</v>
      </c>
      <c r="BK22">
        <f t="shared" si="49"/>
        <v>0</v>
      </c>
      <c r="BL22">
        <f t="shared" si="11"/>
        <v>17.17</v>
      </c>
      <c r="BM22" s="24">
        <v>3.0</v>
      </c>
      <c r="BN22" s="50">
        <f t="shared" si="12"/>
        <v>90.14</v>
      </c>
      <c r="BO22" s="32">
        <v>1.0</v>
      </c>
    </row>
    <row r="23">
      <c r="A23" s="43">
        <v>415129.0</v>
      </c>
      <c r="B23" s="268" t="s">
        <v>567</v>
      </c>
      <c r="D23" s="25">
        <v>3.0</v>
      </c>
      <c r="E23" s="25">
        <v>2.0</v>
      </c>
      <c r="F23" s="27" t="s">
        <v>55</v>
      </c>
      <c r="G23" s="27" t="s">
        <v>55</v>
      </c>
      <c r="H23" s="36" t="s">
        <v>55</v>
      </c>
      <c r="I23" s="27"/>
      <c r="J23" s="27"/>
      <c r="K23" s="27"/>
      <c r="L23" s="27" t="s">
        <v>55</v>
      </c>
      <c r="M23" s="27" t="s">
        <v>55</v>
      </c>
      <c r="N23" s="27"/>
      <c r="O23" s="27"/>
      <c r="P23" s="27"/>
      <c r="Q23" s="27"/>
      <c r="R23" s="27"/>
      <c r="S23" s="27"/>
      <c r="T23" s="27" t="s">
        <v>55</v>
      </c>
      <c r="U23" s="27"/>
      <c r="V23" s="27"/>
      <c r="W23" s="27"/>
      <c r="X23" s="27"/>
      <c r="Y23" s="27"/>
      <c r="Z23" s="27"/>
      <c r="AA23" s="43">
        <v>415129.0</v>
      </c>
      <c r="AB23" s="36">
        <v>10.0</v>
      </c>
      <c r="AC23" s="36">
        <v>2.0</v>
      </c>
      <c r="AD23" s="24">
        <v>8.09</v>
      </c>
      <c r="AE23" s="28">
        <v>33333.0</v>
      </c>
      <c r="AF23" s="36">
        <v>10.0</v>
      </c>
      <c r="AG23" s="36">
        <v>2.0</v>
      </c>
      <c r="AH23" s="24">
        <v>19.09</v>
      </c>
      <c r="AI23" s="28">
        <v>33.0</v>
      </c>
      <c r="AJ23" s="36">
        <v>10.0</v>
      </c>
      <c r="AK23" s="36">
        <v>2.0</v>
      </c>
      <c r="AL23" s="24">
        <v>3.1</v>
      </c>
      <c r="AM23" s="28">
        <v>62.0</v>
      </c>
      <c r="AN23" s="36">
        <v>10.0</v>
      </c>
      <c r="AO23" s="36">
        <v>2.0</v>
      </c>
      <c r="AP23" s="24">
        <v>7.11</v>
      </c>
      <c r="AQ23" s="28">
        <v>2.0</v>
      </c>
      <c r="AR23" s="36">
        <v>1.6</v>
      </c>
      <c r="AS23" s="36">
        <v>0.7</v>
      </c>
      <c r="AT23" s="36">
        <v>1.2</v>
      </c>
      <c r="AU23" s="36">
        <v>1.2</v>
      </c>
      <c r="AV23" s="36">
        <v>2.0</v>
      </c>
      <c r="AW23" s="36">
        <v>10.0</v>
      </c>
      <c r="AX23" s="24">
        <v>8.0</v>
      </c>
      <c r="AY23" s="28">
        <f t="shared" ref="AY23:AY25" si="52">SUM(AW23:AX23)</f>
        <v>18</v>
      </c>
      <c r="AZ23" s="21">
        <f t="shared" ref="AZ23:BA23" si="50">SUM(AW23)</f>
        <v>10</v>
      </c>
      <c r="BA23">
        <f t="shared" si="50"/>
        <v>8</v>
      </c>
      <c r="BB23">
        <f t="shared" si="6"/>
        <v>12</v>
      </c>
      <c r="BC23">
        <f t="shared" si="7"/>
        <v>12</v>
      </c>
      <c r="BD23">
        <f t="shared" si="8"/>
        <v>12</v>
      </c>
      <c r="BE23">
        <f t="shared" si="9"/>
        <v>12</v>
      </c>
      <c r="BF23">
        <f t="shared" ref="BF23:BK23" si="51">SUM(AQ23)</f>
        <v>2</v>
      </c>
      <c r="BG23">
        <f t="shared" si="51"/>
        <v>1.6</v>
      </c>
      <c r="BH23">
        <f t="shared" si="51"/>
        <v>0.7</v>
      </c>
      <c r="BI23">
        <f t="shared" si="51"/>
        <v>1.2</v>
      </c>
      <c r="BJ23">
        <f t="shared" si="51"/>
        <v>1.2</v>
      </c>
      <c r="BK23">
        <f t="shared" si="51"/>
        <v>2</v>
      </c>
      <c r="BL23">
        <f t="shared" si="11"/>
        <v>18</v>
      </c>
      <c r="BM23" s="4"/>
      <c r="BN23" s="50">
        <f t="shared" si="12"/>
        <v>92.7</v>
      </c>
      <c r="BO23" s="32">
        <v>1.0</v>
      </c>
    </row>
    <row r="24">
      <c r="A24" s="43">
        <v>475247.0</v>
      </c>
      <c r="B24" s="268" t="s">
        <v>568</v>
      </c>
      <c r="D24" s="25" t="s">
        <v>55</v>
      </c>
      <c r="E24" s="25" t="s">
        <v>55</v>
      </c>
      <c r="F24" s="27"/>
      <c r="G24" s="27"/>
      <c r="I24" s="27" t="s">
        <v>55</v>
      </c>
      <c r="J24" s="27" t="s">
        <v>55</v>
      </c>
      <c r="K24" s="27"/>
      <c r="L24" s="27"/>
      <c r="M24" s="27" t="s">
        <v>55</v>
      </c>
      <c r="N24" s="27"/>
      <c r="O24" s="27"/>
      <c r="P24" s="27"/>
      <c r="Q24" s="27" t="s">
        <v>55</v>
      </c>
      <c r="R24" s="27" t="s">
        <v>55</v>
      </c>
      <c r="S24" s="27" t="s">
        <v>55</v>
      </c>
      <c r="T24" s="27" t="s">
        <v>55</v>
      </c>
      <c r="U24" s="27"/>
      <c r="V24" s="27" t="s">
        <v>55</v>
      </c>
      <c r="W24" s="27" t="s">
        <v>55</v>
      </c>
      <c r="X24" s="27">
        <v>1.0</v>
      </c>
      <c r="Y24" s="27" t="s">
        <v>55</v>
      </c>
      <c r="Z24" s="27"/>
      <c r="AA24" s="43">
        <v>475247.0</v>
      </c>
      <c r="AB24" s="36">
        <v>8.0</v>
      </c>
      <c r="AC24" s="36">
        <v>2.0</v>
      </c>
      <c r="AD24" s="24">
        <v>17.1</v>
      </c>
      <c r="AE24" s="28">
        <v>46578.0</v>
      </c>
      <c r="AF24" s="36">
        <v>8.0</v>
      </c>
      <c r="AG24" s="36">
        <v>2.0</v>
      </c>
      <c r="AH24" s="24">
        <v>7.11</v>
      </c>
      <c r="AI24" s="28">
        <v>49767.0</v>
      </c>
      <c r="AJ24" s="36">
        <v>9.0</v>
      </c>
      <c r="AK24" s="36">
        <v>2.0</v>
      </c>
      <c r="AL24" s="24">
        <v>6.02</v>
      </c>
      <c r="AM24" s="28">
        <v>475247.0</v>
      </c>
      <c r="AN24" s="36">
        <v>8.0</v>
      </c>
      <c r="AO24" s="36">
        <v>2.0</v>
      </c>
      <c r="AP24" s="24">
        <v>21.02</v>
      </c>
      <c r="AQ24" s="21"/>
      <c r="AR24" s="36">
        <v>0.4</v>
      </c>
      <c r="AW24" s="36">
        <v>6.0</v>
      </c>
      <c r="AX24" s="24">
        <v>6.0</v>
      </c>
      <c r="AY24" s="28">
        <f t="shared" si="52"/>
        <v>12</v>
      </c>
      <c r="AZ24" s="21">
        <f t="shared" ref="AZ24:BA24" si="53">SUM(AW24)</f>
        <v>6</v>
      </c>
      <c r="BA24">
        <f t="shared" si="53"/>
        <v>6</v>
      </c>
      <c r="BB24">
        <f t="shared" si="6"/>
        <v>10</v>
      </c>
      <c r="BC24">
        <f t="shared" si="7"/>
        <v>10</v>
      </c>
      <c r="BD24">
        <f t="shared" si="8"/>
        <v>11</v>
      </c>
      <c r="BE24">
        <f t="shared" si="9"/>
        <v>10</v>
      </c>
      <c r="BF24">
        <f t="shared" ref="BF24:BK24" si="54">SUM(AQ24)</f>
        <v>0</v>
      </c>
      <c r="BG24">
        <f t="shared" si="54"/>
        <v>0.4</v>
      </c>
      <c r="BH24">
        <f t="shared" si="54"/>
        <v>0</v>
      </c>
      <c r="BI24">
        <f t="shared" si="54"/>
        <v>0</v>
      </c>
      <c r="BJ24">
        <f t="shared" si="54"/>
        <v>0</v>
      </c>
      <c r="BK24">
        <f t="shared" si="54"/>
        <v>0</v>
      </c>
      <c r="BL24">
        <f t="shared" si="11"/>
        <v>12</v>
      </c>
      <c r="BM24" s="4"/>
      <c r="BN24" s="50">
        <f t="shared" si="12"/>
        <v>65.4</v>
      </c>
      <c r="BO24" s="32">
        <v>2.0</v>
      </c>
    </row>
    <row r="25">
      <c r="A25" s="43">
        <v>408078.0</v>
      </c>
      <c r="B25" s="268" t="s">
        <v>569</v>
      </c>
      <c r="D25" s="25"/>
      <c r="E25" s="25" t="s">
        <v>55</v>
      </c>
      <c r="F25" s="27"/>
      <c r="G25" s="27" t="s">
        <v>55</v>
      </c>
      <c r="H25" s="36" t="s">
        <v>55</v>
      </c>
      <c r="I25" s="27" t="s">
        <v>55</v>
      </c>
      <c r="J25" s="27" t="s">
        <v>55</v>
      </c>
      <c r="K25" s="27" t="s">
        <v>55</v>
      </c>
      <c r="L25" s="27" t="s">
        <v>55</v>
      </c>
      <c r="M25" s="27"/>
      <c r="N25" s="27" t="s">
        <v>55</v>
      </c>
      <c r="O25" s="27" t="s">
        <v>55</v>
      </c>
      <c r="P25" s="27"/>
      <c r="Q25" s="27" t="s">
        <v>55</v>
      </c>
      <c r="R25" s="27" t="s">
        <v>55</v>
      </c>
      <c r="S25" s="27" t="s">
        <v>55</v>
      </c>
      <c r="T25" s="27" t="s">
        <v>55</v>
      </c>
      <c r="U25" s="27" t="s">
        <v>55</v>
      </c>
      <c r="V25" s="27"/>
      <c r="W25" s="27"/>
      <c r="X25" s="27"/>
      <c r="Y25" s="27"/>
      <c r="Z25" s="27"/>
      <c r="AA25" s="43">
        <v>408078.0</v>
      </c>
      <c r="AB25" s="36">
        <v>9.5</v>
      </c>
      <c r="AC25" s="36">
        <v>2.0</v>
      </c>
      <c r="AD25" s="24">
        <v>10.1</v>
      </c>
      <c r="AE25" s="28">
        <v>7485.0</v>
      </c>
      <c r="AF25" s="36">
        <v>10.0</v>
      </c>
      <c r="AG25" s="36">
        <v>2.0</v>
      </c>
      <c r="AH25" s="24">
        <v>24.1</v>
      </c>
      <c r="AI25" s="28">
        <v>83749.0</v>
      </c>
      <c r="AJ25" s="36">
        <v>10.0</v>
      </c>
      <c r="AK25" s="36">
        <v>2.0</v>
      </c>
      <c r="AL25" s="24">
        <v>21.11</v>
      </c>
      <c r="AM25" s="28">
        <v>93845.0</v>
      </c>
      <c r="AN25" s="36">
        <v>10.0</v>
      </c>
      <c r="AO25" s="36">
        <v>2.0</v>
      </c>
      <c r="AP25" s="24">
        <v>27.01</v>
      </c>
      <c r="AQ25" s="21"/>
      <c r="AS25" s="36">
        <v>0.2</v>
      </c>
      <c r="AT25" s="36">
        <v>1.5</v>
      </c>
      <c r="AU25" s="36">
        <v>0.01</v>
      </c>
      <c r="AV25" s="36">
        <v>0.01</v>
      </c>
      <c r="AW25" s="36">
        <v>6.0</v>
      </c>
      <c r="AX25" s="24">
        <v>6.0</v>
      </c>
      <c r="AY25" s="28">
        <f t="shared" si="52"/>
        <v>12</v>
      </c>
      <c r="AZ25" s="21">
        <f t="shared" ref="AZ25:BA25" si="55">SUM(AW25)</f>
        <v>6</v>
      </c>
      <c r="BA25">
        <f t="shared" si="55"/>
        <v>6</v>
      </c>
      <c r="BB25">
        <f t="shared" si="6"/>
        <v>11.5</v>
      </c>
      <c r="BC25">
        <f t="shared" si="7"/>
        <v>12</v>
      </c>
      <c r="BD25">
        <f t="shared" si="8"/>
        <v>12</v>
      </c>
      <c r="BE25">
        <f t="shared" si="9"/>
        <v>12</v>
      </c>
      <c r="BF25">
        <f t="shared" ref="BF25:BK25" si="56">SUM(AQ25)</f>
        <v>0</v>
      </c>
      <c r="BG25">
        <f t="shared" si="56"/>
        <v>0</v>
      </c>
      <c r="BH25">
        <f t="shared" si="56"/>
        <v>0.2</v>
      </c>
      <c r="BI25">
        <f t="shared" si="56"/>
        <v>1.5</v>
      </c>
      <c r="BJ25">
        <f t="shared" si="56"/>
        <v>0.01</v>
      </c>
      <c r="BK25">
        <f t="shared" si="56"/>
        <v>0.01</v>
      </c>
      <c r="BL25">
        <f t="shared" si="11"/>
        <v>12</v>
      </c>
      <c r="BM25" s="4"/>
      <c r="BN25" s="50">
        <f t="shared" si="12"/>
        <v>73.22</v>
      </c>
      <c r="BO25" s="32">
        <v>1.0</v>
      </c>
    </row>
    <row r="26">
      <c r="A26" s="43"/>
      <c r="B26" s="55"/>
      <c r="D26" s="27"/>
      <c r="E26" s="27"/>
      <c r="F26" s="27"/>
      <c r="G26" s="27"/>
      <c r="H26" s="36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43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P26" s="37"/>
      <c r="AS26" s="36"/>
      <c r="AT26" s="36"/>
      <c r="AU26" s="36"/>
      <c r="AV26" s="36"/>
      <c r="AW26" s="36"/>
      <c r="AX26" s="36"/>
      <c r="AY26" s="36"/>
      <c r="BN26" s="39"/>
      <c r="BO26" s="32"/>
    </row>
    <row r="27">
      <c r="A27" s="43"/>
      <c r="B27" s="55"/>
      <c r="D27" s="27"/>
      <c r="E27" s="27"/>
      <c r="F27" s="27"/>
      <c r="G27" s="27"/>
      <c r="H27" s="36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43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P27" s="37"/>
      <c r="AS27" s="36"/>
      <c r="AT27" s="36"/>
      <c r="AU27" s="36"/>
      <c r="AV27" s="36"/>
      <c r="AW27" s="36">
        <f t="shared" ref="AW27:AX27" si="57">COUNTA($B$4:$B$25)-COUNTIF(AW4:AW25,"&gt;=6")</f>
        <v>3</v>
      </c>
      <c r="AX27" s="36">
        <f t="shared" si="57"/>
        <v>3</v>
      </c>
      <c r="AY27" s="36"/>
      <c r="BN27" s="39"/>
      <c r="BO27" s="32"/>
    </row>
    <row r="28">
      <c r="A28" s="43">
        <v>407784.0</v>
      </c>
      <c r="B28" s="69" t="s">
        <v>570</v>
      </c>
      <c r="C28" s="24"/>
      <c r="D28" s="25"/>
      <c r="E28" s="27"/>
      <c r="F28" s="27"/>
      <c r="G28" s="27"/>
      <c r="H28" s="27"/>
      <c r="I28" s="27"/>
      <c r="J28" s="27"/>
      <c r="K28" s="27"/>
      <c r="M28" s="27"/>
      <c r="N28" s="27"/>
      <c r="O28" s="27"/>
      <c r="P28" s="27"/>
      <c r="Q28" s="27"/>
      <c r="R28" s="27"/>
      <c r="T28" s="27"/>
      <c r="U28" s="27"/>
      <c r="V28" s="27"/>
      <c r="W28" s="27"/>
      <c r="X28" s="27"/>
      <c r="Y28" s="27"/>
      <c r="Z28" s="27"/>
      <c r="AA28" s="43">
        <v>407784.0</v>
      </c>
      <c r="AD28" s="38"/>
      <c r="AE28" s="21"/>
      <c r="AH28" s="38"/>
      <c r="AI28" s="21"/>
      <c r="AL28" s="38"/>
      <c r="AM28" s="21"/>
      <c r="AP28" s="38"/>
      <c r="AQ28" s="28"/>
      <c r="AX28" s="4"/>
      <c r="AY28" s="30"/>
      <c r="AZ28">
        <f t="shared" ref="AZ28:BA28" si="58">SUM(AW28)</f>
        <v>0</v>
      </c>
      <c r="BA28">
        <f t="shared" si="58"/>
        <v>0</v>
      </c>
      <c r="BB28" s="21">
        <f t="shared" ref="BB28:BB31" si="61">SUM(AB28,AC28)</f>
        <v>0</v>
      </c>
      <c r="BC28">
        <f t="shared" ref="BC28:BC31" si="62">SUM(AF28,AG28)</f>
        <v>0</v>
      </c>
      <c r="BD28">
        <f t="shared" ref="BD28:BD31" si="63">SUM(AJ28,AK28)</f>
        <v>0</v>
      </c>
      <c r="BE28">
        <f t="shared" ref="BE28:BE31" si="64">SUM(AN28,AO28)</f>
        <v>0</v>
      </c>
      <c r="BF28">
        <f t="shared" ref="BF28:BK28" si="59">SUM(AQ28)</f>
        <v>0</v>
      </c>
      <c r="BG28">
        <f t="shared" si="59"/>
        <v>0</v>
      </c>
      <c r="BH28">
        <f t="shared" si="59"/>
        <v>0</v>
      </c>
      <c r="BI28">
        <f t="shared" si="59"/>
        <v>0</v>
      </c>
      <c r="BJ28">
        <f t="shared" si="59"/>
        <v>0</v>
      </c>
      <c r="BK28">
        <f t="shared" si="59"/>
        <v>0</v>
      </c>
      <c r="BL28">
        <f t="shared" ref="BL28:BL31" si="66">SUM(AY28)</f>
        <v>0</v>
      </c>
      <c r="BN28" s="31">
        <f t="shared" ref="BN28:BN30" si="67">SUM(BB28:BM28)</f>
        <v>0</v>
      </c>
      <c r="BO28" s="32"/>
    </row>
    <row r="29">
      <c r="A29" s="43">
        <v>408023.0</v>
      </c>
      <c r="B29" s="69" t="s">
        <v>571</v>
      </c>
      <c r="C29" s="24"/>
      <c r="D29" s="25" t="s">
        <v>55</v>
      </c>
      <c r="E29" s="27"/>
      <c r="F29" s="27"/>
      <c r="G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T29" s="27"/>
      <c r="U29" s="27"/>
      <c r="V29" s="27"/>
      <c r="W29" s="27"/>
      <c r="X29" s="27"/>
      <c r="Y29" s="27"/>
      <c r="Z29" s="27"/>
      <c r="AA29" s="43">
        <v>408023.0</v>
      </c>
      <c r="AD29" s="33"/>
      <c r="AE29" s="28"/>
      <c r="AH29" s="68"/>
      <c r="AI29" s="28"/>
      <c r="AL29" s="63"/>
      <c r="AM29" s="28"/>
      <c r="AP29" s="24"/>
      <c r="AQ29" s="28"/>
      <c r="AX29" s="24"/>
      <c r="AY29" s="30"/>
      <c r="AZ29">
        <f t="shared" ref="AZ29:BA29" si="60">SUM(AW29)</f>
        <v>0</v>
      </c>
      <c r="BA29">
        <f t="shared" si="60"/>
        <v>0</v>
      </c>
      <c r="BB29" s="21">
        <f t="shared" si="61"/>
        <v>0</v>
      </c>
      <c r="BC29">
        <f t="shared" si="62"/>
        <v>0</v>
      </c>
      <c r="BD29">
        <f t="shared" si="63"/>
        <v>0</v>
      </c>
      <c r="BE29">
        <f t="shared" si="64"/>
        <v>0</v>
      </c>
      <c r="BF29">
        <f t="shared" ref="BF29:BK29" si="65">SUM(AQ29)</f>
        <v>0</v>
      </c>
      <c r="BG29">
        <f t="shared" si="65"/>
        <v>0</v>
      </c>
      <c r="BH29">
        <f t="shared" si="65"/>
        <v>0</v>
      </c>
      <c r="BI29">
        <f t="shared" si="65"/>
        <v>0</v>
      </c>
      <c r="BJ29">
        <f t="shared" si="65"/>
        <v>0</v>
      </c>
      <c r="BK29">
        <f t="shared" si="65"/>
        <v>0</v>
      </c>
      <c r="BL29">
        <f t="shared" si="66"/>
        <v>0</v>
      </c>
      <c r="BN29" s="31">
        <f t="shared" si="67"/>
        <v>0</v>
      </c>
      <c r="BO29" s="32"/>
    </row>
    <row r="30">
      <c r="A30" s="43">
        <v>489925.0</v>
      </c>
      <c r="B30" s="269" t="s">
        <v>572</v>
      </c>
      <c r="C30" s="24"/>
      <c r="D30" s="25"/>
      <c r="E30" s="27"/>
      <c r="F30" s="27"/>
      <c r="G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43">
        <v>489925.0</v>
      </c>
      <c r="AD30" s="24"/>
      <c r="AE30" s="28"/>
      <c r="AH30" s="24"/>
      <c r="AI30" s="28"/>
      <c r="AL30" s="24"/>
      <c r="AM30" s="28"/>
      <c r="AP30" s="24"/>
      <c r="AQ30" s="28"/>
      <c r="AX30" s="24"/>
      <c r="AY30" s="30"/>
      <c r="AZ30">
        <f t="shared" ref="AZ30:BA30" si="68">SUM(AW30)</f>
        <v>0</v>
      </c>
      <c r="BA30">
        <f t="shared" si="68"/>
        <v>0</v>
      </c>
      <c r="BB30" s="21">
        <f t="shared" si="61"/>
        <v>0</v>
      </c>
      <c r="BC30">
        <f t="shared" si="62"/>
        <v>0</v>
      </c>
      <c r="BD30">
        <f t="shared" si="63"/>
        <v>0</v>
      </c>
      <c r="BE30">
        <f t="shared" si="64"/>
        <v>0</v>
      </c>
      <c r="BF30">
        <f t="shared" ref="BF30:BK30" si="69">SUM(AQ30)</f>
        <v>0</v>
      </c>
      <c r="BG30">
        <f t="shared" si="69"/>
        <v>0</v>
      </c>
      <c r="BH30">
        <f t="shared" si="69"/>
        <v>0</v>
      </c>
      <c r="BI30">
        <f t="shared" si="69"/>
        <v>0</v>
      </c>
      <c r="BJ30">
        <f t="shared" si="69"/>
        <v>0</v>
      </c>
      <c r="BK30">
        <f t="shared" si="69"/>
        <v>0</v>
      </c>
      <c r="BL30">
        <f t="shared" si="66"/>
        <v>0</v>
      </c>
      <c r="BN30" s="31">
        <f t="shared" si="67"/>
        <v>0</v>
      </c>
      <c r="BO30" s="32"/>
    </row>
    <row r="31">
      <c r="A31" s="188">
        <v>466197.0</v>
      </c>
      <c r="B31" s="69" t="s">
        <v>573</v>
      </c>
      <c r="C31" s="193"/>
      <c r="D31" s="190" t="s">
        <v>55</v>
      </c>
      <c r="E31" s="191"/>
      <c r="F31" s="191"/>
      <c r="G31" s="191" t="s">
        <v>55</v>
      </c>
      <c r="H31" s="193"/>
      <c r="I31" s="191">
        <v>2.0</v>
      </c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88">
        <v>466197.0</v>
      </c>
      <c r="AB31" s="270">
        <v>6.5</v>
      </c>
      <c r="AC31" s="270">
        <v>2.0</v>
      </c>
      <c r="AD31" s="270">
        <v>10.1</v>
      </c>
      <c r="AE31" s="195">
        <v>434245.0</v>
      </c>
      <c r="AF31" s="193"/>
      <c r="AG31" s="193"/>
      <c r="AH31" s="193"/>
      <c r="AI31" s="195"/>
      <c r="AJ31" s="193"/>
      <c r="AK31" s="193"/>
      <c r="AL31" s="193"/>
      <c r="AM31" s="195"/>
      <c r="AN31" s="193"/>
      <c r="AO31" s="193"/>
      <c r="AP31" s="271"/>
      <c r="AQ31" s="195"/>
      <c r="AR31" s="270">
        <v>0.3</v>
      </c>
      <c r="AS31" s="193"/>
      <c r="AT31" s="270">
        <v>0.7</v>
      </c>
      <c r="AU31" s="193"/>
      <c r="AV31" s="193"/>
      <c r="AW31" s="193"/>
      <c r="AX31" s="193"/>
      <c r="AY31" s="195"/>
      <c r="AZ31" s="198">
        <f t="shared" ref="AZ31:BA31" si="70">SUM(AW31)</f>
        <v>0</v>
      </c>
      <c r="BA31" s="193">
        <f t="shared" si="70"/>
        <v>0</v>
      </c>
      <c r="BB31" s="193">
        <f t="shared" si="61"/>
        <v>8.5</v>
      </c>
      <c r="BC31" s="193">
        <f t="shared" si="62"/>
        <v>0</v>
      </c>
      <c r="BD31" s="193">
        <f t="shared" si="63"/>
        <v>0</v>
      </c>
      <c r="BE31" s="193">
        <f t="shared" si="64"/>
        <v>0</v>
      </c>
      <c r="BF31" s="193">
        <f t="shared" ref="BF31:BK31" si="71">SUM(AQ31)</f>
        <v>0</v>
      </c>
      <c r="BG31" s="193">
        <f t="shared" si="71"/>
        <v>0.3</v>
      </c>
      <c r="BH31" s="193">
        <f t="shared" si="71"/>
        <v>0</v>
      </c>
      <c r="BI31" s="193">
        <f t="shared" si="71"/>
        <v>0.7</v>
      </c>
      <c r="BJ31" s="193">
        <f t="shared" si="71"/>
        <v>0</v>
      </c>
      <c r="BK31" s="193">
        <f t="shared" si="71"/>
        <v>0</v>
      </c>
      <c r="BL31" s="193">
        <f t="shared" si="66"/>
        <v>0</v>
      </c>
      <c r="BM31" s="204"/>
      <c r="BN31" s="272">
        <f>SUM(AZ31:BM31)</f>
        <v>9.5</v>
      </c>
      <c r="BO31" s="200"/>
    </row>
  </sheetData>
  <mergeCells count="52">
    <mergeCell ref="AD2:AD3"/>
    <mergeCell ref="AE2:AE3"/>
    <mergeCell ref="A1:B1"/>
    <mergeCell ref="C1:C3"/>
    <mergeCell ref="D1:Z1"/>
    <mergeCell ref="AA1:AD1"/>
    <mergeCell ref="AE1:AH1"/>
    <mergeCell ref="AI1:AL1"/>
    <mergeCell ref="AM1:AP1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X2:AX3"/>
    <mergeCell ref="AY2:AY3"/>
    <mergeCell ref="AQ2:AQ3"/>
    <mergeCell ref="AR2:AR3"/>
    <mergeCell ref="AS2:AS3"/>
    <mergeCell ref="AT2:AT3"/>
    <mergeCell ref="AU2:AU3"/>
    <mergeCell ref="AV2:AV3"/>
    <mergeCell ref="AW2:AW3"/>
    <mergeCell ref="AZ1:BL2"/>
    <mergeCell ref="BN1:BN3"/>
    <mergeCell ref="BO1:BO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AH2:AH3"/>
    <mergeCell ref="AI2:AI3"/>
    <mergeCell ref="AL2:AL3"/>
    <mergeCell ref="AM2:AM3"/>
    <mergeCell ref="AP2:AP3"/>
  </mergeCells>
  <conditionalFormatting sqref="AH4">
    <cfRule type="timePeriod" dxfId="0" priority="1" timePeriod="last7Days"/>
  </conditionalFormatting>
  <conditionalFormatting sqref="AL4">
    <cfRule type="timePeriod" dxfId="0" priority="2" timePeriod="last7Days"/>
  </conditionalFormatting>
  <conditionalFormatting sqref="AL4">
    <cfRule type="timePeriod" dxfId="0" priority="3" timePeriod="last7Days"/>
  </conditionalFormatting>
  <conditionalFormatting sqref="AD4 AH4 AL4">
    <cfRule type="timePeriod" dxfId="0" priority="4" timePeriod="last7Days"/>
  </conditionalFormatting>
  <conditionalFormatting sqref="AD4">
    <cfRule type="timePeriod" dxfId="0" priority="5" timePeriod="last7Days"/>
  </conditionalFormatting>
  <conditionalFormatting sqref="AD4">
    <cfRule type="timePeriod" dxfId="0" priority="6" timePeriod="last7Days"/>
  </conditionalFormatting>
  <conditionalFormatting sqref="AL4">
    <cfRule type="timePeriod" dxfId="0" priority="7" timePeriod="last7Days"/>
  </conditionalFormatting>
  <conditionalFormatting sqref="AZ4:BM31">
    <cfRule type="cellIs" dxfId="1" priority="8" operator="lessThan">
      <formula>0.1</formula>
    </cfRule>
  </conditionalFormatting>
  <conditionalFormatting sqref="AZ4:BM31">
    <cfRule type="cellIs" dxfId="2" priority="9" operator="greaterThan">
      <formula>0.1</formula>
    </cfRule>
  </conditionalFormatting>
  <conditionalFormatting sqref="BN4:BO31">
    <cfRule type="cellIs" dxfId="3" priority="10" operator="between">
      <formula>60</formula>
      <formula>68</formula>
    </cfRule>
  </conditionalFormatting>
  <conditionalFormatting sqref="BN4:BO31">
    <cfRule type="cellIs" dxfId="4" priority="11" operator="between">
      <formula>68</formula>
      <formula>74</formula>
    </cfRule>
  </conditionalFormatting>
  <conditionalFormatting sqref="BN4:BO31">
    <cfRule type="cellIs" dxfId="2" priority="12" operator="between">
      <formula>74</formula>
      <formula>81</formula>
    </cfRule>
  </conditionalFormatting>
  <conditionalFormatting sqref="BN4:BO31">
    <cfRule type="cellIs" dxfId="5" priority="13" operator="between">
      <formula>81</formula>
      <formula>90</formula>
    </cfRule>
  </conditionalFormatting>
  <conditionalFormatting sqref="BN4:BO31">
    <cfRule type="cellIs" dxfId="6" priority="14" operator="greaterThan">
      <formula>90</formula>
    </cfRule>
  </conditionalFormatting>
  <conditionalFormatting sqref="AH4">
    <cfRule type="timePeriod" dxfId="0" priority="15" timePeriod="last7Days"/>
  </conditionalFormatting>
  <conditionalFormatting sqref="G4:G11 G28">
    <cfRule type="containsText" dxfId="7" priority="16" operator="containsText" text="н">
      <formula>NOT(ISERROR(SEARCH(("н"),(G4))))</formula>
    </cfRule>
  </conditionalFormatting>
  <conditionalFormatting sqref="G4:G11 G28">
    <cfRule type="containsText" dxfId="7" priority="17" operator="containsText" text="n">
      <formula>NOT(ISERROR(SEARCH(("n"),(G4))))</formula>
    </cfRule>
  </conditionalFormatting>
  <conditionalFormatting sqref="F4:F12 F14:F31">
    <cfRule type="containsText" dxfId="7" priority="18" operator="containsText" text="н">
      <formula>NOT(ISERROR(SEARCH(("н"),(F4))))</formula>
    </cfRule>
  </conditionalFormatting>
  <conditionalFormatting sqref="F4:F12 F14:F31">
    <cfRule type="containsText" dxfId="7" priority="19" operator="containsText" text="n">
      <formula>NOT(ISERROR(SEARCH(("n"),(F4))))</formula>
    </cfRule>
  </conditionalFormatting>
  <conditionalFormatting sqref="AC4 AB5">
    <cfRule type="cellIs" dxfId="8" priority="20" operator="equal">
      <formula>0</formula>
    </cfRule>
  </conditionalFormatting>
  <conditionalFormatting sqref="AF4:AG4">
    <cfRule type="cellIs" dxfId="8" priority="21" operator="equal">
      <formula>0</formula>
    </cfRule>
  </conditionalFormatting>
  <conditionalFormatting sqref="AJ4:AK4">
    <cfRule type="cellIs" dxfId="8" priority="22" operator="equal">
      <formula>0</formula>
    </cfRule>
  </conditionalFormatting>
  <conditionalFormatting sqref="AN4:AO4">
    <cfRule type="cellIs" dxfId="8" priority="23" operator="equal">
      <formula>0</formula>
    </cfRule>
  </conditionalFormatting>
  <conditionalFormatting sqref="AQ4:AX4">
    <cfRule type="cellIs" dxfId="8" priority="24" operator="equal">
      <formula>0</formula>
    </cfRule>
  </conditionalFormatting>
  <conditionalFormatting sqref="D1:Z31">
    <cfRule type="containsText" dxfId="7" priority="25" operator="containsText" text="н">
      <formula>NOT(ISERROR(SEARCH(("н"),(D1))))</formula>
    </cfRule>
  </conditionalFormatting>
  <conditionalFormatting sqref="D1:Z31">
    <cfRule type="containsText" dxfId="7" priority="26" operator="containsText" text="n">
      <formula>NOT(ISERROR(SEARCH(("n"),(D1))))</formula>
    </cfRule>
  </conditionalFormatting>
  <conditionalFormatting sqref="AD4">
    <cfRule type="timePeriod" dxfId="0" priority="27" timePeriod="last7Days"/>
  </conditionalFormatting>
  <conditionalFormatting sqref="AH4">
    <cfRule type="timePeriod" dxfId="0" priority="28" timePeriod="last7Days"/>
  </conditionalFormatting>
  <conditionalFormatting sqref="AL4">
    <cfRule type="timePeriod" dxfId="0" priority="29" timePeriod="last7Days"/>
  </conditionalFormatting>
  <conditionalFormatting sqref="AP4">
    <cfRule type="timePeriod" dxfId="0" priority="30" timePeriod="last7Days"/>
  </conditionalFormatting>
  <conditionalFormatting sqref="BN1:BO31">
    <cfRule type="cellIs" dxfId="3" priority="31" operator="between">
      <formula>60</formula>
      <formula>68</formula>
    </cfRule>
  </conditionalFormatting>
  <conditionalFormatting sqref="AY4:AY31">
    <cfRule type="cellIs" dxfId="6" priority="32" operator="between">
      <formula>12</formula>
      <formula>1000</formula>
    </cfRule>
  </conditionalFormatting>
  <conditionalFormatting sqref="BN1:BO31">
    <cfRule type="cellIs" dxfId="4" priority="33" operator="between">
      <formula>68</formula>
      <formula>74</formula>
    </cfRule>
  </conditionalFormatting>
  <conditionalFormatting sqref="BN1:BO31">
    <cfRule type="cellIs" dxfId="2" priority="34" operator="between">
      <formula>74</formula>
      <formula>81</formula>
    </cfRule>
  </conditionalFormatting>
  <conditionalFormatting sqref="BN1:BO31">
    <cfRule type="cellIs" dxfId="5" priority="35" operator="between">
      <formula>81</formula>
      <formula>90</formula>
    </cfRule>
  </conditionalFormatting>
  <conditionalFormatting sqref="BN1:BO31">
    <cfRule type="cellIs" dxfId="6" priority="36" operator="greaterThan">
      <formula>90</formula>
    </cfRule>
  </conditionalFormatting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6.5"/>
    <col customWidth="1" min="2" max="2" width="33.25"/>
    <col customWidth="1" min="3" max="3" width="9.25"/>
    <col customWidth="1" min="4" max="4" width="3.13"/>
    <col customWidth="1" min="5" max="6" width="2.88"/>
    <col customWidth="1" min="7" max="7" width="2.75"/>
    <col customWidth="1" min="8" max="9" width="2.88"/>
    <col customWidth="1" min="10" max="11" width="2.75"/>
    <col customWidth="1" min="12" max="25" width="2.88"/>
    <col customWidth="1" min="26" max="26" width="7.63"/>
    <col customWidth="1" min="27" max="27" width="5.0"/>
    <col customWidth="1" min="28" max="28" width="3.88"/>
    <col customWidth="1" min="29" max="29" width="9.0"/>
    <col customWidth="1" min="30" max="30" width="7.88"/>
    <col customWidth="1" min="31" max="31" width="5.13"/>
    <col customWidth="1" min="32" max="32" width="4.0"/>
    <col customWidth="1" min="33" max="33" width="12.25"/>
    <col customWidth="1" min="34" max="34" width="6.38"/>
    <col customWidth="1" min="35" max="35" width="5.13"/>
    <col customWidth="1" min="36" max="36" width="4.0"/>
    <col customWidth="1" min="37" max="37" width="7.88"/>
    <col customWidth="1" min="38" max="38" width="7.63"/>
    <col customWidth="1" min="39" max="39" width="5.0"/>
    <col customWidth="1" min="40" max="40" width="4.5"/>
    <col customWidth="1" min="41" max="41" width="5.0"/>
    <col customWidth="1" min="42" max="42" width="5.63"/>
    <col customWidth="1" min="43" max="43" width="5.13"/>
    <col customWidth="1" min="44" max="44" width="5.38"/>
    <col customWidth="1" min="45" max="45" width="5.0"/>
    <col customWidth="1" min="46" max="47" width="5.38"/>
    <col customWidth="1" min="48" max="49" width="5.88"/>
    <col customWidth="1" min="50" max="50" width="5.63"/>
    <col customWidth="1" min="51" max="51" width="4.5"/>
    <col customWidth="1" min="52" max="52" width="4.38"/>
    <col customWidth="1" min="53" max="57" width="4.25"/>
    <col customWidth="1" min="58" max="58" width="4.63"/>
    <col customWidth="1" min="59" max="59" width="4.5"/>
    <col customWidth="1" min="60" max="61" width="4.63"/>
    <col customWidth="1" min="62" max="62" width="4.5"/>
    <col customWidth="1" min="63" max="64" width="4.38"/>
    <col customWidth="1" min="65" max="65" width="6.63"/>
    <col customWidth="1" min="66" max="66" width="3.25"/>
  </cols>
  <sheetData>
    <row r="1">
      <c r="A1" s="1" t="s">
        <v>574</v>
      </c>
      <c r="C1" s="2" t="s">
        <v>1</v>
      </c>
      <c r="D1" s="3" t="s">
        <v>2</v>
      </c>
      <c r="N1" s="4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5" t="s">
        <v>3</v>
      </c>
      <c r="AC1" s="4"/>
      <c r="AD1" s="5" t="s">
        <v>4</v>
      </c>
      <c r="AG1" s="4"/>
      <c r="AH1" s="5" t="s">
        <v>5</v>
      </c>
      <c r="AK1" s="4"/>
      <c r="AL1" s="5" t="s">
        <v>6</v>
      </c>
      <c r="AO1" s="4"/>
      <c r="AP1" s="3" t="s">
        <v>7</v>
      </c>
      <c r="AQ1" s="6" t="s">
        <v>8</v>
      </c>
      <c r="AR1" s="6" t="s">
        <v>9</v>
      </c>
      <c r="AS1" s="6" t="s">
        <v>10</v>
      </c>
      <c r="AT1" s="6" t="s">
        <v>11</v>
      </c>
      <c r="AU1" s="6" t="s">
        <v>12</v>
      </c>
      <c r="AV1" s="6" t="s">
        <v>13</v>
      </c>
      <c r="AW1" s="7" t="s">
        <v>14</v>
      </c>
      <c r="AX1" s="3" t="s">
        <v>15</v>
      </c>
      <c r="AY1" s="6" t="s">
        <v>16</v>
      </c>
      <c r="BL1" s="7"/>
      <c r="BM1" s="41" t="s">
        <v>17</v>
      </c>
      <c r="BN1" s="10" t="s">
        <v>18</v>
      </c>
    </row>
    <row r="2">
      <c r="A2" s="11" t="s">
        <v>19</v>
      </c>
      <c r="B2" s="11" t="s">
        <v>20</v>
      </c>
      <c r="C2" s="4"/>
      <c r="D2" s="273">
        <v>45913.0</v>
      </c>
      <c r="E2" s="12">
        <f t="shared" ref="E2:F2" si="1">D2+7</f>
        <v>45920</v>
      </c>
      <c r="F2" s="12">
        <f t="shared" si="1"/>
        <v>45927</v>
      </c>
      <c r="G2" s="12">
        <f>F2+14</f>
        <v>45941</v>
      </c>
      <c r="H2" s="12">
        <f>G2+7</f>
        <v>45948</v>
      </c>
      <c r="I2" s="12">
        <f>H2+14</f>
        <v>45962</v>
      </c>
      <c r="J2" s="12">
        <f t="shared" ref="J2:N2" si="2">I2+7</f>
        <v>45969</v>
      </c>
      <c r="K2" s="12">
        <f t="shared" si="2"/>
        <v>45976</v>
      </c>
      <c r="L2" s="12">
        <f t="shared" si="2"/>
        <v>45983</v>
      </c>
      <c r="M2" s="12">
        <f t="shared" si="2"/>
        <v>45990</v>
      </c>
      <c r="N2" s="12">
        <f t="shared" si="2"/>
        <v>45997</v>
      </c>
      <c r="O2" s="12">
        <f>N2+6</f>
        <v>46003</v>
      </c>
      <c r="P2" s="12">
        <f>O2+2</f>
        <v>46005</v>
      </c>
      <c r="Q2" s="12">
        <f>P2 + 1</f>
        <v>46006</v>
      </c>
      <c r="R2" s="12">
        <f>Q2 + 33</f>
        <v>46039</v>
      </c>
      <c r="S2" s="12">
        <f>R2 + 4</f>
        <v>46043</v>
      </c>
      <c r="T2" s="12">
        <f>S2 + 5</f>
        <v>46048</v>
      </c>
      <c r="U2" s="12">
        <f>T2 + 11</f>
        <v>46059</v>
      </c>
      <c r="V2" s="12">
        <f t="shared" ref="V2:W2" si="3">U2+7</f>
        <v>46066</v>
      </c>
      <c r="W2" s="12">
        <f t="shared" si="3"/>
        <v>46073</v>
      </c>
      <c r="X2" s="42">
        <f>W2 + 1</f>
        <v>46074</v>
      </c>
      <c r="Y2" s="12">
        <f>X2+2</f>
        <v>46076</v>
      </c>
      <c r="Z2" s="14" t="s">
        <v>21</v>
      </c>
      <c r="AA2" s="15" t="s">
        <v>22</v>
      </c>
      <c r="AB2" s="15" t="s">
        <v>23</v>
      </c>
      <c r="AC2" s="16" t="s">
        <v>24</v>
      </c>
      <c r="AD2" s="14" t="s">
        <v>21</v>
      </c>
      <c r="AE2" s="15" t="s">
        <v>22</v>
      </c>
      <c r="AF2" s="15" t="s">
        <v>23</v>
      </c>
      <c r="AG2" s="16" t="s">
        <v>24</v>
      </c>
      <c r="AH2" s="14" t="s">
        <v>21</v>
      </c>
      <c r="AI2" s="15" t="s">
        <v>22</v>
      </c>
      <c r="AJ2" s="15" t="s">
        <v>23</v>
      </c>
      <c r="AK2" s="16" t="s">
        <v>24</v>
      </c>
      <c r="AL2" s="14" t="s">
        <v>21</v>
      </c>
      <c r="AM2" s="15" t="s">
        <v>22</v>
      </c>
      <c r="AN2" s="15" t="s">
        <v>23</v>
      </c>
      <c r="AO2" s="16" t="s">
        <v>24</v>
      </c>
      <c r="AP2" s="17" t="s">
        <v>25</v>
      </c>
      <c r="AQ2" s="18" t="s">
        <v>25</v>
      </c>
      <c r="AR2" s="18" t="s">
        <v>25</v>
      </c>
      <c r="AS2" s="18" t="s">
        <v>25</v>
      </c>
      <c r="AT2" s="18" t="s">
        <v>25</v>
      </c>
      <c r="AU2" s="18" t="s">
        <v>25</v>
      </c>
      <c r="AV2" s="15" t="s">
        <v>26</v>
      </c>
      <c r="AW2" s="19" t="s">
        <v>26</v>
      </c>
      <c r="AX2" s="14" t="s">
        <v>27</v>
      </c>
      <c r="BL2" s="7"/>
      <c r="BM2" s="4"/>
    </row>
    <row r="3">
      <c r="C3" s="4"/>
      <c r="Z3" s="21"/>
      <c r="AA3" s="15" t="s">
        <v>26</v>
      </c>
      <c r="AB3" s="15" t="s">
        <v>28</v>
      </c>
      <c r="AC3" s="4"/>
      <c r="AD3" s="21"/>
      <c r="AE3" s="15" t="s">
        <v>26</v>
      </c>
      <c r="AF3" s="15" t="s">
        <v>28</v>
      </c>
      <c r="AG3" s="4"/>
      <c r="AH3" s="21"/>
      <c r="AI3" s="15" t="s">
        <v>26</v>
      </c>
      <c r="AJ3" s="15" t="s">
        <v>28</v>
      </c>
      <c r="AK3" s="4"/>
      <c r="AL3" s="21"/>
      <c r="AM3" s="15" t="s">
        <v>26</v>
      </c>
      <c r="AN3" s="15" t="s">
        <v>28</v>
      </c>
      <c r="AO3" s="4"/>
      <c r="AP3" s="21"/>
      <c r="AW3" s="4"/>
      <c r="AX3" s="21"/>
      <c r="AY3" s="17" t="s">
        <v>29</v>
      </c>
      <c r="AZ3" s="18" t="s">
        <v>30</v>
      </c>
      <c r="BA3" s="18" t="s">
        <v>3</v>
      </c>
      <c r="BB3" s="18" t="s">
        <v>4</v>
      </c>
      <c r="BC3" s="18" t="s">
        <v>5</v>
      </c>
      <c r="BD3" s="18" t="s">
        <v>6</v>
      </c>
      <c r="BE3" s="18" t="s">
        <v>7</v>
      </c>
      <c r="BF3" s="18" t="s">
        <v>8</v>
      </c>
      <c r="BG3" s="18" t="s">
        <v>9</v>
      </c>
      <c r="BH3" s="18" t="s">
        <v>10</v>
      </c>
      <c r="BI3" s="18" t="s">
        <v>11</v>
      </c>
      <c r="BJ3" s="18" t="s">
        <v>12</v>
      </c>
      <c r="BK3" s="18" t="s">
        <v>31</v>
      </c>
      <c r="BL3" s="23" t="s">
        <v>23</v>
      </c>
      <c r="BM3" s="4"/>
    </row>
    <row r="4">
      <c r="A4" s="274">
        <v>370165.0</v>
      </c>
      <c r="B4" s="274" t="s">
        <v>575</v>
      </c>
      <c r="C4" s="24"/>
      <c r="D4" s="25" t="s">
        <v>56</v>
      </c>
      <c r="E4" s="27" t="s">
        <v>56</v>
      </c>
      <c r="F4" s="27" t="s">
        <v>56</v>
      </c>
      <c r="G4" s="27"/>
      <c r="H4" s="27"/>
      <c r="I4" s="27" t="s">
        <v>56</v>
      </c>
      <c r="J4" s="27"/>
      <c r="K4" s="27"/>
      <c r="L4" s="27"/>
      <c r="M4" s="27"/>
      <c r="N4" s="27" t="s">
        <v>55</v>
      </c>
      <c r="O4" s="27"/>
      <c r="P4" s="27" t="s">
        <v>55</v>
      </c>
      <c r="Q4" s="27"/>
      <c r="R4" s="27"/>
      <c r="S4" s="27" t="s">
        <v>55</v>
      </c>
      <c r="T4" s="27" t="s">
        <v>55</v>
      </c>
      <c r="U4" s="27" t="s">
        <v>55</v>
      </c>
      <c r="V4" s="27" t="s">
        <v>55</v>
      </c>
      <c r="W4" s="27"/>
      <c r="X4" s="53"/>
      <c r="Y4" s="27"/>
      <c r="Z4" s="275">
        <v>370170.0</v>
      </c>
      <c r="AA4" s="36">
        <v>8.0</v>
      </c>
      <c r="AB4" s="36">
        <v>2.0</v>
      </c>
      <c r="AC4" s="134" t="s">
        <v>576</v>
      </c>
      <c r="AD4" s="28">
        <v>7289.0</v>
      </c>
      <c r="AE4" s="36">
        <v>8.0</v>
      </c>
      <c r="AF4" s="36">
        <v>2.0</v>
      </c>
      <c r="AG4" s="24">
        <v>6.02</v>
      </c>
      <c r="AH4" s="28">
        <v>62618.0</v>
      </c>
      <c r="AI4" s="36">
        <v>0.01</v>
      </c>
      <c r="AK4" s="24"/>
      <c r="AL4" s="28"/>
      <c r="AM4" s="29"/>
      <c r="AO4" s="24"/>
      <c r="AP4" s="28"/>
      <c r="AV4" s="36">
        <v>6.0</v>
      </c>
      <c r="AW4" s="24">
        <v>0.01</v>
      </c>
      <c r="AX4" s="28"/>
      <c r="AY4" s="21">
        <f t="shared" ref="AY4:AZ4" si="4">SUM(AV4)</f>
        <v>6</v>
      </c>
      <c r="AZ4">
        <f t="shared" si="4"/>
        <v>0.01</v>
      </c>
      <c r="BA4">
        <f t="shared" ref="BA4:BA26" si="7">SUM(AA4,AB4)</f>
        <v>10</v>
      </c>
      <c r="BB4">
        <f t="shared" ref="BB4:BB26" si="8">SUM(AE4,AF4)</f>
        <v>10</v>
      </c>
      <c r="BC4">
        <f t="shared" ref="BC4:BC26" si="9">SUM(AI4,AJ4)</f>
        <v>0.01</v>
      </c>
      <c r="BD4">
        <f t="shared" ref="BD4:BD26" si="10">SUM(AM4,AN4)</f>
        <v>0</v>
      </c>
      <c r="BE4">
        <f t="shared" ref="BE4:BJ4" si="5">SUM(AP4)</f>
        <v>0</v>
      </c>
      <c r="BF4">
        <f t="shared" si="5"/>
        <v>0</v>
      </c>
      <c r="BG4">
        <f t="shared" si="5"/>
        <v>0</v>
      </c>
      <c r="BH4">
        <f t="shared" si="5"/>
        <v>0</v>
      </c>
      <c r="BI4">
        <f t="shared" si="5"/>
        <v>0</v>
      </c>
      <c r="BJ4">
        <f t="shared" si="5"/>
        <v>0</v>
      </c>
      <c r="BK4">
        <f t="shared" ref="BK4:BK26" si="12">SUM(AX4)</f>
        <v>0</v>
      </c>
      <c r="BL4" s="4"/>
      <c r="BM4" s="50">
        <f t="shared" ref="BM4:BM26" si="13">SUM(AY4:BL4)</f>
        <v>26.02</v>
      </c>
      <c r="BN4" s="32"/>
    </row>
    <row r="5">
      <c r="A5" s="36">
        <v>413107.0</v>
      </c>
      <c r="B5" s="36" t="s">
        <v>577</v>
      </c>
      <c r="C5" s="24"/>
      <c r="D5" s="25">
        <v>2.0</v>
      </c>
      <c r="E5" s="27" t="s">
        <v>55</v>
      </c>
      <c r="F5" s="27" t="s">
        <v>56</v>
      </c>
      <c r="G5" s="27"/>
      <c r="H5" s="27"/>
      <c r="I5" s="27">
        <v>1.0</v>
      </c>
      <c r="J5" s="27"/>
      <c r="K5" s="27"/>
      <c r="L5" s="27"/>
      <c r="M5" s="27"/>
      <c r="N5" s="27" t="s">
        <v>55</v>
      </c>
      <c r="O5" s="27"/>
      <c r="P5" s="27"/>
      <c r="Q5" s="27"/>
      <c r="R5" s="27"/>
      <c r="S5" s="27"/>
      <c r="T5" s="27"/>
      <c r="U5" s="27"/>
      <c r="V5" s="27"/>
      <c r="W5" s="27"/>
      <c r="X5" s="53"/>
      <c r="Y5" s="27"/>
      <c r="Z5" s="28">
        <v>413107.0</v>
      </c>
      <c r="AA5" s="36">
        <v>10.0</v>
      </c>
      <c r="AB5" s="36">
        <v>2.0</v>
      </c>
      <c r="AC5" s="134" t="s">
        <v>578</v>
      </c>
      <c r="AD5" s="36">
        <v>413108.0</v>
      </c>
      <c r="AE5" s="36">
        <v>10.0</v>
      </c>
      <c r="AF5" s="36">
        <v>2.0</v>
      </c>
      <c r="AG5" s="134" t="s">
        <v>579</v>
      </c>
      <c r="AH5" s="28">
        <v>993.0</v>
      </c>
      <c r="AI5" s="36">
        <v>10.0</v>
      </c>
      <c r="AK5" s="24" t="s">
        <v>580</v>
      </c>
      <c r="AL5" s="28">
        <v>543634.0</v>
      </c>
      <c r="AM5" s="29">
        <v>10.0</v>
      </c>
      <c r="AN5" s="36">
        <v>2.0</v>
      </c>
      <c r="AO5" s="24">
        <v>6.12</v>
      </c>
      <c r="AP5" s="28"/>
      <c r="AV5" s="36">
        <v>6.5</v>
      </c>
      <c r="AW5" s="24">
        <v>7.0</v>
      </c>
      <c r="AX5" s="28">
        <f t="shared" ref="AX5:AX13" si="14">SUM(AV5:AW5)</f>
        <v>13.5</v>
      </c>
      <c r="AY5" s="21">
        <f t="shared" ref="AY5:AZ5" si="6">SUM(AV5)</f>
        <v>6.5</v>
      </c>
      <c r="AZ5">
        <f t="shared" si="6"/>
        <v>7</v>
      </c>
      <c r="BA5">
        <f t="shared" si="7"/>
        <v>12</v>
      </c>
      <c r="BB5">
        <f t="shared" si="8"/>
        <v>12</v>
      </c>
      <c r="BC5">
        <f t="shared" si="9"/>
        <v>10</v>
      </c>
      <c r="BD5">
        <f t="shared" si="10"/>
        <v>12</v>
      </c>
      <c r="BE5">
        <f t="shared" ref="BE5:BJ5" si="11">SUM(AP5)</f>
        <v>0</v>
      </c>
      <c r="BF5">
        <f t="shared" si="11"/>
        <v>0</v>
      </c>
      <c r="BG5">
        <f t="shared" si="11"/>
        <v>0</v>
      </c>
      <c r="BH5">
        <f t="shared" si="11"/>
        <v>0</v>
      </c>
      <c r="BI5">
        <f t="shared" si="11"/>
        <v>0</v>
      </c>
      <c r="BJ5">
        <f t="shared" si="11"/>
        <v>0</v>
      </c>
      <c r="BK5">
        <f t="shared" si="12"/>
        <v>13.5</v>
      </c>
      <c r="BL5" s="24">
        <v>2.0</v>
      </c>
      <c r="BM5" s="50">
        <f t="shared" si="13"/>
        <v>75</v>
      </c>
      <c r="BN5" s="32"/>
    </row>
    <row r="6">
      <c r="A6" s="36">
        <v>410770.0</v>
      </c>
      <c r="B6" s="36" t="s">
        <v>581</v>
      </c>
      <c r="C6" s="4"/>
      <c r="D6" s="25" t="s">
        <v>56</v>
      </c>
      <c r="E6" s="27" t="s">
        <v>56</v>
      </c>
      <c r="F6" s="27" t="s">
        <v>582</v>
      </c>
      <c r="G6" s="27">
        <v>1.0</v>
      </c>
      <c r="H6" s="27"/>
      <c r="I6" s="27" t="s">
        <v>56</v>
      </c>
      <c r="J6" s="27"/>
      <c r="K6" s="27">
        <v>1.0</v>
      </c>
      <c r="L6" s="27"/>
      <c r="M6" s="27"/>
      <c r="N6" s="27" t="s">
        <v>55</v>
      </c>
      <c r="O6" s="27" t="s">
        <v>55</v>
      </c>
      <c r="P6" s="27"/>
      <c r="Q6" s="27"/>
      <c r="R6" s="27"/>
      <c r="S6" s="27"/>
      <c r="T6" s="27"/>
      <c r="U6" s="27"/>
      <c r="V6" s="27"/>
      <c r="W6" s="27"/>
      <c r="X6" s="53"/>
      <c r="Y6" s="27"/>
      <c r="Z6" s="28">
        <v>410775.0</v>
      </c>
      <c r="AA6" s="36">
        <v>9.5</v>
      </c>
      <c r="AC6" s="134" t="s">
        <v>583</v>
      </c>
      <c r="AD6" s="28">
        <v>1208.0</v>
      </c>
      <c r="AE6" s="36">
        <v>9.0</v>
      </c>
      <c r="AG6" s="24" t="s">
        <v>584</v>
      </c>
      <c r="AH6" s="28">
        <v>457.0</v>
      </c>
      <c r="AI6" s="36">
        <v>9.0</v>
      </c>
      <c r="AJ6" s="36">
        <v>1.0</v>
      </c>
      <c r="AK6" s="24" t="s">
        <v>585</v>
      </c>
      <c r="AL6" s="28">
        <v>1488.0</v>
      </c>
      <c r="AM6" s="36">
        <v>7.0</v>
      </c>
      <c r="AN6" s="36">
        <v>2.0</v>
      </c>
      <c r="AO6" s="24">
        <v>12.12</v>
      </c>
      <c r="AP6" s="28"/>
      <c r="AV6" s="36">
        <v>6.0</v>
      </c>
      <c r="AW6" s="24">
        <v>8.5</v>
      </c>
      <c r="AX6" s="28">
        <f t="shared" si="14"/>
        <v>14.5</v>
      </c>
      <c r="AY6" s="21">
        <f t="shared" ref="AY6:AZ6" si="15">SUM(AV6)</f>
        <v>6</v>
      </c>
      <c r="AZ6">
        <f t="shared" si="15"/>
        <v>8.5</v>
      </c>
      <c r="BA6">
        <f t="shared" si="7"/>
        <v>9.5</v>
      </c>
      <c r="BB6">
        <f t="shared" si="8"/>
        <v>9</v>
      </c>
      <c r="BC6">
        <f t="shared" si="9"/>
        <v>10</v>
      </c>
      <c r="BD6">
        <f t="shared" si="10"/>
        <v>9</v>
      </c>
      <c r="BE6">
        <f t="shared" ref="BE6:BJ6" si="16">SUM(AP6)</f>
        <v>0</v>
      </c>
      <c r="BF6">
        <f t="shared" si="16"/>
        <v>0</v>
      </c>
      <c r="BG6">
        <f t="shared" si="16"/>
        <v>0</v>
      </c>
      <c r="BH6">
        <f t="shared" si="16"/>
        <v>0</v>
      </c>
      <c r="BI6">
        <f t="shared" si="16"/>
        <v>0</v>
      </c>
      <c r="BJ6">
        <f t="shared" si="16"/>
        <v>0</v>
      </c>
      <c r="BK6">
        <f t="shared" si="12"/>
        <v>14.5</v>
      </c>
      <c r="BL6" s="4"/>
      <c r="BM6" s="50">
        <f t="shared" si="13"/>
        <v>66.5</v>
      </c>
      <c r="BN6" s="32"/>
    </row>
    <row r="7">
      <c r="A7" s="36">
        <v>336423.0</v>
      </c>
      <c r="B7" s="36" t="s">
        <v>586</v>
      </c>
      <c r="C7" s="24"/>
      <c r="D7" s="25">
        <v>2.0</v>
      </c>
      <c r="E7" s="27">
        <v>1.0</v>
      </c>
      <c r="F7" s="27" t="s">
        <v>56</v>
      </c>
      <c r="G7" s="27"/>
      <c r="H7" s="27"/>
      <c r="I7" s="27" t="s">
        <v>56</v>
      </c>
      <c r="J7" s="27"/>
      <c r="K7" s="27"/>
      <c r="L7" s="27"/>
      <c r="M7" s="27" t="s">
        <v>55</v>
      </c>
      <c r="N7" s="27"/>
      <c r="O7" s="27"/>
      <c r="P7" s="27" t="s">
        <v>55</v>
      </c>
      <c r="Q7" s="27" t="s">
        <v>55</v>
      </c>
      <c r="R7" s="27"/>
      <c r="S7" s="27"/>
      <c r="T7" s="27"/>
      <c r="U7" s="27"/>
      <c r="V7" s="27"/>
      <c r="W7" s="27"/>
      <c r="X7" s="53"/>
      <c r="Y7" s="27"/>
      <c r="Z7" s="28">
        <v>336423.0</v>
      </c>
      <c r="AA7" s="36">
        <v>10.0</v>
      </c>
      <c r="AB7" s="36">
        <v>2.0</v>
      </c>
      <c r="AC7" s="134" t="s">
        <v>578</v>
      </c>
      <c r="AD7" s="36">
        <v>336424.0</v>
      </c>
      <c r="AE7" s="36">
        <v>10.0</v>
      </c>
      <c r="AF7" s="36">
        <v>2.0</v>
      </c>
      <c r="AG7" s="24" t="s">
        <v>587</v>
      </c>
      <c r="AH7" s="28">
        <v>141414.0</v>
      </c>
      <c r="AI7" s="36">
        <v>10.0</v>
      </c>
      <c r="AJ7" s="36">
        <v>2.0</v>
      </c>
      <c r="AK7" s="24">
        <v>28.11</v>
      </c>
      <c r="AL7" s="28">
        <v>24.0</v>
      </c>
      <c r="AM7" s="36">
        <v>9.0</v>
      </c>
      <c r="AN7" s="36">
        <v>2.0</v>
      </c>
      <c r="AO7" s="24">
        <v>15.12</v>
      </c>
      <c r="AP7" s="28"/>
      <c r="AV7" s="36">
        <v>8.0</v>
      </c>
      <c r="AW7" s="24">
        <v>9.0</v>
      </c>
      <c r="AX7" s="28">
        <f t="shared" si="14"/>
        <v>17</v>
      </c>
      <c r="AY7" s="21">
        <f t="shared" ref="AY7:AZ7" si="17">SUM(AV7)</f>
        <v>8</v>
      </c>
      <c r="AZ7">
        <f t="shared" si="17"/>
        <v>9</v>
      </c>
      <c r="BA7">
        <f t="shared" si="7"/>
        <v>12</v>
      </c>
      <c r="BB7">
        <f t="shared" si="8"/>
        <v>12</v>
      </c>
      <c r="BC7">
        <f t="shared" si="9"/>
        <v>12</v>
      </c>
      <c r="BD7">
        <f t="shared" si="10"/>
        <v>11</v>
      </c>
      <c r="BE7">
        <f t="shared" ref="BE7:BJ7" si="18">SUM(AP7)</f>
        <v>0</v>
      </c>
      <c r="BF7">
        <f t="shared" si="18"/>
        <v>0</v>
      </c>
      <c r="BG7">
        <f t="shared" si="18"/>
        <v>0</v>
      </c>
      <c r="BH7">
        <f t="shared" si="18"/>
        <v>0</v>
      </c>
      <c r="BI7">
        <f t="shared" si="18"/>
        <v>0</v>
      </c>
      <c r="BJ7">
        <f t="shared" si="18"/>
        <v>0</v>
      </c>
      <c r="BK7">
        <f t="shared" si="12"/>
        <v>17</v>
      </c>
      <c r="BL7" s="24">
        <v>2.0</v>
      </c>
      <c r="BM7" s="50">
        <f t="shared" si="13"/>
        <v>83</v>
      </c>
      <c r="BN7" s="32"/>
    </row>
    <row r="8">
      <c r="A8" s="36">
        <v>388113.0</v>
      </c>
      <c r="B8" s="36" t="s">
        <v>588</v>
      </c>
      <c r="C8" s="24"/>
      <c r="D8" s="25" t="s">
        <v>56</v>
      </c>
      <c r="E8" s="27" t="s">
        <v>56</v>
      </c>
      <c r="F8" s="27" t="s">
        <v>56</v>
      </c>
      <c r="G8" s="27">
        <v>1.0</v>
      </c>
      <c r="H8" s="27">
        <v>1.0</v>
      </c>
      <c r="I8" s="27">
        <v>2.0</v>
      </c>
      <c r="J8" s="27">
        <v>2.0</v>
      </c>
      <c r="K8" s="27"/>
      <c r="L8" s="27"/>
      <c r="M8" s="27" t="s">
        <v>55</v>
      </c>
      <c r="N8" s="27" t="s">
        <v>55</v>
      </c>
      <c r="O8" s="27"/>
      <c r="P8" s="27"/>
      <c r="Q8" s="27"/>
      <c r="R8" s="27"/>
      <c r="S8" s="27"/>
      <c r="T8" s="27"/>
      <c r="U8" s="27"/>
      <c r="V8" s="27"/>
      <c r="W8" s="27"/>
      <c r="X8" s="53"/>
      <c r="Y8" s="27"/>
      <c r="Z8" s="28">
        <f t="shared" ref="Z8:Z23" si="21">A8 + 5</f>
        <v>388118</v>
      </c>
      <c r="AA8" s="36">
        <v>9.0</v>
      </c>
      <c r="AB8" s="36">
        <v>1.0</v>
      </c>
      <c r="AC8" s="134" t="s">
        <v>589</v>
      </c>
      <c r="AD8" s="28">
        <v>32234.0</v>
      </c>
      <c r="AE8" s="36">
        <v>7.5</v>
      </c>
      <c r="AG8" s="24" t="s">
        <v>580</v>
      </c>
      <c r="AH8" s="28">
        <v>65476.0</v>
      </c>
      <c r="AI8" s="36">
        <v>7.5</v>
      </c>
      <c r="AK8" s="24" t="s">
        <v>585</v>
      </c>
      <c r="AL8" s="28">
        <v>75674.0</v>
      </c>
      <c r="AM8" s="36">
        <v>9.0</v>
      </c>
      <c r="AN8" s="36">
        <v>2.0</v>
      </c>
      <c r="AO8" s="24">
        <v>6.12</v>
      </c>
      <c r="AP8" s="28"/>
      <c r="AV8" s="36">
        <v>8.0</v>
      </c>
      <c r="AW8" s="24">
        <v>8.5</v>
      </c>
      <c r="AX8" s="28">
        <f t="shared" si="14"/>
        <v>16.5</v>
      </c>
      <c r="AY8" s="21">
        <f t="shared" ref="AY8:AZ8" si="19">SUM(AV8)</f>
        <v>8</v>
      </c>
      <c r="AZ8">
        <f t="shared" si="19"/>
        <v>8.5</v>
      </c>
      <c r="BA8">
        <f t="shared" si="7"/>
        <v>10</v>
      </c>
      <c r="BB8">
        <f t="shared" si="8"/>
        <v>7.5</v>
      </c>
      <c r="BC8">
        <f t="shared" si="9"/>
        <v>7.5</v>
      </c>
      <c r="BD8">
        <f t="shared" si="10"/>
        <v>11</v>
      </c>
      <c r="BE8">
        <f t="shared" ref="BE8:BJ8" si="20">SUM(AP8)</f>
        <v>0</v>
      </c>
      <c r="BF8">
        <f t="shared" si="20"/>
        <v>0</v>
      </c>
      <c r="BG8">
        <f t="shared" si="20"/>
        <v>0</v>
      </c>
      <c r="BH8">
        <f t="shared" si="20"/>
        <v>0</v>
      </c>
      <c r="BI8">
        <f t="shared" si="20"/>
        <v>0</v>
      </c>
      <c r="BJ8">
        <f t="shared" si="20"/>
        <v>0</v>
      </c>
      <c r="BK8">
        <f t="shared" si="12"/>
        <v>16.5</v>
      </c>
      <c r="BL8" s="4"/>
      <c r="BM8" s="50">
        <f t="shared" si="13"/>
        <v>69</v>
      </c>
      <c r="BN8" s="32"/>
    </row>
    <row r="9">
      <c r="A9" s="36">
        <v>408904.0</v>
      </c>
      <c r="B9" s="36" t="s">
        <v>590</v>
      </c>
      <c r="C9" s="24"/>
      <c r="D9" s="25" t="s">
        <v>56</v>
      </c>
      <c r="E9" s="27" t="s">
        <v>56</v>
      </c>
      <c r="F9" s="27" t="s">
        <v>56</v>
      </c>
      <c r="G9" s="27"/>
      <c r="H9" s="27">
        <v>1.0</v>
      </c>
      <c r="I9" s="27" t="s">
        <v>56</v>
      </c>
      <c r="J9" s="27"/>
      <c r="K9" s="27"/>
      <c r="L9" s="27"/>
      <c r="M9" s="27"/>
      <c r="N9" s="27" t="s">
        <v>55</v>
      </c>
      <c r="O9" s="27" t="s">
        <v>55</v>
      </c>
      <c r="P9" s="27"/>
      <c r="Q9" s="27"/>
      <c r="R9" s="27"/>
      <c r="S9" s="27"/>
      <c r="T9" s="27"/>
      <c r="U9" s="27"/>
      <c r="V9" s="27"/>
      <c r="W9" s="27"/>
      <c r="X9" s="53"/>
      <c r="Y9" s="27"/>
      <c r="Z9" s="28">
        <f t="shared" si="21"/>
        <v>408909</v>
      </c>
      <c r="AA9" s="36">
        <v>10.0</v>
      </c>
      <c r="AB9" s="36">
        <v>1.0</v>
      </c>
      <c r="AC9" s="134" t="s">
        <v>579</v>
      </c>
      <c r="AD9" s="28">
        <v>8765.0</v>
      </c>
      <c r="AE9" s="36">
        <v>9.0</v>
      </c>
      <c r="AG9" s="24" t="s">
        <v>591</v>
      </c>
      <c r="AH9" s="28">
        <v>78968.0</v>
      </c>
      <c r="AI9" s="36">
        <v>10.0</v>
      </c>
      <c r="AJ9" s="36">
        <v>1.0</v>
      </c>
      <c r="AK9" s="24" t="s">
        <v>592</v>
      </c>
      <c r="AL9" s="28">
        <v>1234.0</v>
      </c>
      <c r="AM9" s="36">
        <v>7.0</v>
      </c>
      <c r="AN9" s="36">
        <v>2.0</v>
      </c>
      <c r="AO9" s="24">
        <v>12.12</v>
      </c>
      <c r="AP9" s="28"/>
      <c r="AV9" s="36">
        <v>6.0</v>
      </c>
      <c r="AW9" s="24">
        <v>6.0</v>
      </c>
      <c r="AX9" s="28">
        <f t="shared" si="14"/>
        <v>12</v>
      </c>
      <c r="AY9" s="21">
        <f t="shared" ref="AY9:AZ9" si="22">SUM(AV9)</f>
        <v>6</v>
      </c>
      <c r="AZ9">
        <f t="shared" si="22"/>
        <v>6</v>
      </c>
      <c r="BA9">
        <f t="shared" si="7"/>
        <v>11</v>
      </c>
      <c r="BB9">
        <f t="shared" si="8"/>
        <v>9</v>
      </c>
      <c r="BC9">
        <f t="shared" si="9"/>
        <v>11</v>
      </c>
      <c r="BD9">
        <f t="shared" si="10"/>
        <v>9</v>
      </c>
      <c r="BE9">
        <f t="shared" ref="BE9:BJ9" si="23">SUM(AP9)</f>
        <v>0</v>
      </c>
      <c r="BF9">
        <f t="shared" si="23"/>
        <v>0</v>
      </c>
      <c r="BG9">
        <f t="shared" si="23"/>
        <v>0</v>
      </c>
      <c r="BH9">
        <f t="shared" si="23"/>
        <v>0</v>
      </c>
      <c r="BI9">
        <f t="shared" si="23"/>
        <v>0</v>
      </c>
      <c r="BJ9">
        <f t="shared" si="23"/>
        <v>0</v>
      </c>
      <c r="BK9">
        <f t="shared" si="12"/>
        <v>12</v>
      </c>
      <c r="BL9" s="4"/>
      <c r="BM9" s="50">
        <f t="shared" si="13"/>
        <v>64</v>
      </c>
      <c r="BN9" s="32"/>
    </row>
    <row r="10">
      <c r="A10" s="36">
        <v>470150.0</v>
      </c>
      <c r="B10" s="36" t="s">
        <v>593</v>
      </c>
      <c r="C10" s="24"/>
      <c r="D10" s="25" t="s">
        <v>56</v>
      </c>
      <c r="E10" s="27" t="s">
        <v>56</v>
      </c>
      <c r="F10" s="27">
        <v>1.0</v>
      </c>
      <c r="G10" s="27"/>
      <c r="H10" s="27">
        <v>2.0</v>
      </c>
      <c r="I10" s="27" t="s">
        <v>56</v>
      </c>
      <c r="J10" s="27"/>
      <c r="K10" s="27"/>
      <c r="L10" s="27"/>
      <c r="M10" s="27"/>
      <c r="N10" s="27" t="s">
        <v>55</v>
      </c>
      <c r="O10" s="27" t="s">
        <v>55</v>
      </c>
      <c r="P10" s="27"/>
      <c r="Q10" s="27"/>
      <c r="R10" s="27"/>
      <c r="S10" s="27"/>
      <c r="T10" s="27"/>
      <c r="U10" s="27"/>
      <c r="V10" s="27"/>
      <c r="W10" s="27"/>
      <c r="X10" s="53"/>
      <c r="Y10" s="27"/>
      <c r="Z10" s="28">
        <f t="shared" si="21"/>
        <v>470155</v>
      </c>
      <c r="AA10" s="36">
        <v>8.0</v>
      </c>
      <c r="AB10" s="36">
        <v>1.0</v>
      </c>
      <c r="AC10" s="134" t="s">
        <v>579</v>
      </c>
      <c r="AD10" s="28">
        <v>1.2345687E7</v>
      </c>
      <c r="AE10" s="36">
        <v>8.5</v>
      </c>
      <c r="AG10" s="24" t="s">
        <v>594</v>
      </c>
      <c r="AH10" s="28">
        <v>312354.0</v>
      </c>
      <c r="AI10" s="36">
        <v>6.0</v>
      </c>
      <c r="AK10" s="24" t="s">
        <v>585</v>
      </c>
      <c r="AL10" s="28">
        <v>2345623.0</v>
      </c>
      <c r="AM10" s="36">
        <v>9.0</v>
      </c>
      <c r="AN10" s="36">
        <v>2.0</v>
      </c>
      <c r="AO10" s="24">
        <v>12.12</v>
      </c>
      <c r="AP10" s="28"/>
      <c r="AV10" s="36">
        <v>6.0</v>
      </c>
      <c r="AW10" s="24">
        <v>7.0</v>
      </c>
      <c r="AX10" s="28">
        <f t="shared" si="14"/>
        <v>13</v>
      </c>
      <c r="AY10" s="21">
        <f t="shared" ref="AY10:AZ10" si="24">SUM(AV10)</f>
        <v>6</v>
      </c>
      <c r="AZ10">
        <f t="shared" si="24"/>
        <v>7</v>
      </c>
      <c r="BA10">
        <f t="shared" si="7"/>
        <v>9</v>
      </c>
      <c r="BB10">
        <f t="shared" si="8"/>
        <v>8.5</v>
      </c>
      <c r="BC10">
        <f t="shared" si="9"/>
        <v>6</v>
      </c>
      <c r="BD10">
        <f t="shared" si="10"/>
        <v>11</v>
      </c>
      <c r="BE10">
        <f t="shared" ref="BE10:BJ10" si="25">SUM(AP10)</f>
        <v>0</v>
      </c>
      <c r="BF10">
        <f t="shared" si="25"/>
        <v>0</v>
      </c>
      <c r="BG10">
        <f t="shared" si="25"/>
        <v>0</v>
      </c>
      <c r="BH10">
        <f t="shared" si="25"/>
        <v>0</v>
      </c>
      <c r="BI10">
        <f t="shared" si="25"/>
        <v>0</v>
      </c>
      <c r="BJ10">
        <f t="shared" si="25"/>
        <v>0</v>
      </c>
      <c r="BK10">
        <f t="shared" si="12"/>
        <v>13</v>
      </c>
      <c r="BL10" s="4"/>
      <c r="BM10" s="50">
        <f t="shared" si="13"/>
        <v>60.5</v>
      </c>
      <c r="BN10" s="32"/>
    </row>
    <row r="11">
      <c r="A11" s="36">
        <v>367259.0</v>
      </c>
      <c r="B11" s="36" t="s">
        <v>595</v>
      </c>
      <c r="C11" s="24"/>
      <c r="D11" s="25">
        <v>2.0</v>
      </c>
      <c r="E11" s="27" t="s">
        <v>56</v>
      </c>
      <c r="F11" s="27" t="s">
        <v>56</v>
      </c>
      <c r="G11" s="27"/>
      <c r="H11" s="27"/>
      <c r="I11" s="27" t="s">
        <v>56</v>
      </c>
      <c r="J11" s="27"/>
      <c r="K11" s="27"/>
      <c r="L11" s="27"/>
      <c r="M11" s="27" t="s">
        <v>55</v>
      </c>
      <c r="N11" s="27" t="s">
        <v>55</v>
      </c>
      <c r="O11" s="27"/>
      <c r="P11" s="191"/>
      <c r="Q11" s="191"/>
      <c r="R11" s="191"/>
      <c r="S11" s="191"/>
      <c r="T11" s="191"/>
      <c r="U11" s="191"/>
      <c r="V11" s="191"/>
      <c r="W11" s="191"/>
      <c r="X11" s="53"/>
      <c r="Y11" s="191"/>
      <c r="Z11" s="28">
        <f t="shared" si="21"/>
        <v>367264</v>
      </c>
      <c r="AA11" s="36">
        <v>10.0</v>
      </c>
      <c r="AB11" s="36">
        <v>2.0</v>
      </c>
      <c r="AC11" s="134" t="s">
        <v>596</v>
      </c>
      <c r="AD11" s="276">
        <v>85329.0</v>
      </c>
      <c r="AE11" s="277">
        <v>9.0</v>
      </c>
      <c r="AF11" s="277">
        <v>1.0</v>
      </c>
      <c r="AG11" s="278" t="s">
        <v>597</v>
      </c>
      <c r="AH11" s="36">
        <v>367265.0</v>
      </c>
      <c r="AI11" s="36">
        <v>9.0</v>
      </c>
      <c r="AJ11" s="36">
        <v>2.0</v>
      </c>
      <c r="AK11" s="24">
        <v>28.11</v>
      </c>
      <c r="AL11" s="28">
        <v>47643.0</v>
      </c>
      <c r="AM11" s="36">
        <v>10.0</v>
      </c>
      <c r="AN11" s="36">
        <v>2.0</v>
      </c>
      <c r="AO11" s="24">
        <v>6.12</v>
      </c>
      <c r="AP11" s="28"/>
      <c r="AV11" s="36">
        <v>6.0</v>
      </c>
      <c r="AW11" s="24">
        <v>6.0</v>
      </c>
      <c r="AX11" s="28">
        <f t="shared" si="14"/>
        <v>12</v>
      </c>
      <c r="AY11" s="21">
        <f t="shared" ref="AY11:AZ11" si="26">SUM(AV11)</f>
        <v>6</v>
      </c>
      <c r="AZ11">
        <f t="shared" si="26"/>
        <v>6</v>
      </c>
      <c r="BA11">
        <f t="shared" si="7"/>
        <v>12</v>
      </c>
      <c r="BB11">
        <f t="shared" si="8"/>
        <v>10</v>
      </c>
      <c r="BC11">
        <f t="shared" si="9"/>
        <v>11</v>
      </c>
      <c r="BD11">
        <f t="shared" si="10"/>
        <v>12</v>
      </c>
      <c r="BE11">
        <f t="shared" ref="BE11:BJ11" si="27">SUM(AP11)</f>
        <v>0</v>
      </c>
      <c r="BF11">
        <f t="shared" si="27"/>
        <v>0</v>
      </c>
      <c r="BG11">
        <f t="shared" si="27"/>
        <v>0</v>
      </c>
      <c r="BH11">
        <f t="shared" si="27"/>
        <v>0</v>
      </c>
      <c r="BI11">
        <f t="shared" si="27"/>
        <v>0</v>
      </c>
      <c r="BJ11">
        <f t="shared" si="27"/>
        <v>0</v>
      </c>
      <c r="BK11">
        <f t="shared" si="12"/>
        <v>12</v>
      </c>
      <c r="BL11" s="4"/>
      <c r="BM11" s="50">
        <f t="shared" si="13"/>
        <v>69</v>
      </c>
      <c r="BN11" s="32"/>
    </row>
    <row r="12">
      <c r="A12" s="36">
        <v>412891.0</v>
      </c>
      <c r="B12" s="36" t="s">
        <v>598</v>
      </c>
      <c r="C12" s="24"/>
      <c r="D12" s="25" t="s">
        <v>56</v>
      </c>
      <c r="E12" s="27" t="s">
        <v>56</v>
      </c>
      <c r="F12" s="27">
        <v>2.0</v>
      </c>
      <c r="G12" s="27"/>
      <c r="H12" s="27"/>
      <c r="I12" s="27" t="s">
        <v>56</v>
      </c>
      <c r="J12" s="27"/>
      <c r="K12" s="27">
        <v>1.0</v>
      </c>
      <c r="L12" s="27"/>
      <c r="M12" s="27"/>
      <c r="N12" s="27" t="s">
        <v>55</v>
      </c>
      <c r="O12" s="27" t="s">
        <v>55</v>
      </c>
      <c r="P12" s="27" t="s">
        <v>55</v>
      </c>
      <c r="Q12" s="27" t="s">
        <v>55</v>
      </c>
      <c r="R12" s="27"/>
      <c r="S12" s="27"/>
      <c r="T12" s="27"/>
      <c r="U12" s="27"/>
      <c r="V12" s="27"/>
      <c r="W12" s="27"/>
      <c r="X12" s="53"/>
      <c r="Y12" s="27"/>
      <c r="Z12" s="28">
        <f t="shared" si="21"/>
        <v>412896</v>
      </c>
      <c r="AA12" s="36">
        <v>9.0</v>
      </c>
      <c r="AB12" s="36">
        <v>1.0</v>
      </c>
      <c r="AC12" s="134" t="s">
        <v>579</v>
      </c>
      <c r="AD12" s="28">
        <v>211452.0</v>
      </c>
      <c r="AE12" s="36">
        <v>9.0</v>
      </c>
      <c r="AG12" s="24" t="s">
        <v>584</v>
      </c>
      <c r="AH12" s="28">
        <v>523.0</v>
      </c>
      <c r="AI12" s="36">
        <v>8.0</v>
      </c>
      <c r="AJ12" s="36">
        <v>2.0</v>
      </c>
      <c r="AK12" s="24">
        <v>12.12</v>
      </c>
      <c r="AL12" s="28">
        <v>83925.0</v>
      </c>
      <c r="AM12" s="36">
        <v>9.0</v>
      </c>
      <c r="AN12" s="36">
        <v>2.0</v>
      </c>
      <c r="AO12" s="24">
        <v>15.12</v>
      </c>
      <c r="AP12" s="28"/>
      <c r="AV12" s="36">
        <v>6.0</v>
      </c>
      <c r="AW12" s="24">
        <v>7.0</v>
      </c>
      <c r="AX12" s="28">
        <f t="shared" si="14"/>
        <v>13</v>
      </c>
      <c r="AY12" s="21">
        <f t="shared" ref="AY12:AZ12" si="28">SUM(AV12)</f>
        <v>6</v>
      </c>
      <c r="AZ12">
        <f t="shared" si="28"/>
        <v>7</v>
      </c>
      <c r="BA12">
        <f t="shared" si="7"/>
        <v>10</v>
      </c>
      <c r="BB12">
        <f t="shared" si="8"/>
        <v>9</v>
      </c>
      <c r="BC12">
        <f t="shared" si="9"/>
        <v>10</v>
      </c>
      <c r="BD12">
        <f t="shared" si="10"/>
        <v>11</v>
      </c>
      <c r="BE12">
        <f t="shared" ref="BE12:BJ12" si="29">SUM(AP12)</f>
        <v>0</v>
      </c>
      <c r="BF12">
        <f t="shared" si="29"/>
        <v>0</v>
      </c>
      <c r="BG12">
        <f t="shared" si="29"/>
        <v>0</v>
      </c>
      <c r="BH12">
        <f t="shared" si="29"/>
        <v>0</v>
      </c>
      <c r="BI12">
        <f t="shared" si="29"/>
        <v>0</v>
      </c>
      <c r="BJ12">
        <f t="shared" si="29"/>
        <v>0</v>
      </c>
      <c r="BK12">
        <f t="shared" si="12"/>
        <v>13</v>
      </c>
      <c r="BL12" s="4"/>
      <c r="BM12" s="50">
        <f t="shared" si="13"/>
        <v>66</v>
      </c>
      <c r="BN12" s="32"/>
    </row>
    <row r="13">
      <c r="A13" s="36">
        <v>408256.0</v>
      </c>
      <c r="B13" s="36" t="s">
        <v>599</v>
      </c>
      <c r="C13" s="24"/>
      <c r="D13" s="25" t="s">
        <v>56</v>
      </c>
      <c r="E13" s="27" t="s">
        <v>56</v>
      </c>
      <c r="F13" s="27">
        <v>1.0</v>
      </c>
      <c r="G13" s="27"/>
      <c r="H13" s="27">
        <v>2.0</v>
      </c>
      <c r="I13" s="27" t="s">
        <v>55</v>
      </c>
      <c r="J13" s="27"/>
      <c r="K13" s="27"/>
      <c r="L13" s="27"/>
      <c r="M13" s="27"/>
      <c r="N13" s="27" t="s">
        <v>55</v>
      </c>
      <c r="O13" s="27"/>
      <c r="P13" s="27"/>
      <c r="Q13" s="27"/>
      <c r="R13" s="27"/>
      <c r="S13" s="27"/>
      <c r="T13" s="27"/>
      <c r="U13" s="27"/>
      <c r="V13" s="27"/>
      <c r="W13" s="27"/>
      <c r="X13" s="53"/>
      <c r="Y13" s="27"/>
      <c r="Z13" s="28">
        <f t="shared" si="21"/>
        <v>408261</v>
      </c>
      <c r="AA13" s="36">
        <v>8.5</v>
      </c>
      <c r="AC13" s="134" t="s">
        <v>589</v>
      </c>
      <c r="AD13" s="28">
        <v>32342.0</v>
      </c>
      <c r="AE13" s="36">
        <v>9.0</v>
      </c>
      <c r="AG13" s="24" t="s">
        <v>580</v>
      </c>
      <c r="AH13" s="28">
        <v>765765.0</v>
      </c>
      <c r="AI13" s="36">
        <v>8.0</v>
      </c>
      <c r="AK13" s="24" t="s">
        <v>585</v>
      </c>
      <c r="AL13" s="28">
        <v>567756.0</v>
      </c>
      <c r="AM13" s="36">
        <v>10.0</v>
      </c>
      <c r="AN13" s="36">
        <v>2.0</v>
      </c>
      <c r="AO13" s="24">
        <v>6.12</v>
      </c>
      <c r="AP13" s="28"/>
      <c r="AV13" s="36">
        <v>7.0</v>
      </c>
      <c r="AW13" s="24">
        <v>6.5</v>
      </c>
      <c r="AX13" s="28">
        <f t="shared" si="14"/>
        <v>13.5</v>
      </c>
      <c r="AY13" s="21">
        <f t="shared" ref="AY13:AZ13" si="30">SUM(AV13)</f>
        <v>7</v>
      </c>
      <c r="AZ13">
        <f t="shared" si="30"/>
        <v>6.5</v>
      </c>
      <c r="BA13">
        <f t="shared" si="7"/>
        <v>8.5</v>
      </c>
      <c r="BB13">
        <f t="shared" si="8"/>
        <v>9</v>
      </c>
      <c r="BC13">
        <f t="shared" si="9"/>
        <v>8</v>
      </c>
      <c r="BD13">
        <f t="shared" si="10"/>
        <v>12</v>
      </c>
      <c r="BE13">
        <f t="shared" ref="BE13:BJ13" si="31">SUM(AP13)</f>
        <v>0</v>
      </c>
      <c r="BF13">
        <f t="shared" si="31"/>
        <v>0</v>
      </c>
      <c r="BG13">
        <f t="shared" si="31"/>
        <v>0</v>
      </c>
      <c r="BH13">
        <f t="shared" si="31"/>
        <v>0</v>
      </c>
      <c r="BI13">
        <f t="shared" si="31"/>
        <v>0</v>
      </c>
      <c r="BJ13">
        <f t="shared" si="31"/>
        <v>0</v>
      </c>
      <c r="BK13">
        <f t="shared" si="12"/>
        <v>13.5</v>
      </c>
      <c r="BL13" s="4"/>
      <c r="BM13" s="50">
        <f t="shared" si="13"/>
        <v>64.5</v>
      </c>
      <c r="BN13" s="32"/>
    </row>
    <row r="14">
      <c r="A14" s="36">
        <v>407885.0</v>
      </c>
      <c r="B14" s="36" t="s">
        <v>600</v>
      </c>
      <c r="C14" s="24"/>
      <c r="D14" s="25" t="s">
        <v>56</v>
      </c>
      <c r="E14" s="27" t="s">
        <v>56</v>
      </c>
      <c r="F14" s="27" t="s">
        <v>56</v>
      </c>
      <c r="G14" s="27"/>
      <c r="H14" s="27"/>
      <c r="I14" s="27" t="s">
        <v>56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53"/>
      <c r="Y14" s="27"/>
      <c r="Z14" s="28">
        <f t="shared" si="21"/>
        <v>407890</v>
      </c>
      <c r="AC14" s="134"/>
      <c r="AD14" s="28"/>
      <c r="AG14" s="24"/>
      <c r="AH14" s="28"/>
      <c r="AK14" s="24"/>
      <c r="AL14" s="28"/>
      <c r="AO14" s="24"/>
      <c r="AP14" s="28"/>
      <c r="AW14" s="24"/>
      <c r="AX14" s="28"/>
      <c r="AY14" s="21">
        <f t="shared" ref="AY14:AZ14" si="32">SUM(AV14)</f>
        <v>0</v>
      </c>
      <c r="AZ14">
        <f t="shared" si="32"/>
        <v>0</v>
      </c>
      <c r="BA14">
        <f t="shared" si="7"/>
        <v>0</v>
      </c>
      <c r="BB14">
        <f t="shared" si="8"/>
        <v>0</v>
      </c>
      <c r="BC14">
        <f t="shared" si="9"/>
        <v>0</v>
      </c>
      <c r="BD14">
        <f t="shared" si="10"/>
        <v>0</v>
      </c>
      <c r="BE14">
        <f t="shared" ref="BE14:BJ14" si="33">SUM(AP14)</f>
        <v>0</v>
      </c>
      <c r="BF14">
        <f t="shared" si="33"/>
        <v>0</v>
      </c>
      <c r="BG14">
        <f t="shared" si="33"/>
        <v>0</v>
      </c>
      <c r="BH14">
        <f t="shared" si="33"/>
        <v>0</v>
      </c>
      <c r="BI14">
        <f t="shared" si="33"/>
        <v>0</v>
      </c>
      <c r="BJ14">
        <f t="shared" si="33"/>
        <v>0</v>
      </c>
      <c r="BK14">
        <f t="shared" si="12"/>
        <v>0</v>
      </c>
      <c r="BL14" s="4"/>
      <c r="BM14" s="50">
        <f t="shared" si="13"/>
        <v>0</v>
      </c>
      <c r="BN14" s="32"/>
    </row>
    <row r="15">
      <c r="A15" s="36">
        <v>469869.0</v>
      </c>
      <c r="B15" s="36" t="s">
        <v>601</v>
      </c>
      <c r="C15" s="24"/>
      <c r="D15" s="25">
        <v>2.0</v>
      </c>
      <c r="E15" s="27" t="s">
        <v>56</v>
      </c>
      <c r="F15" s="27">
        <v>1.0</v>
      </c>
      <c r="G15" s="27"/>
      <c r="H15" s="27"/>
      <c r="I15" s="27" t="s">
        <v>56</v>
      </c>
      <c r="J15" s="27"/>
      <c r="K15" s="27"/>
      <c r="L15" s="27"/>
      <c r="M15" s="27"/>
      <c r="N15" s="27" t="s">
        <v>55</v>
      </c>
      <c r="O15" s="27" t="s">
        <v>55</v>
      </c>
      <c r="P15" s="27"/>
      <c r="Q15" s="27"/>
      <c r="R15" s="27" t="s">
        <v>55</v>
      </c>
      <c r="S15" s="27" t="s">
        <v>55</v>
      </c>
      <c r="T15" s="27"/>
      <c r="U15" s="27"/>
      <c r="V15" s="27"/>
      <c r="W15" s="27"/>
      <c r="X15" s="53"/>
      <c r="Y15" s="27"/>
      <c r="Z15" s="28">
        <f t="shared" si="21"/>
        <v>469874</v>
      </c>
      <c r="AA15" s="36">
        <v>9.0</v>
      </c>
      <c r="AB15" s="36">
        <v>1.0</v>
      </c>
      <c r="AC15" s="134" t="s">
        <v>596</v>
      </c>
      <c r="AD15" s="28">
        <v>469875.0</v>
      </c>
      <c r="AE15" s="36">
        <v>10.0</v>
      </c>
      <c r="AF15" s="36">
        <v>2.0</v>
      </c>
      <c r="AG15" s="134" t="s">
        <v>579</v>
      </c>
      <c r="AH15" s="28">
        <v>6768.0</v>
      </c>
      <c r="AI15" s="36">
        <v>9.0</v>
      </c>
      <c r="AJ15" s="36">
        <v>2.0</v>
      </c>
      <c r="AK15" s="24">
        <v>12.12</v>
      </c>
      <c r="AL15" s="28">
        <v>27596.0</v>
      </c>
      <c r="AM15" s="36">
        <v>9.0</v>
      </c>
      <c r="AN15" s="36">
        <v>2.0</v>
      </c>
      <c r="AO15" s="24">
        <v>21.1</v>
      </c>
      <c r="AP15" s="28"/>
      <c r="AV15" s="36">
        <v>9.5</v>
      </c>
      <c r="AW15" s="24">
        <v>6.0</v>
      </c>
      <c r="AX15" s="28">
        <f t="shared" ref="AX15:AX16" si="36">SUM(AV15:AW15)+1</f>
        <v>16.5</v>
      </c>
      <c r="AY15" s="21">
        <f t="shared" ref="AY15:AZ15" si="34">SUM(AV15)</f>
        <v>9.5</v>
      </c>
      <c r="AZ15">
        <f t="shared" si="34"/>
        <v>6</v>
      </c>
      <c r="BA15">
        <f t="shared" si="7"/>
        <v>10</v>
      </c>
      <c r="BB15">
        <f t="shared" si="8"/>
        <v>12</v>
      </c>
      <c r="BC15">
        <f t="shared" si="9"/>
        <v>11</v>
      </c>
      <c r="BD15">
        <f t="shared" si="10"/>
        <v>11</v>
      </c>
      <c r="BE15">
        <f t="shared" ref="BE15:BJ15" si="35">SUM(AP15)</f>
        <v>0</v>
      </c>
      <c r="BF15">
        <f t="shared" si="35"/>
        <v>0</v>
      </c>
      <c r="BG15">
        <f t="shared" si="35"/>
        <v>0</v>
      </c>
      <c r="BH15">
        <f t="shared" si="35"/>
        <v>0</v>
      </c>
      <c r="BI15">
        <f t="shared" si="35"/>
        <v>0</v>
      </c>
      <c r="BJ15">
        <f t="shared" si="35"/>
        <v>0</v>
      </c>
      <c r="BK15">
        <f t="shared" si="12"/>
        <v>16.5</v>
      </c>
      <c r="BL15" s="4"/>
      <c r="BM15" s="50">
        <f t="shared" si="13"/>
        <v>76</v>
      </c>
      <c r="BN15" s="32"/>
    </row>
    <row r="16">
      <c r="A16" s="36">
        <v>409319.0</v>
      </c>
      <c r="B16" s="36" t="s">
        <v>602</v>
      </c>
      <c r="C16" s="24"/>
      <c r="D16" s="25" t="s">
        <v>56</v>
      </c>
      <c r="E16" s="27" t="s">
        <v>56</v>
      </c>
      <c r="F16" s="27" t="s">
        <v>56</v>
      </c>
      <c r="G16" s="27"/>
      <c r="H16" s="27"/>
      <c r="I16" s="27">
        <v>2.0</v>
      </c>
      <c r="J16" s="27">
        <v>2.0</v>
      </c>
      <c r="K16" s="27"/>
      <c r="L16" s="27"/>
      <c r="M16" s="27" t="s">
        <v>55</v>
      </c>
      <c r="N16" s="27" t="s">
        <v>55</v>
      </c>
      <c r="O16" s="27" t="s">
        <v>55</v>
      </c>
      <c r="P16" s="27"/>
      <c r="Q16" s="27"/>
      <c r="R16" s="27"/>
      <c r="S16" s="27"/>
      <c r="T16" s="27"/>
      <c r="U16" s="27"/>
      <c r="V16" s="27"/>
      <c r="W16" s="27"/>
      <c r="X16" s="53"/>
      <c r="Y16" s="27"/>
      <c r="Z16" s="28">
        <f t="shared" si="21"/>
        <v>409324</v>
      </c>
      <c r="AA16" s="36">
        <v>9.0</v>
      </c>
      <c r="AC16" s="134" t="s">
        <v>603</v>
      </c>
      <c r="AD16" s="28">
        <v>11228.0</v>
      </c>
      <c r="AE16" s="36">
        <v>8.0</v>
      </c>
      <c r="AF16" s="36">
        <v>2.0</v>
      </c>
      <c r="AG16" s="24" t="s">
        <v>225</v>
      </c>
      <c r="AH16" s="28">
        <v>93282.0</v>
      </c>
      <c r="AI16" s="36">
        <v>9.0</v>
      </c>
      <c r="AJ16" s="36">
        <v>2.0</v>
      </c>
      <c r="AK16" s="24">
        <v>6.12</v>
      </c>
      <c r="AL16" s="28">
        <v>84757.0</v>
      </c>
      <c r="AM16" s="36">
        <v>8.0</v>
      </c>
      <c r="AN16" s="36">
        <v>2.0</v>
      </c>
      <c r="AO16" s="24">
        <v>12.12</v>
      </c>
      <c r="AP16" s="28"/>
      <c r="AV16" s="36">
        <v>7.5</v>
      </c>
      <c r="AW16" s="24">
        <v>8.0</v>
      </c>
      <c r="AX16" s="28">
        <f t="shared" si="36"/>
        <v>16.5</v>
      </c>
      <c r="AY16" s="21">
        <f t="shared" ref="AY16:AZ16" si="37">SUM(AV16)</f>
        <v>7.5</v>
      </c>
      <c r="AZ16">
        <f t="shared" si="37"/>
        <v>8</v>
      </c>
      <c r="BA16">
        <f t="shared" si="7"/>
        <v>9</v>
      </c>
      <c r="BB16">
        <f t="shared" si="8"/>
        <v>10</v>
      </c>
      <c r="BC16">
        <f t="shared" si="9"/>
        <v>11</v>
      </c>
      <c r="BD16">
        <f t="shared" si="10"/>
        <v>10</v>
      </c>
      <c r="BE16">
        <f t="shared" ref="BE16:BJ16" si="38">SUM(AP16)</f>
        <v>0</v>
      </c>
      <c r="BF16">
        <f t="shared" si="38"/>
        <v>0</v>
      </c>
      <c r="BG16">
        <f t="shared" si="38"/>
        <v>0</v>
      </c>
      <c r="BH16">
        <f t="shared" si="38"/>
        <v>0</v>
      </c>
      <c r="BI16">
        <f t="shared" si="38"/>
        <v>0</v>
      </c>
      <c r="BJ16">
        <f t="shared" si="38"/>
        <v>0</v>
      </c>
      <c r="BK16">
        <f t="shared" si="12"/>
        <v>16.5</v>
      </c>
      <c r="BL16" s="24">
        <v>3.0</v>
      </c>
      <c r="BM16" s="50">
        <f t="shared" si="13"/>
        <v>75</v>
      </c>
      <c r="BN16" s="32"/>
    </row>
    <row r="17">
      <c r="A17" s="36">
        <v>408665.0</v>
      </c>
      <c r="B17" s="36" t="s">
        <v>604</v>
      </c>
      <c r="C17" s="24"/>
      <c r="D17" s="25" t="s">
        <v>55</v>
      </c>
      <c r="E17" s="27" t="s">
        <v>56</v>
      </c>
      <c r="F17" s="27" t="s">
        <v>56</v>
      </c>
      <c r="G17" s="27"/>
      <c r="H17" s="27"/>
      <c r="I17" s="27">
        <v>1.0</v>
      </c>
      <c r="J17" s="27" t="s">
        <v>55</v>
      </c>
      <c r="K17" s="27"/>
      <c r="L17" s="27"/>
      <c r="M17" s="27" t="s">
        <v>55</v>
      </c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53"/>
      <c r="Y17" s="27"/>
      <c r="Z17" s="28">
        <f t="shared" si="21"/>
        <v>408670</v>
      </c>
      <c r="AA17" s="36">
        <v>9.0</v>
      </c>
      <c r="AC17" s="24" t="s">
        <v>580</v>
      </c>
      <c r="AD17" s="28">
        <v>88888.0</v>
      </c>
      <c r="AG17" s="24"/>
      <c r="AH17" s="28"/>
      <c r="AK17" s="24"/>
      <c r="AL17" s="28"/>
      <c r="AO17" s="24"/>
      <c r="AP17" s="28"/>
      <c r="AV17" s="36">
        <v>6.0</v>
      </c>
      <c r="AW17" s="24">
        <v>6.0</v>
      </c>
      <c r="AX17" s="28"/>
      <c r="AY17" s="21">
        <f t="shared" ref="AY17:AZ17" si="39">SUM(AV17)</f>
        <v>6</v>
      </c>
      <c r="AZ17">
        <f t="shared" si="39"/>
        <v>6</v>
      </c>
      <c r="BA17">
        <f t="shared" si="7"/>
        <v>9</v>
      </c>
      <c r="BB17">
        <f t="shared" si="8"/>
        <v>0</v>
      </c>
      <c r="BC17">
        <f t="shared" si="9"/>
        <v>0</v>
      </c>
      <c r="BD17">
        <f t="shared" si="10"/>
        <v>0</v>
      </c>
      <c r="BE17">
        <f t="shared" ref="BE17:BE26" si="42">SUM(AP17)</f>
        <v>0</v>
      </c>
      <c r="BF17">
        <f>SUM(AM17)</f>
        <v>0</v>
      </c>
      <c r="BG17">
        <f t="shared" ref="BG17:BJ17" si="40">SUM(AR17)</f>
        <v>0</v>
      </c>
      <c r="BH17">
        <f t="shared" si="40"/>
        <v>0</v>
      </c>
      <c r="BI17">
        <f t="shared" si="40"/>
        <v>0</v>
      </c>
      <c r="BJ17">
        <f t="shared" si="40"/>
        <v>0</v>
      </c>
      <c r="BK17">
        <f t="shared" si="12"/>
        <v>0</v>
      </c>
      <c r="BL17" s="4"/>
      <c r="BM17" s="50">
        <f t="shared" si="13"/>
        <v>21</v>
      </c>
      <c r="BN17" s="32"/>
    </row>
    <row r="18">
      <c r="A18" s="36">
        <v>408413.0</v>
      </c>
      <c r="B18" s="36" t="s">
        <v>605</v>
      </c>
      <c r="C18" s="24"/>
      <c r="D18" s="25">
        <v>2.0</v>
      </c>
      <c r="E18" s="27">
        <v>2.0</v>
      </c>
      <c r="F18" s="27" t="s">
        <v>56</v>
      </c>
      <c r="G18" s="27"/>
      <c r="H18" s="27" t="s">
        <v>55</v>
      </c>
      <c r="I18" s="27">
        <v>1.0</v>
      </c>
      <c r="J18" s="27"/>
      <c r="K18" s="27"/>
      <c r="L18" s="27"/>
      <c r="M18" s="27" t="s">
        <v>55</v>
      </c>
      <c r="N18" s="27"/>
      <c r="O18" s="27" t="s">
        <v>55</v>
      </c>
      <c r="P18" s="27" t="s">
        <v>55</v>
      </c>
      <c r="Q18" s="27"/>
      <c r="R18" s="27"/>
      <c r="S18" s="27"/>
      <c r="T18" s="27"/>
      <c r="U18" s="27"/>
      <c r="V18" s="27"/>
      <c r="W18" s="27"/>
      <c r="X18" s="53"/>
      <c r="Y18" s="27"/>
      <c r="Z18" s="28">
        <f t="shared" si="21"/>
        <v>408418</v>
      </c>
      <c r="AA18" s="36">
        <v>7.0</v>
      </c>
      <c r="AB18" s="36">
        <v>1.0</v>
      </c>
      <c r="AC18" s="134" t="s">
        <v>587</v>
      </c>
      <c r="AD18" s="36">
        <v>408420.0</v>
      </c>
      <c r="AE18" s="36">
        <v>9.0</v>
      </c>
      <c r="AG18" s="24" t="s">
        <v>580</v>
      </c>
      <c r="AH18" s="28">
        <v>1233.0</v>
      </c>
      <c r="AI18" s="36">
        <v>9.0</v>
      </c>
      <c r="AJ18" s="36">
        <v>2.0</v>
      </c>
      <c r="AK18" s="24">
        <v>28.11</v>
      </c>
      <c r="AL18" s="28">
        <v>83745.0</v>
      </c>
      <c r="AM18" s="36">
        <v>8.0</v>
      </c>
      <c r="AN18" s="36">
        <v>2.0</v>
      </c>
      <c r="AO18" s="24">
        <v>14.12</v>
      </c>
      <c r="AP18" s="28"/>
      <c r="AV18" s="36">
        <v>7.0</v>
      </c>
      <c r="AW18" s="24">
        <v>8.0</v>
      </c>
      <c r="AX18" s="28">
        <f t="shared" ref="AX18:AX21" si="44">SUM(AV18:AW18)</f>
        <v>15</v>
      </c>
      <c r="AY18" s="21">
        <f t="shared" ref="AY18:AZ18" si="41">SUM(AV18)</f>
        <v>7</v>
      </c>
      <c r="AZ18">
        <f t="shared" si="41"/>
        <v>8</v>
      </c>
      <c r="BA18">
        <f t="shared" si="7"/>
        <v>8</v>
      </c>
      <c r="BB18">
        <f t="shared" si="8"/>
        <v>9</v>
      </c>
      <c r="BC18">
        <f t="shared" si="9"/>
        <v>11</v>
      </c>
      <c r="BD18">
        <f t="shared" si="10"/>
        <v>10</v>
      </c>
      <c r="BE18">
        <f t="shared" si="42"/>
        <v>0</v>
      </c>
      <c r="BF18">
        <f t="shared" ref="BF18:BJ18" si="43">SUM(AQ18)</f>
        <v>0</v>
      </c>
      <c r="BG18">
        <f t="shared" si="43"/>
        <v>0</v>
      </c>
      <c r="BH18">
        <f t="shared" si="43"/>
        <v>0</v>
      </c>
      <c r="BI18">
        <f t="shared" si="43"/>
        <v>0</v>
      </c>
      <c r="BJ18">
        <f t="shared" si="43"/>
        <v>0</v>
      </c>
      <c r="BK18">
        <f t="shared" si="12"/>
        <v>15</v>
      </c>
      <c r="BL18" s="4"/>
      <c r="BM18" s="50">
        <f t="shared" si="13"/>
        <v>68</v>
      </c>
      <c r="BN18" s="32"/>
    </row>
    <row r="19">
      <c r="A19" s="36">
        <v>470407.0</v>
      </c>
      <c r="B19" s="36" t="s">
        <v>606</v>
      </c>
      <c r="D19" s="25" t="s">
        <v>56</v>
      </c>
      <c r="E19" s="27" t="s">
        <v>56</v>
      </c>
      <c r="F19" s="27">
        <v>2.0</v>
      </c>
      <c r="G19" s="27">
        <v>1.0</v>
      </c>
      <c r="H19" s="27"/>
      <c r="I19" s="27" t="s">
        <v>56</v>
      </c>
      <c r="J19" s="27"/>
      <c r="K19" s="27">
        <v>1.0</v>
      </c>
      <c r="L19" s="27"/>
      <c r="M19" s="27" t="s">
        <v>55</v>
      </c>
      <c r="N19" s="27" t="s">
        <v>55</v>
      </c>
      <c r="O19" s="27" t="s">
        <v>55</v>
      </c>
      <c r="P19" s="27"/>
      <c r="Q19" s="27"/>
      <c r="R19" s="27"/>
      <c r="S19" s="27"/>
      <c r="T19" s="27"/>
      <c r="U19" s="27"/>
      <c r="V19" s="27"/>
      <c r="W19" s="27"/>
      <c r="X19" s="53"/>
      <c r="Y19" s="27"/>
      <c r="Z19" s="28">
        <f t="shared" si="21"/>
        <v>470412</v>
      </c>
      <c r="AA19" s="36">
        <v>9.0</v>
      </c>
      <c r="AB19" s="36">
        <v>1.0</v>
      </c>
      <c r="AC19" s="134" t="s">
        <v>579</v>
      </c>
      <c r="AD19" s="28">
        <v>562374.0</v>
      </c>
      <c r="AE19" s="36">
        <v>8.5</v>
      </c>
      <c r="AG19" s="36" t="s">
        <v>583</v>
      </c>
      <c r="AH19" s="28">
        <v>43.0</v>
      </c>
      <c r="AI19" s="36">
        <v>6.0</v>
      </c>
      <c r="AK19" s="36" t="s">
        <v>585</v>
      </c>
      <c r="AL19" s="28">
        <v>2223.0</v>
      </c>
      <c r="AM19" s="36">
        <v>7.0</v>
      </c>
      <c r="AN19" s="36">
        <v>2.0</v>
      </c>
      <c r="AO19" s="36">
        <v>12.12</v>
      </c>
      <c r="AP19" s="21"/>
      <c r="AV19" s="36">
        <v>6.0</v>
      </c>
      <c r="AW19" s="36">
        <v>6.0</v>
      </c>
      <c r="AX19" s="28">
        <f t="shared" si="44"/>
        <v>12</v>
      </c>
      <c r="AY19" s="21">
        <f t="shared" ref="AY19:AZ19" si="45">SUM(AV19)</f>
        <v>6</v>
      </c>
      <c r="AZ19">
        <f t="shared" si="45"/>
        <v>6</v>
      </c>
      <c r="BA19">
        <f t="shared" si="7"/>
        <v>10</v>
      </c>
      <c r="BB19">
        <f t="shared" si="8"/>
        <v>8.5</v>
      </c>
      <c r="BC19">
        <f t="shared" si="9"/>
        <v>6</v>
      </c>
      <c r="BD19">
        <f t="shared" si="10"/>
        <v>9</v>
      </c>
      <c r="BE19">
        <f t="shared" si="42"/>
        <v>0</v>
      </c>
      <c r="BF19">
        <f t="shared" ref="BF19:BJ19" si="46">SUM(AQ19)</f>
        <v>0</v>
      </c>
      <c r="BG19">
        <f t="shared" si="46"/>
        <v>0</v>
      </c>
      <c r="BH19">
        <f t="shared" si="46"/>
        <v>0</v>
      </c>
      <c r="BI19">
        <f t="shared" si="46"/>
        <v>0</v>
      </c>
      <c r="BJ19">
        <f t="shared" si="46"/>
        <v>0</v>
      </c>
      <c r="BK19">
        <f t="shared" si="12"/>
        <v>12</v>
      </c>
      <c r="BL19" s="24">
        <v>3.0</v>
      </c>
      <c r="BM19" s="50">
        <f t="shared" si="13"/>
        <v>60.5</v>
      </c>
      <c r="BN19" s="32"/>
    </row>
    <row r="20">
      <c r="A20" s="36">
        <v>368856.0</v>
      </c>
      <c r="B20" s="36" t="s">
        <v>607</v>
      </c>
      <c r="C20" s="36"/>
      <c r="D20" s="25" t="s">
        <v>56</v>
      </c>
      <c r="E20" s="27" t="s">
        <v>56</v>
      </c>
      <c r="F20" s="27">
        <v>1.0</v>
      </c>
      <c r="G20" s="27"/>
      <c r="H20" s="27"/>
      <c r="I20" s="27" t="s">
        <v>56</v>
      </c>
      <c r="J20" s="27">
        <v>1.0</v>
      </c>
      <c r="K20" s="27"/>
      <c r="L20" s="27"/>
      <c r="M20" s="27"/>
      <c r="N20" s="27" t="s">
        <v>55</v>
      </c>
      <c r="O20" s="27"/>
      <c r="P20" s="27"/>
      <c r="Q20" s="27"/>
      <c r="R20" s="27"/>
      <c r="S20" s="27"/>
      <c r="T20" s="27"/>
      <c r="U20" s="27"/>
      <c r="V20" s="27"/>
      <c r="W20" s="27"/>
      <c r="X20" s="53"/>
      <c r="Y20" s="27"/>
      <c r="Z20" s="28">
        <f t="shared" si="21"/>
        <v>368861</v>
      </c>
      <c r="AA20" s="36">
        <v>10.0</v>
      </c>
      <c r="AB20" s="36">
        <v>1.0</v>
      </c>
      <c r="AC20" s="134" t="s">
        <v>579</v>
      </c>
      <c r="AD20" s="28">
        <v>1111.0</v>
      </c>
      <c r="AE20" s="36">
        <v>10.0</v>
      </c>
      <c r="AF20" s="36">
        <v>1.0</v>
      </c>
      <c r="AG20" s="36" t="s">
        <v>589</v>
      </c>
      <c r="AH20" s="28">
        <v>6452.0</v>
      </c>
      <c r="AI20" s="36">
        <v>10.0</v>
      </c>
      <c r="AJ20" s="36"/>
      <c r="AK20" s="24" t="s">
        <v>585</v>
      </c>
      <c r="AL20" s="28">
        <v>342324.0</v>
      </c>
      <c r="AM20" s="36">
        <v>9.0</v>
      </c>
      <c r="AN20" s="36">
        <v>2.0</v>
      </c>
      <c r="AO20" s="36">
        <v>6.12</v>
      </c>
      <c r="AP20" s="21"/>
      <c r="AV20" s="36">
        <v>9.0</v>
      </c>
      <c r="AW20" s="36">
        <v>9.0</v>
      </c>
      <c r="AX20" s="28">
        <f t="shared" si="44"/>
        <v>18</v>
      </c>
      <c r="AY20" s="21">
        <f t="shared" ref="AY20:AZ20" si="47">SUM(AV20)</f>
        <v>9</v>
      </c>
      <c r="AZ20">
        <f t="shared" si="47"/>
        <v>9</v>
      </c>
      <c r="BA20">
        <f t="shared" si="7"/>
        <v>11</v>
      </c>
      <c r="BB20">
        <f t="shared" si="8"/>
        <v>11</v>
      </c>
      <c r="BC20">
        <f t="shared" si="9"/>
        <v>10</v>
      </c>
      <c r="BD20">
        <f t="shared" si="10"/>
        <v>11</v>
      </c>
      <c r="BE20">
        <f t="shared" si="42"/>
        <v>0</v>
      </c>
      <c r="BF20">
        <f t="shared" ref="BF20:BJ20" si="48">SUM(AQ20)</f>
        <v>0</v>
      </c>
      <c r="BG20">
        <f t="shared" si="48"/>
        <v>0</v>
      </c>
      <c r="BH20">
        <f t="shared" si="48"/>
        <v>0</v>
      </c>
      <c r="BI20">
        <f t="shared" si="48"/>
        <v>0</v>
      </c>
      <c r="BJ20">
        <f t="shared" si="48"/>
        <v>0</v>
      </c>
      <c r="BK20">
        <f t="shared" si="12"/>
        <v>18</v>
      </c>
      <c r="BL20" s="4"/>
      <c r="BM20" s="50">
        <f t="shared" si="13"/>
        <v>79</v>
      </c>
      <c r="BN20" s="32"/>
    </row>
    <row r="21">
      <c r="A21" s="36">
        <v>345966.0</v>
      </c>
      <c r="B21" s="36" t="s">
        <v>608</v>
      </c>
      <c r="D21" s="57" t="s">
        <v>609</v>
      </c>
      <c r="E21" s="47" t="s">
        <v>609</v>
      </c>
      <c r="F21" s="47" t="s">
        <v>56</v>
      </c>
      <c r="G21" s="56"/>
      <c r="H21" s="47" t="s">
        <v>55</v>
      </c>
      <c r="I21" s="47" t="s">
        <v>56</v>
      </c>
      <c r="J21" s="47">
        <v>1.0</v>
      </c>
      <c r="K21" s="56"/>
      <c r="L21" s="56"/>
      <c r="M21" s="56"/>
      <c r="N21" s="47" t="s">
        <v>55</v>
      </c>
      <c r="O21" s="56"/>
      <c r="P21" s="56"/>
      <c r="Q21" s="56"/>
      <c r="R21" s="56"/>
      <c r="S21" s="56"/>
      <c r="T21" s="56"/>
      <c r="U21" s="56"/>
      <c r="V21" s="47" t="s">
        <v>55</v>
      </c>
      <c r="W21" s="47">
        <v>2.0</v>
      </c>
      <c r="X21" s="279" t="s">
        <v>55</v>
      </c>
      <c r="Y21" s="47" t="s">
        <v>55</v>
      </c>
      <c r="Z21" s="28">
        <f t="shared" si="21"/>
        <v>345971</v>
      </c>
      <c r="AA21" s="36">
        <v>7.0</v>
      </c>
      <c r="AB21" s="36"/>
      <c r="AC21" s="136" t="s">
        <v>589</v>
      </c>
      <c r="AD21" s="28">
        <v>54362.0</v>
      </c>
      <c r="AE21" s="36">
        <v>7.0</v>
      </c>
      <c r="AF21" s="36">
        <v>2.0</v>
      </c>
      <c r="AG21" s="36">
        <v>6.12</v>
      </c>
      <c r="AH21" s="28">
        <v>83745.0</v>
      </c>
      <c r="AI21" s="36">
        <v>8.0</v>
      </c>
      <c r="AJ21" s="36">
        <v>2.0</v>
      </c>
      <c r="AK21" s="36">
        <v>20.02</v>
      </c>
      <c r="AL21" s="28">
        <v>4567.0</v>
      </c>
      <c r="AM21" s="36">
        <v>7.0</v>
      </c>
      <c r="AN21" s="36">
        <v>2.0</v>
      </c>
      <c r="AO21" s="36">
        <v>23.02</v>
      </c>
      <c r="AP21" s="21"/>
      <c r="AV21" s="36">
        <v>6.0</v>
      </c>
      <c r="AW21" s="36">
        <v>6.0</v>
      </c>
      <c r="AX21" s="28">
        <f t="shared" si="44"/>
        <v>12</v>
      </c>
      <c r="AY21" s="21">
        <f t="shared" ref="AY21:AZ21" si="49">SUM(AV21)</f>
        <v>6</v>
      </c>
      <c r="AZ21">
        <f t="shared" si="49"/>
        <v>6</v>
      </c>
      <c r="BA21">
        <f t="shared" si="7"/>
        <v>7</v>
      </c>
      <c r="BB21">
        <f t="shared" si="8"/>
        <v>9</v>
      </c>
      <c r="BC21">
        <f t="shared" si="9"/>
        <v>10</v>
      </c>
      <c r="BD21">
        <f t="shared" si="10"/>
        <v>9</v>
      </c>
      <c r="BE21">
        <f t="shared" si="42"/>
        <v>0</v>
      </c>
      <c r="BF21">
        <f t="shared" ref="BF21:BJ21" si="50">SUM(AQ21)</f>
        <v>0</v>
      </c>
      <c r="BG21">
        <f t="shared" si="50"/>
        <v>0</v>
      </c>
      <c r="BH21">
        <f t="shared" si="50"/>
        <v>0</v>
      </c>
      <c r="BI21">
        <f t="shared" si="50"/>
        <v>0</v>
      </c>
      <c r="BJ21">
        <f t="shared" si="50"/>
        <v>0</v>
      </c>
      <c r="BK21">
        <f t="shared" si="12"/>
        <v>12</v>
      </c>
      <c r="BL21" s="24">
        <v>1.0</v>
      </c>
      <c r="BM21" s="50">
        <f t="shared" si="13"/>
        <v>60</v>
      </c>
      <c r="BN21" s="32"/>
    </row>
    <row r="22">
      <c r="A22" s="36">
        <v>471572.0</v>
      </c>
      <c r="B22" s="36" t="s">
        <v>610</v>
      </c>
      <c r="C22" s="4"/>
      <c r="D22" s="25" t="s">
        <v>609</v>
      </c>
      <c r="E22" s="27" t="s">
        <v>609</v>
      </c>
      <c r="F22" s="27" t="s">
        <v>56</v>
      </c>
      <c r="G22" s="27"/>
      <c r="H22" s="27"/>
      <c r="I22" s="27" t="s">
        <v>56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53"/>
      <c r="Y22" s="27"/>
      <c r="Z22" s="28">
        <f t="shared" si="21"/>
        <v>471577</v>
      </c>
      <c r="AC22" s="38"/>
      <c r="AD22" s="21"/>
      <c r="AG22" s="38"/>
      <c r="AH22" s="21"/>
      <c r="AK22" s="38"/>
      <c r="AL22" s="21"/>
      <c r="AO22" s="38"/>
      <c r="AP22" s="21"/>
      <c r="AW22" s="4"/>
      <c r="AY22" s="21">
        <f t="shared" ref="AY22:AZ22" si="51">SUM(AV22)</f>
        <v>0</v>
      </c>
      <c r="AZ22">
        <f t="shared" si="51"/>
        <v>0</v>
      </c>
      <c r="BA22">
        <f t="shared" si="7"/>
        <v>0</v>
      </c>
      <c r="BB22">
        <f t="shared" si="8"/>
        <v>0</v>
      </c>
      <c r="BC22">
        <f t="shared" si="9"/>
        <v>0</v>
      </c>
      <c r="BD22">
        <f t="shared" si="10"/>
        <v>0</v>
      </c>
      <c r="BE22">
        <f t="shared" si="42"/>
        <v>0</v>
      </c>
      <c r="BF22">
        <f t="shared" ref="BF22:BJ22" si="52">SUM(AQ22)</f>
        <v>0</v>
      </c>
      <c r="BG22">
        <f t="shared" si="52"/>
        <v>0</v>
      </c>
      <c r="BH22">
        <f t="shared" si="52"/>
        <v>0</v>
      </c>
      <c r="BI22">
        <f t="shared" si="52"/>
        <v>0</v>
      </c>
      <c r="BJ22">
        <f t="shared" si="52"/>
        <v>0</v>
      </c>
      <c r="BK22">
        <f t="shared" si="12"/>
        <v>0</v>
      </c>
      <c r="BL22" s="4"/>
      <c r="BM22" s="50">
        <f t="shared" si="13"/>
        <v>0</v>
      </c>
      <c r="BN22" s="32"/>
    </row>
    <row r="23">
      <c r="A23" s="36">
        <v>368273.0</v>
      </c>
      <c r="B23" s="36" t="s">
        <v>611</v>
      </c>
      <c r="C23" s="4"/>
      <c r="D23" s="25" t="s">
        <v>609</v>
      </c>
      <c r="E23" s="27" t="s">
        <v>609</v>
      </c>
      <c r="F23" s="27" t="s">
        <v>56</v>
      </c>
      <c r="G23" s="27"/>
      <c r="H23" s="27"/>
      <c r="I23" s="27" t="s">
        <v>56</v>
      </c>
      <c r="J23" s="27"/>
      <c r="K23" s="27">
        <v>1.0</v>
      </c>
      <c r="L23" s="27"/>
      <c r="M23" s="27"/>
      <c r="N23" s="27"/>
      <c r="O23" s="27"/>
      <c r="P23" s="27"/>
      <c r="Q23" s="27"/>
      <c r="R23" s="27" t="s">
        <v>55</v>
      </c>
      <c r="S23" s="27"/>
      <c r="T23" s="27"/>
      <c r="U23" s="27"/>
      <c r="V23" s="27" t="s">
        <v>55</v>
      </c>
      <c r="W23" s="27">
        <v>2.0</v>
      </c>
      <c r="X23" s="53"/>
      <c r="Y23" s="27" t="s">
        <v>55</v>
      </c>
      <c r="Z23" s="28">
        <f t="shared" si="21"/>
        <v>368278</v>
      </c>
      <c r="AA23" s="36">
        <v>10.0</v>
      </c>
      <c r="AC23" s="24" t="s">
        <v>580</v>
      </c>
      <c r="AD23" s="28">
        <v>64532.0</v>
      </c>
      <c r="AE23" s="36">
        <v>9.0</v>
      </c>
      <c r="AG23" s="24" t="s">
        <v>584</v>
      </c>
      <c r="AH23" s="28">
        <v>32132.0</v>
      </c>
      <c r="AI23" s="36">
        <v>10.0</v>
      </c>
      <c r="AJ23" s="36">
        <v>2.0</v>
      </c>
      <c r="AK23" s="24">
        <v>13.02</v>
      </c>
      <c r="AL23" s="28">
        <v>82738.0</v>
      </c>
      <c r="AM23" s="36">
        <v>10.0</v>
      </c>
      <c r="AN23" s="36">
        <v>2.0</v>
      </c>
      <c r="AO23" s="24">
        <v>23.02</v>
      </c>
      <c r="AP23" s="28"/>
      <c r="AV23" s="36">
        <v>6.0</v>
      </c>
      <c r="AW23" s="24">
        <v>6.0</v>
      </c>
      <c r="AX23" s="28">
        <f t="shared" ref="AX23:AX24" si="55">SUM(AV23:AW23)</f>
        <v>12</v>
      </c>
      <c r="AY23" s="21">
        <f t="shared" ref="AY23:AZ23" si="53">SUM(AV23)</f>
        <v>6</v>
      </c>
      <c r="AZ23">
        <f t="shared" si="53"/>
        <v>6</v>
      </c>
      <c r="BA23">
        <f t="shared" si="7"/>
        <v>10</v>
      </c>
      <c r="BB23">
        <f t="shared" si="8"/>
        <v>9</v>
      </c>
      <c r="BC23">
        <f t="shared" si="9"/>
        <v>12</v>
      </c>
      <c r="BD23">
        <f t="shared" si="10"/>
        <v>12</v>
      </c>
      <c r="BE23">
        <f t="shared" si="42"/>
        <v>0</v>
      </c>
      <c r="BF23">
        <f t="shared" ref="BF23:BJ23" si="54">SUM(AQ23)</f>
        <v>0</v>
      </c>
      <c r="BG23">
        <f t="shared" si="54"/>
        <v>0</v>
      </c>
      <c r="BH23">
        <f t="shared" si="54"/>
        <v>0</v>
      </c>
      <c r="BI23">
        <f t="shared" si="54"/>
        <v>0</v>
      </c>
      <c r="BJ23">
        <f t="shared" si="54"/>
        <v>0</v>
      </c>
      <c r="BK23">
        <f t="shared" si="12"/>
        <v>12</v>
      </c>
      <c r="BL23" s="4"/>
      <c r="BM23" s="50">
        <f t="shared" si="13"/>
        <v>67</v>
      </c>
      <c r="BN23" s="32"/>
    </row>
    <row r="24">
      <c r="A24" s="36">
        <v>408859.0</v>
      </c>
      <c r="B24" s="36" t="s">
        <v>612</v>
      </c>
      <c r="C24" s="4"/>
      <c r="D24" s="25"/>
      <c r="E24" s="27"/>
      <c r="F24" s="27"/>
      <c r="G24" s="27"/>
      <c r="H24" s="27"/>
      <c r="I24" s="27" t="s">
        <v>55</v>
      </c>
      <c r="J24" s="27">
        <v>1.0</v>
      </c>
      <c r="K24" s="27"/>
      <c r="L24" s="27"/>
      <c r="M24" s="27"/>
      <c r="N24" s="27" t="s">
        <v>55</v>
      </c>
      <c r="O24" s="27" t="s">
        <v>55</v>
      </c>
      <c r="P24" s="27" t="s">
        <v>55</v>
      </c>
      <c r="Q24" s="27"/>
      <c r="R24" s="27"/>
      <c r="S24" s="27"/>
      <c r="T24" s="27"/>
      <c r="U24" s="27"/>
      <c r="V24" s="27"/>
      <c r="W24" s="54"/>
      <c r="X24" s="280"/>
      <c r="Y24" s="54"/>
      <c r="Z24" s="36">
        <v>408864.0</v>
      </c>
      <c r="AA24" s="36">
        <v>9.0</v>
      </c>
      <c r="AC24" s="134" t="s">
        <v>603</v>
      </c>
      <c r="AD24" s="28">
        <v>62315.0</v>
      </c>
      <c r="AE24" s="36">
        <v>9.99</v>
      </c>
      <c r="AG24" s="24" t="s">
        <v>585</v>
      </c>
      <c r="AH24" s="28">
        <v>756.0</v>
      </c>
      <c r="AI24" s="36">
        <v>9.0</v>
      </c>
      <c r="AJ24" s="36">
        <v>2.0</v>
      </c>
      <c r="AK24" s="24">
        <v>12.12</v>
      </c>
      <c r="AL24" s="28">
        <v>38741.0</v>
      </c>
      <c r="AM24" s="36">
        <v>10.0</v>
      </c>
      <c r="AN24" s="36">
        <v>2.0</v>
      </c>
      <c r="AO24" s="24">
        <v>14.12</v>
      </c>
      <c r="AP24" s="21"/>
      <c r="AV24" s="36">
        <v>6.0</v>
      </c>
      <c r="AW24" s="24">
        <v>6.0</v>
      </c>
      <c r="AX24" s="28">
        <f t="shared" si="55"/>
        <v>12</v>
      </c>
      <c r="AY24" s="21">
        <f t="shared" ref="AY24:AZ24" si="56">SUM(AV24)</f>
        <v>6</v>
      </c>
      <c r="AZ24">
        <f t="shared" si="56"/>
        <v>6</v>
      </c>
      <c r="BA24">
        <f t="shared" si="7"/>
        <v>9</v>
      </c>
      <c r="BB24">
        <f t="shared" si="8"/>
        <v>9.99</v>
      </c>
      <c r="BC24">
        <f t="shared" si="9"/>
        <v>11</v>
      </c>
      <c r="BD24">
        <f t="shared" si="10"/>
        <v>12</v>
      </c>
      <c r="BE24">
        <f t="shared" si="42"/>
        <v>0</v>
      </c>
      <c r="BF24">
        <f t="shared" ref="BF24:BJ24" si="57">SUM(AQ24)</f>
        <v>0</v>
      </c>
      <c r="BG24">
        <f t="shared" si="57"/>
        <v>0</v>
      </c>
      <c r="BH24">
        <f t="shared" si="57"/>
        <v>0</v>
      </c>
      <c r="BI24">
        <f t="shared" si="57"/>
        <v>0</v>
      </c>
      <c r="BJ24">
        <f t="shared" si="57"/>
        <v>0</v>
      </c>
      <c r="BK24">
        <f t="shared" si="12"/>
        <v>12</v>
      </c>
      <c r="BL24" s="4"/>
      <c r="BM24" s="50">
        <f t="shared" si="13"/>
        <v>65.99</v>
      </c>
      <c r="BN24" s="32"/>
    </row>
    <row r="25">
      <c r="A25" s="270">
        <v>467318.0</v>
      </c>
      <c r="B25" s="270" t="s">
        <v>613</v>
      </c>
      <c r="C25" s="204"/>
      <c r="D25" s="190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53"/>
      <c r="Y25" s="191"/>
      <c r="Z25" s="195"/>
      <c r="AA25" s="193"/>
      <c r="AB25" s="193"/>
      <c r="AC25" s="281"/>
      <c r="AD25" s="198"/>
      <c r="AE25" s="193"/>
      <c r="AF25" s="193"/>
      <c r="AG25" s="281"/>
      <c r="AH25" s="198"/>
      <c r="AI25" s="193"/>
      <c r="AJ25" s="193"/>
      <c r="AK25" s="281"/>
      <c r="AL25" s="198"/>
      <c r="AM25" s="193"/>
      <c r="AN25" s="193"/>
      <c r="AO25" s="281"/>
      <c r="AP25" s="198"/>
      <c r="AQ25" s="193"/>
      <c r="AR25" s="193"/>
      <c r="AS25" s="193"/>
      <c r="AT25" s="193"/>
      <c r="AU25" s="193"/>
      <c r="AV25" s="270">
        <v>0.01</v>
      </c>
      <c r="AW25" s="204"/>
      <c r="AX25" s="195"/>
      <c r="AY25" s="198">
        <f t="shared" ref="AY25:AZ25" si="58">SUM(AV25)</f>
        <v>0.01</v>
      </c>
      <c r="AZ25" s="193">
        <f t="shared" si="58"/>
        <v>0</v>
      </c>
      <c r="BA25" s="193">
        <f t="shared" si="7"/>
        <v>0</v>
      </c>
      <c r="BB25" s="193">
        <f t="shared" si="8"/>
        <v>0</v>
      </c>
      <c r="BC25" s="193">
        <f t="shared" si="9"/>
        <v>0</v>
      </c>
      <c r="BD25" s="193">
        <f t="shared" si="10"/>
        <v>0</v>
      </c>
      <c r="BE25" s="193">
        <f t="shared" si="42"/>
        <v>0</v>
      </c>
      <c r="BF25" s="193">
        <f t="shared" ref="BF25:BJ25" si="59">SUM(AQ25)</f>
        <v>0</v>
      </c>
      <c r="BG25" s="193">
        <f t="shared" si="59"/>
        <v>0</v>
      </c>
      <c r="BH25" s="193">
        <f t="shared" si="59"/>
        <v>0</v>
      </c>
      <c r="BI25" s="193">
        <f t="shared" si="59"/>
        <v>0</v>
      </c>
      <c r="BJ25" s="193">
        <f t="shared" si="59"/>
        <v>0</v>
      </c>
      <c r="BK25" s="193">
        <f t="shared" si="12"/>
        <v>0</v>
      </c>
      <c r="BL25" s="204"/>
      <c r="BM25" s="50">
        <f t="shared" si="13"/>
        <v>0.01</v>
      </c>
      <c r="BN25" s="200"/>
    </row>
    <row r="26">
      <c r="A26" s="36">
        <v>367355.0</v>
      </c>
      <c r="B26" s="35" t="s">
        <v>614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47" t="s">
        <v>55</v>
      </c>
      <c r="O26" s="56"/>
      <c r="P26" s="56"/>
      <c r="Q26" s="56"/>
      <c r="R26" s="56"/>
      <c r="S26" s="56"/>
      <c r="T26" s="56"/>
      <c r="U26" s="56"/>
      <c r="V26" s="56"/>
      <c r="W26" s="56"/>
      <c r="X26" s="64"/>
      <c r="Y26" s="47" t="s">
        <v>55</v>
      </c>
      <c r="Z26" s="81">
        <v>1409.0</v>
      </c>
      <c r="AA26" s="282">
        <v>9.5</v>
      </c>
      <c r="AB26" s="282">
        <v>0.0</v>
      </c>
      <c r="AC26" s="283" t="s">
        <v>615</v>
      </c>
      <c r="AD26" s="60">
        <v>67626.0</v>
      </c>
      <c r="AE26" s="282">
        <v>7.0</v>
      </c>
      <c r="AF26" s="282">
        <v>0.0</v>
      </c>
      <c r="AG26" s="283" t="s">
        <v>616</v>
      </c>
      <c r="AH26" s="60">
        <v>122545.0</v>
      </c>
      <c r="AI26" s="36">
        <v>8.0</v>
      </c>
      <c r="AJ26" s="36">
        <v>2.0</v>
      </c>
      <c r="AK26" s="36">
        <v>6.12</v>
      </c>
      <c r="AL26" s="36">
        <v>32839.0</v>
      </c>
      <c r="AM26" s="36">
        <v>7.0</v>
      </c>
      <c r="AN26" s="36">
        <v>2.0</v>
      </c>
      <c r="AO26" s="36">
        <v>23.02</v>
      </c>
      <c r="AP26" s="36"/>
      <c r="AV26" s="36">
        <v>6.0</v>
      </c>
      <c r="AW26" s="36">
        <v>6.0</v>
      </c>
      <c r="AX26" s="28">
        <f>SUM(AV26:AW26)</f>
        <v>12</v>
      </c>
      <c r="AY26" s="21">
        <f t="shared" ref="AY26:AZ26" si="60">SUM(AV26)</f>
        <v>6</v>
      </c>
      <c r="AZ26">
        <f t="shared" si="60"/>
        <v>6</v>
      </c>
      <c r="BA26">
        <f t="shared" si="7"/>
        <v>9.5</v>
      </c>
      <c r="BB26">
        <f t="shared" si="8"/>
        <v>7</v>
      </c>
      <c r="BC26">
        <f t="shared" si="9"/>
        <v>10</v>
      </c>
      <c r="BD26">
        <f t="shared" si="10"/>
        <v>9</v>
      </c>
      <c r="BE26">
        <f t="shared" si="42"/>
        <v>0</v>
      </c>
      <c r="BF26">
        <f t="shared" ref="BF26:BJ26" si="61">SUM(AQ26)</f>
        <v>0</v>
      </c>
      <c r="BG26">
        <f t="shared" si="61"/>
        <v>0</v>
      </c>
      <c r="BH26">
        <f t="shared" si="61"/>
        <v>0</v>
      </c>
      <c r="BI26">
        <f t="shared" si="61"/>
        <v>0</v>
      </c>
      <c r="BJ26">
        <f t="shared" si="61"/>
        <v>0</v>
      </c>
      <c r="BK26">
        <f t="shared" si="12"/>
        <v>12</v>
      </c>
      <c r="BL26" s="24">
        <v>1.0</v>
      </c>
      <c r="BM26" s="50">
        <f t="shared" si="13"/>
        <v>60.5</v>
      </c>
      <c r="BN26" s="32"/>
    </row>
  </sheetData>
  <mergeCells count="51">
    <mergeCell ref="AY1:BK2"/>
    <mergeCell ref="BM1:BM3"/>
    <mergeCell ref="BN1:BN3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K3"/>
    <mergeCell ref="AQ2:AQ3"/>
    <mergeCell ref="AR2:AR3"/>
    <mergeCell ref="AS2:AS3"/>
    <mergeCell ref="AT2:AT3"/>
    <mergeCell ref="AU2:AU3"/>
    <mergeCell ref="AV2:AV3"/>
    <mergeCell ref="AW2:AW3"/>
    <mergeCell ref="AX2:AX3"/>
    <mergeCell ref="L2:L3"/>
    <mergeCell ref="M2:M3"/>
    <mergeCell ref="AH2:AH3"/>
    <mergeCell ref="AK2:AK3"/>
    <mergeCell ref="AL2:AL3"/>
    <mergeCell ref="AO2:AO3"/>
    <mergeCell ref="AP2:AP3"/>
    <mergeCell ref="AD2:AD3"/>
    <mergeCell ref="AG2:AG3"/>
    <mergeCell ref="A1:B1"/>
    <mergeCell ref="C1:C3"/>
    <mergeCell ref="D1:N1"/>
    <mergeCell ref="Z1:AC1"/>
    <mergeCell ref="AD1:AG1"/>
    <mergeCell ref="AH1:AK1"/>
    <mergeCell ref="AL1:AO1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C2:AC3"/>
  </mergeCells>
  <conditionalFormatting sqref="AG4">
    <cfRule type="timePeriod" dxfId="0" priority="1" timePeriod="last7Days"/>
  </conditionalFormatting>
  <conditionalFormatting sqref="AK4">
    <cfRule type="timePeriod" dxfId="0" priority="2" timePeriod="last7Days"/>
  </conditionalFormatting>
  <conditionalFormatting sqref="AK4">
    <cfRule type="timePeriod" dxfId="0" priority="3" timePeriod="last7Days"/>
  </conditionalFormatting>
  <conditionalFormatting sqref="AC4 AG4 AK4">
    <cfRule type="timePeriod" dxfId="0" priority="4" timePeriod="last7Days"/>
  </conditionalFormatting>
  <conditionalFormatting sqref="AC4">
    <cfRule type="timePeriod" dxfId="0" priority="5" timePeriod="last7Days"/>
  </conditionalFormatting>
  <conditionalFormatting sqref="AC4">
    <cfRule type="timePeriod" dxfId="0" priority="6" timePeriod="last7Days"/>
  </conditionalFormatting>
  <conditionalFormatting sqref="AK4">
    <cfRule type="timePeriod" dxfId="0" priority="7" timePeriod="last7Days"/>
  </conditionalFormatting>
  <conditionalFormatting sqref="AY4:BL26">
    <cfRule type="cellIs" dxfId="1" priority="8" operator="lessThan">
      <formula>0.1</formula>
    </cfRule>
  </conditionalFormatting>
  <conditionalFormatting sqref="AY4:BL26">
    <cfRule type="cellIs" dxfId="2" priority="9" operator="greaterThan">
      <formula>0.1</formula>
    </cfRule>
  </conditionalFormatting>
  <conditionalFormatting sqref="BM4:BN26">
    <cfRule type="cellIs" dxfId="3" priority="10" operator="between">
      <formula>60</formula>
      <formula>68</formula>
    </cfRule>
  </conditionalFormatting>
  <conditionalFormatting sqref="BM4:BN26">
    <cfRule type="cellIs" dxfId="4" priority="11" operator="between">
      <formula>68</formula>
      <formula>74</formula>
    </cfRule>
  </conditionalFormatting>
  <conditionalFormatting sqref="BM4:BN26">
    <cfRule type="cellIs" dxfId="2" priority="12" operator="between">
      <formula>74</formula>
      <formula>81</formula>
    </cfRule>
  </conditionalFormatting>
  <conditionalFormatting sqref="BM4:BN26">
    <cfRule type="cellIs" dxfId="5" priority="13" operator="between">
      <formula>81</formula>
      <formula>90</formula>
    </cfRule>
  </conditionalFormatting>
  <conditionalFormatting sqref="BM4:BN26">
    <cfRule type="cellIs" dxfId="6" priority="14" operator="greaterThan">
      <formula>90</formula>
    </cfRule>
  </conditionalFormatting>
  <conditionalFormatting sqref="AG4">
    <cfRule type="timePeriod" dxfId="0" priority="15" timePeriod="last7Days"/>
  </conditionalFormatting>
  <conditionalFormatting sqref="G4:G20 G22:G25">
    <cfRule type="containsText" dxfId="7" priority="16" operator="containsText" text="н">
      <formula>NOT(ISERROR(SEARCH(("н"),(G4))))</formula>
    </cfRule>
  </conditionalFormatting>
  <conditionalFormatting sqref="G4:G20 G22:G25">
    <cfRule type="containsText" dxfId="7" priority="17" operator="containsText" text="n">
      <formula>NOT(ISERROR(SEARCH(("n"),(G4))))</formula>
    </cfRule>
  </conditionalFormatting>
  <conditionalFormatting sqref="F4:F20 F22:F25">
    <cfRule type="containsText" dxfId="7" priority="18" operator="containsText" text="н">
      <formula>NOT(ISERROR(SEARCH(("н"),(F4))))</formula>
    </cfRule>
  </conditionalFormatting>
  <conditionalFormatting sqref="F4:F20 F22:F25">
    <cfRule type="containsText" dxfId="7" priority="19" operator="containsText" text="n">
      <formula>NOT(ISERROR(SEARCH(("n"),(F4))))</formula>
    </cfRule>
  </conditionalFormatting>
  <conditionalFormatting sqref="AA4:AB5">
    <cfRule type="cellIs" dxfId="8" priority="20" operator="equal">
      <formula>0</formula>
    </cfRule>
  </conditionalFormatting>
  <conditionalFormatting sqref="AE4:AF5">
    <cfRule type="cellIs" dxfId="8" priority="21" operator="equal">
      <formula>0</formula>
    </cfRule>
  </conditionalFormatting>
  <conditionalFormatting sqref="AI4:AJ5">
    <cfRule type="cellIs" dxfId="8" priority="22" operator="equal">
      <formula>0</formula>
    </cfRule>
  </conditionalFormatting>
  <conditionalFormatting sqref="AM4:AN5">
    <cfRule type="cellIs" dxfId="8" priority="23" operator="equal">
      <formula>0</formula>
    </cfRule>
  </conditionalFormatting>
  <conditionalFormatting sqref="AP4:AW5">
    <cfRule type="cellIs" dxfId="8" priority="24" operator="equal">
      <formula>0</formula>
    </cfRule>
  </conditionalFormatting>
  <conditionalFormatting sqref="D1:Y26">
    <cfRule type="containsText" dxfId="7" priority="25" operator="containsText" text="н">
      <formula>NOT(ISERROR(SEARCH(("н"),(D1))))</formula>
    </cfRule>
  </conditionalFormatting>
  <conditionalFormatting sqref="D1:Y26">
    <cfRule type="containsText" dxfId="7" priority="26" operator="containsText" text="n">
      <formula>NOT(ISERROR(SEARCH(("n"),(D1))))</formula>
    </cfRule>
  </conditionalFormatting>
  <conditionalFormatting sqref="AC4:AC5">
    <cfRule type="timePeriod" dxfId="0" priority="27" timePeriod="last7Days"/>
  </conditionalFormatting>
  <conditionalFormatting sqref="AG4">
    <cfRule type="timePeriod" dxfId="0" priority="28" timePeriod="last7Days"/>
  </conditionalFormatting>
  <conditionalFormatting sqref="AK4">
    <cfRule type="timePeriod" dxfId="0" priority="29" timePeriod="last7Days"/>
  </conditionalFormatting>
  <conditionalFormatting sqref="AO4:AO5">
    <cfRule type="timePeriod" dxfId="0" priority="30" timePeriod="last7Days"/>
  </conditionalFormatting>
  <conditionalFormatting sqref="BM1:BN26">
    <cfRule type="cellIs" dxfId="3" priority="31" operator="between">
      <formula>60</formula>
      <formula>68</formula>
    </cfRule>
  </conditionalFormatting>
  <conditionalFormatting sqref="AX4:AX26">
    <cfRule type="cellIs" dxfId="6" priority="32" operator="between">
      <formula>12</formula>
      <formula>1000</formula>
    </cfRule>
  </conditionalFormatting>
  <conditionalFormatting sqref="BM1:BN26">
    <cfRule type="cellIs" dxfId="4" priority="33" operator="between">
      <formula>68</formula>
      <formula>74</formula>
    </cfRule>
  </conditionalFormatting>
  <conditionalFormatting sqref="BM1:BN26">
    <cfRule type="cellIs" dxfId="2" priority="34" operator="between">
      <formula>74</formula>
      <formula>81</formula>
    </cfRule>
  </conditionalFormatting>
  <conditionalFormatting sqref="BM1:BN26">
    <cfRule type="cellIs" dxfId="5" priority="35" operator="between">
      <formula>81</formula>
      <formula>90</formula>
    </cfRule>
  </conditionalFormatting>
  <conditionalFormatting sqref="BM1:BN26">
    <cfRule type="cellIs" dxfId="6" priority="36" operator="greaterThan">
      <formula>90</formula>
    </cfRule>
  </conditionalFormatting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6.5"/>
    <col customWidth="1" min="2" max="2" width="9.5"/>
    <col customWidth="1" min="3" max="3" width="33.25"/>
    <col customWidth="1" min="4" max="4" width="9.25"/>
    <col customWidth="1" min="5" max="5" width="3.13"/>
    <col customWidth="1" min="6" max="7" width="2.88"/>
    <col customWidth="1" min="8" max="8" width="2.75"/>
    <col customWidth="1" min="9" max="10" width="2.88"/>
    <col customWidth="1" min="11" max="12" width="2.75"/>
    <col customWidth="1" min="13" max="15" width="2.88"/>
    <col customWidth="1" min="16" max="16" width="7.13"/>
    <col customWidth="1" min="17" max="17" width="5.0"/>
    <col customWidth="1" min="18" max="18" width="3.88"/>
    <col customWidth="1" min="19" max="19" width="4.63"/>
    <col customWidth="1" min="20" max="20" width="6.5"/>
    <col customWidth="1" min="21" max="21" width="5.13"/>
    <col customWidth="1" min="22" max="22" width="4.0"/>
    <col customWidth="1" min="23" max="23" width="5.0"/>
    <col customWidth="1" min="24" max="24" width="6.38"/>
    <col customWidth="1" min="25" max="25" width="5.13"/>
    <col customWidth="1" min="26" max="26" width="4.0"/>
    <col customWidth="1" min="27" max="27" width="5.0"/>
    <col customWidth="1" min="28" max="28" width="7.63"/>
    <col customWidth="1" min="29" max="29" width="5.0"/>
    <col customWidth="1" min="30" max="30" width="4.5"/>
    <col customWidth="1" min="31" max="31" width="5.0"/>
    <col customWidth="1" min="32" max="32" width="5.63"/>
    <col customWidth="1" min="33" max="33" width="5.13"/>
    <col customWidth="1" min="34" max="34" width="5.38"/>
    <col customWidth="1" min="35" max="35" width="5.0"/>
    <col customWidth="1" min="36" max="37" width="5.38"/>
    <col customWidth="1" min="38" max="39" width="5.88"/>
    <col customWidth="1" min="40" max="40" width="5.63"/>
    <col customWidth="1" min="41" max="45" width="4.25"/>
    <col customWidth="1" min="46" max="46" width="4.63"/>
    <col customWidth="1" min="47" max="47" width="4.5"/>
    <col customWidth="1" min="48" max="49" width="4.63"/>
    <col customWidth="1" min="50" max="51" width="4.5"/>
    <col customWidth="1" min="52" max="54" width="4.38"/>
    <col customWidth="1" min="55" max="55" width="6.63"/>
    <col customWidth="1" min="56" max="56" width="3.25"/>
  </cols>
  <sheetData>
    <row r="1">
      <c r="A1" s="1"/>
      <c r="D1" s="2" t="s">
        <v>1</v>
      </c>
      <c r="E1" s="3" t="s">
        <v>2</v>
      </c>
      <c r="O1" s="4"/>
      <c r="P1" s="5" t="s">
        <v>3</v>
      </c>
      <c r="S1" s="4"/>
      <c r="T1" s="5" t="s">
        <v>4</v>
      </c>
      <c r="W1" s="4"/>
      <c r="X1" s="5" t="s">
        <v>5</v>
      </c>
      <c r="AA1" s="4"/>
      <c r="AB1" s="5" t="s">
        <v>6</v>
      </c>
      <c r="AE1" s="4"/>
      <c r="AF1" s="3" t="s">
        <v>7</v>
      </c>
      <c r="AG1" s="6" t="s">
        <v>8</v>
      </c>
      <c r="AH1" s="6" t="s">
        <v>9</v>
      </c>
      <c r="AI1" s="6" t="s">
        <v>10</v>
      </c>
      <c r="AJ1" s="6" t="s">
        <v>11</v>
      </c>
      <c r="AK1" s="6" t="s">
        <v>12</v>
      </c>
      <c r="AL1" s="6" t="s">
        <v>13</v>
      </c>
      <c r="AM1" s="7" t="s">
        <v>14</v>
      </c>
      <c r="AN1" s="8" t="s">
        <v>15</v>
      </c>
      <c r="AO1" s="3" t="s">
        <v>16</v>
      </c>
      <c r="BC1" s="9" t="s">
        <v>17</v>
      </c>
      <c r="BD1" s="10" t="s">
        <v>18</v>
      </c>
    </row>
    <row r="2">
      <c r="A2" s="11" t="s">
        <v>19</v>
      </c>
      <c r="B2" s="11" t="s">
        <v>617</v>
      </c>
      <c r="C2" s="11" t="s">
        <v>20</v>
      </c>
      <c r="D2" s="4"/>
      <c r="E2" s="12">
        <v>45546.0</v>
      </c>
      <c r="F2" s="12">
        <f t="shared" ref="F2:L2" si="1">E2+14</f>
        <v>45560</v>
      </c>
      <c r="G2" s="12">
        <f t="shared" si="1"/>
        <v>45574</v>
      </c>
      <c r="H2" s="12">
        <f t="shared" si="1"/>
        <v>45588</v>
      </c>
      <c r="I2" s="12">
        <f t="shared" si="1"/>
        <v>45602</v>
      </c>
      <c r="J2" s="12">
        <f t="shared" si="1"/>
        <v>45616</v>
      </c>
      <c r="K2" s="12">
        <f t="shared" si="1"/>
        <v>45630</v>
      </c>
      <c r="L2" s="12">
        <f t="shared" si="1"/>
        <v>45644</v>
      </c>
      <c r="M2" s="13"/>
      <c r="N2" s="13"/>
      <c r="O2" s="13"/>
      <c r="P2" s="14" t="s">
        <v>21</v>
      </c>
      <c r="Q2" s="15" t="s">
        <v>22</v>
      </c>
      <c r="R2" s="15" t="s">
        <v>23</v>
      </c>
      <c r="S2" s="16" t="s">
        <v>24</v>
      </c>
      <c r="T2" s="14" t="s">
        <v>21</v>
      </c>
      <c r="U2" s="15" t="s">
        <v>22</v>
      </c>
      <c r="V2" s="15" t="s">
        <v>23</v>
      </c>
      <c r="W2" s="16" t="s">
        <v>24</v>
      </c>
      <c r="X2" s="14" t="s">
        <v>21</v>
      </c>
      <c r="Y2" s="15" t="s">
        <v>22</v>
      </c>
      <c r="Z2" s="15" t="s">
        <v>23</v>
      </c>
      <c r="AA2" s="16" t="s">
        <v>24</v>
      </c>
      <c r="AB2" s="14" t="s">
        <v>21</v>
      </c>
      <c r="AC2" s="15" t="s">
        <v>22</v>
      </c>
      <c r="AD2" s="15" t="s">
        <v>23</v>
      </c>
      <c r="AE2" s="16" t="s">
        <v>24</v>
      </c>
      <c r="AF2" s="17" t="s">
        <v>25</v>
      </c>
      <c r="AG2" s="18" t="s">
        <v>25</v>
      </c>
      <c r="AH2" s="18" t="s">
        <v>25</v>
      </c>
      <c r="AI2" s="18" t="s">
        <v>25</v>
      </c>
      <c r="AJ2" s="18" t="s">
        <v>25</v>
      </c>
      <c r="AK2" s="18" t="s">
        <v>25</v>
      </c>
      <c r="AL2" s="15" t="s">
        <v>26</v>
      </c>
      <c r="AM2" s="19" t="s">
        <v>26</v>
      </c>
      <c r="AN2" s="20" t="s">
        <v>27</v>
      </c>
      <c r="AO2" s="21"/>
      <c r="BC2" s="22"/>
    </row>
    <row r="3">
      <c r="D3" s="4"/>
      <c r="P3" s="21"/>
      <c r="Q3" s="15" t="s">
        <v>26</v>
      </c>
      <c r="R3" s="15" t="s">
        <v>28</v>
      </c>
      <c r="S3" s="4"/>
      <c r="T3" s="21"/>
      <c r="U3" s="15" t="s">
        <v>26</v>
      </c>
      <c r="V3" s="15" t="s">
        <v>28</v>
      </c>
      <c r="W3" s="4"/>
      <c r="X3" s="21"/>
      <c r="Y3" s="15" t="s">
        <v>26</v>
      </c>
      <c r="Z3" s="15" t="s">
        <v>28</v>
      </c>
      <c r="AA3" s="4"/>
      <c r="AB3" s="21"/>
      <c r="AC3" s="15" t="s">
        <v>26</v>
      </c>
      <c r="AD3" s="15" t="s">
        <v>28</v>
      </c>
      <c r="AE3" s="4"/>
      <c r="AF3" s="21"/>
      <c r="AM3" s="4"/>
      <c r="AN3" s="22"/>
      <c r="AO3" s="17" t="s">
        <v>3</v>
      </c>
      <c r="AP3" s="18" t="s">
        <v>4</v>
      </c>
      <c r="AQ3" s="18" t="s">
        <v>5</v>
      </c>
      <c r="AR3" s="18" t="s">
        <v>6</v>
      </c>
      <c r="AS3" s="18" t="s">
        <v>7</v>
      </c>
      <c r="AT3" s="18" t="s">
        <v>8</v>
      </c>
      <c r="AU3" s="18" t="s">
        <v>9</v>
      </c>
      <c r="AV3" s="18" t="s">
        <v>10</v>
      </c>
      <c r="AW3" s="18" t="s">
        <v>11</v>
      </c>
      <c r="AX3" s="18" t="s">
        <v>12</v>
      </c>
      <c r="AY3" s="18" t="s">
        <v>29</v>
      </c>
      <c r="AZ3" s="18" t="s">
        <v>30</v>
      </c>
      <c r="BA3" s="18" t="s">
        <v>31</v>
      </c>
      <c r="BB3" s="23" t="s">
        <v>23</v>
      </c>
      <c r="BC3" s="22"/>
    </row>
    <row r="4">
      <c r="A4" s="58">
        <v>409893.0</v>
      </c>
      <c r="C4" s="64" t="s">
        <v>618</v>
      </c>
      <c r="D4" s="4"/>
      <c r="E4" s="25"/>
      <c r="F4" s="27"/>
      <c r="G4" s="27"/>
      <c r="H4" s="27"/>
      <c r="I4" s="27"/>
      <c r="J4" s="27"/>
      <c r="K4" s="27"/>
      <c r="L4" s="27"/>
      <c r="M4" s="27"/>
      <c r="N4" s="27"/>
      <c r="O4" s="27"/>
      <c r="P4" s="58">
        <v>409893.0</v>
      </c>
      <c r="S4" s="24"/>
      <c r="T4" s="28"/>
      <c r="W4" s="24"/>
      <c r="X4" s="28"/>
      <c r="AA4" s="24"/>
      <c r="AB4" s="28"/>
      <c r="AE4" s="24"/>
      <c r="AF4" s="28"/>
      <c r="AM4" s="24">
        <v>7.5</v>
      </c>
      <c r="AN4" s="30"/>
      <c r="AO4" s="21">
        <f t="shared" ref="AO4:AO23" si="3">SUM(Q4,R4)</f>
        <v>0</v>
      </c>
      <c r="AP4">
        <f t="shared" ref="AP4:AP23" si="4">SUM(U4,V4)</f>
        <v>0</v>
      </c>
      <c r="AQ4">
        <f t="shared" ref="AQ4:AQ23" si="5">SUM(Y4,Z4)</f>
        <v>0</v>
      </c>
      <c r="AR4">
        <f t="shared" ref="AR4:AR23" si="6">SUM(AC4,AD4)</f>
        <v>0</v>
      </c>
      <c r="AS4">
        <f t="shared" ref="AS4:BA4" si="2">SUM(AF4)</f>
        <v>0</v>
      </c>
      <c r="AT4">
        <f t="shared" si="2"/>
        <v>0</v>
      </c>
      <c r="AU4">
        <f t="shared" si="2"/>
        <v>0</v>
      </c>
      <c r="AV4">
        <f t="shared" si="2"/>
        <v>0</v>
      </c>
      <c r="AW4">
        <f t="shared" si="2"/>
        <v>0</v>
      </c>
      <c r="AX4">
        <f t="shared" si="2"/>
        <v>0</v>
      </c>
      <c r="AY4">
        <f t="shared" si="2"/>
        <v>0</v>
      </c>
      <c r="AZ4">
        <f t="shared" si="2"/>
        <v>7.5</v>
      </c>
      <c r="BA4">
        <f t="shared" si="2"/>
        <v>0</v>
      </c>
      <c r="BC4" s="31">
        <f t="shared" ref="BC4:BC23" si="8">SUM(AO4:BB4)</f>
        <v>7.5</v>
      </c>
      <c r="BD4" s="32"/>
    </row>
    <row r="5">
      <c r="A5" s="51"/>
      <c r="B5" s="51"/>
      <c r="C5" s="51"/>
      <c r="D5" s="24"/>
      <c r="E5" s="25"/>
      <c r="F5" s="27"/>
      <c r="G5" s="27"/>
      <c r="H5" s="27"/>
      <c r="I5" s="27"/>
      <c r="J5" s="27"/>
      <c r="K5" s="27"/>
      <c r="L5" s="27"/>
      <c r="M5" s="27"/>
      <c r="N5" s="27"/>
      <c r="O5" s="54"/>
      <c r="P5" s="51"/>
      <c r="S5" s="24"/>
      <c r="T5" s="28"/>
      <c r="W5" s="24"/>
      <c r="X5" s="28"/>
      <c r="AA5" s="24"/>
      <c r="AB5" s="28"/>
      <c r="AE5" s="24"/>
      <c r="AF5" s="28"/>
      <c r="AM5" s="24"/>
      <c r="AN5" s="30"/>
      <c r="AO5" s="21">
        <f t="shared" si="3"/>
        <v>0</v>
      </c>
      <c r="AP5">
        <f t="shared" si="4"/>
        <v>0</v>
      </c>
      <c r="AQ5">
        <f t="shared" si="5"/>
        <v>0</v>
      </c>
      <c r="AR5">
        <f t="shared" si="6"/>
        <v>0</v>
      </c>
      <c r="AS5">
        <f t="shared" ref="AS5:BA5" si="7">SUM(AF5)</f>
        <v>0</v>
      </c>
      <c r="AT5">
        <f t="shared" si="7"/>
        <v>0</v>
      </c>
      <c r="AU5">
        <f t="shared" si="7"/>
        <v>0</v>
      </c>
      <c r="AV5">
        <f t="shared" si="7"/>
        <v>0</v>
      </c>
      <c r="AW5">
        <f t="shared" si="7"/>
        <v>0</v>
      </c>
      <c r="AX5">
        <f t="shared" si="7"/>
        <v>0</v>
      </c>
      <c r="AY5">
        <f t="shared" si="7"/>
        <v>0</v>
      </c>
      <c r="AZ5">
        <f t="shared" si="7"/>
        <v>0</v>
      </c>
      <c r="BA5">
        <f t="shared" si="7"/>
        <v>0</v>
      </c>
      <c r="BC5" s="31">
        <f t="shared" si="8"/>
        <v>0</v>
      </c>
      <c r="BD5" s="32"/>
    </row>
    <row r="6">
      <c r="B6" s="51"/>
      <c r="C6" s="51"/>
      <c r="D6" s="24"/>
      <c r="E6" s="25"/>
      <c r="F6" s="27"/>
      <c r="G6" s="27"/>
      <c r="H6" s="27"/>
      <c r="I6" s="27"/>
      <c r="J6" s="27"/>
      <c r="K6" s="27"/>
      <c r="L6" s="27"/>
      <c r="M6" s="27"/>
      <c r="N6" s="27"/>
      <c r="O6" s="27"/>
      <c r="P6" s="28"/>
      <c r="S6" s="24"/>
      <c r="T6" s="28"/>
      <c r="W6" s="24"/>
      <c r="X6" s="28"/>
      <c r="AA6" s="24"/>
      <c r="AB6" s="28"/>
      <c r="AE6" s="24"/>
      <c r="AF6" s="28"/>
      <c r="AM6" s="24"/>
      <c r="AN6" s="30"/>
      <c r="AO6" s="21">
        <f t="shared" si="3"/>
        <v>0</v>
      </c>
      <c r="AP6">
        <f t="shared" si="4"/>
        <v>0</v>
      </c>
      <c r="AQ6">
        <f t="shared" si="5"/>
        <v>0</v>
      </c>
      <c r="AR6">
        <f t="shared" si="6"/>
        <v>0</v>
      </c>
      <c r="AS6">
        <f t="shared" ref="AS6:BA6" si="9">SUM(AF6)</f>
        <v>0</v>
      </c>
      <c r="AT6">
        <f t="shared" si="9"/>
        <v>0</v>
      </c>
      <c r="AU6">
        <f t="shared" si="9"/>
        <v>0</v>
      </c>
      <c r="AV6">
        <f t="shared" si="9"/>
        <v>0</v>
      </c>
      <c r="AW6">
        <f t="shared" si="9"/>
        <v>0</v>
      </c>
      <c r="AX6">
        <f t="shared" si="9"/>
        <v>0</v>
      </c>
      <c r="AY6">
        <f t="shared" si="9"/>
        <v>0</v>
      </c>
      <c r="AZ6">
        <f t="shared" si="9"/>
        <v>0</v>
      </c>
      <c r="BA6">
        <f t="shared" si="9"/>
        <v>0</v>
      </c>
      <c r="BC6" s="31">
        <f t="shared" si="8"/>
        <v>0</v>
      </c>
      <c r="BD6" s="32"/>
    </row>
    <row r="7">
      <c r="D7" s="24"/>
      <c r="E7" s="34"/>
      <c r="F7" s="26"/>
      <c r="G7" s="27"/>
      <c r="H7" s="27"/>
      <c r="I7" s="27"/>
      <c r="J7" s="27"/>
      <c r="K7" s="27"/>
      <c r="L7" s="27"/>
      <c r="M7" s="27"/>
      <c r="N7" s="27"/>
      <c r="O7" s="27"/>
      <c r="P7" s="28"/>
      <c r="S7" s="24"/>
      <c r="T7" s="28"/>
      <c r="W7" s="24"/>
      <c r="X7" s="28"/>
      <c r="AA7" s="24"/>
      <c r="AB7" s="28"/>
      <c r="AE7" s="24"/>
      <c r="AF7" s="28"/>
      <c r="AM7" s="24"/>
      <c r="AN7" s="30"/>
      <c r="AO7" s="21">
        <f t="shared" si="3"/>
        <v>0</v>
      </c>
      <c r="AP7">
        <f t="shared" si="4"/>
        <v>0</v>
      </c>
      <c r="AQ7">
        <f t="shared" si="5"/>
        <v>0</v>
      </c>
      <c r="AR7">
        <f t="shared" si="6"/>
        <v>0</v>
      </c>
      <c r="AS7">
        <f t="shared" ref="AS7:BA7" si="10">SUM(AF7)</f>
        <v>0</v>
      </c>
      <c r="AT7">
        <f t="shared" si="10"/>
        <v>0</v>
      </c>
      <c r="AU7">
        <f t="shared" si="10"/>
        <v>0</v>
      </c>
      <c r="AV7">
        <f t="shared" si="10"/>
        <v>0</v>
      </c>
      <c r="AW7">
        <f t="shared" si="10"/>
        <v>0</v>
      </c>
      <c r="AX7">
        <f t="shared" si="10"/>
        <v>0</v>
      </c>
      <c r="AY7">
        <f t="shared" si="10"/>
        <v>0</v>
      </c>
      <c r="AZ7">
        <f t="shared" si="10"/>
        <v>0</v>
      </c>
      <c r="BA7">
        <f t="shared" si="10"/>
        <v>0</v>
      </c>
      <c r="BC7" s="31">
        <f t="shared" si="8"/>
        <v>0</v>
      </c>
      <c r="BD7" s="32"/>
    </row>
    <row r="8">
      <c r="D8" s="24"/>
      <c r="E8" s="34"/>
      <c r="F8" s="26"/>
      <c r="G8" s="27"/>
      <c r="H8" s="27"/>
      <c r="I8" s="27"/>
      <c r="J8" s="27"/>
      <c r="K8" s="27"/>
      <c r="L8" s="27"/>
      <c r="M8" s="27"/>
      <c r="N8" s="27"/>
      <c r="O8" s="27"/>
      <c r="P8" s="28"/>
      <c r="S8" s="24"/>
      <c r="T8" s="28"/>
      <c r="W8" s="24"/>
      <c r="X8" s="28"/>
      <c r="AA8" s="24"/>
      <c r="AB8" s="28"/>
      <c r="AE8" s="24"/>
      <c r="AF8" s="28"/>
      <c r="AM8" s="24"/>
      <c r="AN8" s="30"/>
      <c r="AO8" s="21">
        <f t="shared" si="3"/>
        <v>0</v>
      </c>
      <c r="AP8">
        <f t="shared" si="4"/>
        <v>0</v>
      </c>
      <c r="AQ8">
        <f t="shared" si="5"/>
        <v>0</v>
      </c>
      <c r="AR8">
        <f t="shared" si="6"/>
        <v>0</v>
      </c>
      <c r="AS8">
        <f t="shared" ref="AS8:BA8" si="11">SUM(AF8)</f>
        <v>0</v>
      </c>
      <c r="AT8">
        <f t="shared" si="11"/>
        <v>0</v>
      </c>
      <c r="AU8">
        <f t="shared" si="11"/>
        <v>0</v>
      </c>
      <c r="AV8">
        <f t="shared" si="11"/>
        <v>0</v>
      </c>
      <c r="AW8">
        <f t="shared" si="11"/>
        <v>0</v>
      </c>
      <c r="AX8">
        <f t="shared" si="11"/>
        <v>0</v>
      </c>
      <c r="AY8">
        <f t="shared" si="11"/>
        <v>0</v>
      </c>
      <c r="AZ8">
        <f t="shared" si="11"/>
        <v>0</v>
      </c>
      <c r="BA8">
        <f t="shared" si="11"/>
        <v>0</v>
      </c>
      <c r="BC8" s="31">
        <f t="shared" si="8"/>
        <v>0</v>
      </c>
      <c r="BD8" s="32"/>
    </row>
    <row r="9">
      <c r="D9" s="24"/>
      <c r="E9" s="25"/>
      <c r="F9" s="27"/>
      <c r="G9" s="27"/>
      <c r="H9" s="27"/>
      <c r="I9" s="27"/>
      <c r="J9" s="27"/>
      <c r="K9" s="27"/>
      <c r="L9" s="27"/>
      <c r="M9" s="27"/>
      <c r="N9" s="27"/>
      <c r="O9" s="27"/>
      <c r="P9" s="28"/>
      <c r="S9" s="24"/>
      <c r="T9" s="28"/>
      <c r="W9" s="24"/>
      <c r="X9" s="28"/>
      <c r="AA9" s="24"/>
      <c r="AB9" s="28"/>
      <c r="AE9" s="33"/>
      <c r="AF9" s="28"/>
      <c r="AM9" s="24"/>
      <c r="AN9" s="30"/>
      <c r="AO9" s="21">
        <f t="shared" si="3"/>
        <v>0</v>
      </c>
      <c r="AP9">
        <f t="shared" si="4"/>
        <v>0</v>
      </c>
      <c r="AQ9">
        <f t="shared" si="5"/>
        <v>0</v>
      </c>
      <c r="AR9">
        <f t="shared" si="6"/>
        <v>0</v>
      </c>
      <c r="AS9">
        <f t="shared" ref="AS9:BA9" si="12">SUM(AF9)</f>
        <v>0</v>
      </c>
      <c r="AT9">
        <f t="shared" si="12"/>
        <v>0</v>
      </c>
      <c r="AU9">
        <f t="shared" si="12"/>
        <v>0</v>
      </c>
      <c r="AV9">
        <f t="shared" si="12"/>
        <v>0</v>
      </c>
      <c r="AW9">
        <f t="shared" si="12"/>
        <v>0</v>
      </c>
      <c r="AX9">
        <f t="shared" si="12"/>
        <v>0</v>
      </c>
      <c r="AY9">
        <f t="shared" si="12"/>
        <v>0</v>
      </c>
      <c r="AZ9">
        <f t="shared" si="12"/>
        <v>0</v>
      </c>
      <c r="BA9">
        <f t="shared" si="12"/>
        <v>0</v>
      </c>
      <c r="BC9" s="31">
        <f t="shared" si="8"/>
        <v>0</v>
      </c>
      <c r="BD9" s="32"/>
    </row>
    <row r="10">
      <c r="D10" s="24"/>
      <c r="E10" s="25"/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1"/>
      <c r="S10" s="4"/>
      <c r="W10" s="24"/>
      <c r="X10" s="28"/>
      <c r="AA10" s="24"/>
      <c r="AB10" s="28"/>
      <c r="AE10" s="24"/>
      <c r="AF10" s="28"/>
      <c r="AM10" s="24"/>
      <c r="AN10" s="30"/>
      <c r="AO10" s="21">
        <f t="shared" si="3"/>
        <v>0</v>
      </c>
      <c r="AP10">
        <f t="shared" si="4"/>
        <v>0</v>
      </c>
      <c r="AQ10">
        <f t="shared" si="5"/>
        <v>0</v>
      </c>
      <c r="AR10">
        <f t="shared" si="6"/>
        <v>0</v>
      </c>
      <c r="AS10">
        <f t="shared" ref="AS10:BA10" si="13">SUM(AF10)</f>
        <v>0</v>
      </c>
      <c r="AT10">
        <f t="shared" si="13"/>
        <v>0</v>
      </c>
      <c r="AU10">
        <f t="shared" si="13"/>
        <v>0</v>
      </c>
      <c r="AV10">
        <f t="shared" si="13"/>
        <v>0</v>
      </c>
      <c r="AW10">
        <f t="shared" si="13"/>
        <v>0</v>
      </c>
      <c r="AX10">
        <f t="shared" si="13"/>
        <v>0</v>
      </c>
      <c r="AY10">
        <f t="shared" si="13"/>
        <v>0</v>
      </c>
      <c r="AZ10">
        <f t="shared" si="13"/>
        <v>0</v>
      </c>
      <c r="BA10">
        <f t="shared" si="13"/>
        <v>0</v>
      </c>
      <c r="BC10" s="31">
        <f t="shared" si="8"/>
        <v>0</v>
      </c>
      <c r="BD10" s="32"/>
    </row>
    <row r="11">
      <c r="D11" s="24"/>
      <c r="E11" s="34"/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1"/>
      <c r="S11" s="24"/>
      <c r="T11" s="28"/>
      <c r="W11" s="24"/>
      <c r="X11" s="28"/>
      <c r="AA11" s="24"/>
      <c r="AB11" s="28"/>
      <c r="AE11" s="24"/>
      <c r="AF11" s="21"/>
      <c r="AM11" s="24"/>
      <c r="AN11" s="30"/>
      <c r="AO11" s="21">
        <f t="shared" si="3"/>
        <v>0</v>
      </c>
      <c r="AP11">
        <f t="shared" si="4"/>
        <v>0</v>
      </c>
      <c r="AQ11">
        <f t="shared" si="5"/>
        <v>0</v>
      </c>
      <c r="AR11">
        <f t="shared" si="6"/>
        <v>0</v>
      </c>
      <c r="AS11">
        <f t="shared" ref="AS11:BA11" si="14">SUM(AF11)</f>
        <v>0</v>
      </c>
      <c r="AT11">
        <f t="shared" si="14"/>
        <v>0</v>
      </c>
      <c r="AU11">
        <f t="shared" si="14"/>
        <v>0</v>
      </c>
      <c r="AV11">
        <f t="shared" si="14"/>
        <v>0</v>
      </c>
      <c r="AW11">
        <f t="shared" si="14"/>
        <v>0</v>
      </c>
      <c r="AX11">
        <f t="shared" si="14"/>
        <v>0</v>
      </c>
      <c r="AY11">
        <f t="shared" si="14"/>
        <v>0</v>
      </c>
      <c r="AZ11">
        <f t="shared" si="14"/>
        <v>0</v>
      </c>
      <c r="BA11">
        <f t="shared" si="14"/>
        <v>0</v>
      </c>
      <c r="BC11" s="31">
        <f t="shared" si="8"/>
        <v>0</v>
      </c>
      <c r="BD11" s="32"/>
    </row>
    <row r="12">
      <c r="D12" s="24"/>
      <c r="E12" s="34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1"/>
      <c r="S12" s="24"/>
      <c r="T12" s="28"/>
      <c r="W12" s="24"/>
      <c r="X12" s="28"/>
      <c r="AA12" s="24"/>
      <c r="AB12" s="28"/>
      <c r="AE12" s="24"/>
      <c r="AF12" s="28"/>
      <c r="AM12" s="24"/>
      <c r="AN12" s="30"/>
      <c r="AO12" s="21">
        <f t="shared" si="3"/>
        <v>0</v>
      </c>
      <c r="AP12">
        <f t="shared" si="4"/>
        <v>0</v>
      </c>
      <c r="AQ12">
        <f t="shared" si="5"/>
        <v>0</v>
      </c>
      <c r="AR12">
        <f t="shared" si="6"/>
        <v>0</v>
      </c>
      <c r="AS12">
        <f t="shared" ref="AS12:BA12" si="15">SUM(AF12)</f>
        <v>0</v>
      </c>
      <c r="AT12">
        <f t="shared" si="15"/>
        <v>0</v>
      </c>
      <c r="AU12">
        <f t="shared" si="15"/>
        <v>0</v>
      </c>
      <c r="AV12">
        <f t="shared" si="15"/>
        <v>0</v>
      </c>
      <c r="AW12">
        <f t="shared" si="15"/>
        <v>0</v>
      </c>
      <c r="AX12">
        <f t="shared" si="15"/>
        <v>0</v>
      </c>
      <c r="AY12">
        <f t="shared" si="15"/>
        <v>0</v>
      </c>
      <c r="AZ12">
        <f t="shared" si="15"/>
        <v>0</v>
      </c>
      <c r="BA12">
        <f t="shared" si="15"/>
        <v>0</v>
      </c>
      <c r="BC12" s="31">
        <f t="shared" si="8"/>
        <v>0</v>
      </c>
      <c r="BD12" s="32"/>
    </row>
    <row r="13">
      <c r="B13" s="284"/>
      <c r="C13" s="284"/>
      <c r="D13" s="24"/>
      <c r="E13" s="34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1"/>
      <c r="S13" s="24"/>
      <c r="T13" s="28"/>
      <c r="W13" s="24"/>
      <c r="X13" s="28"/>
      <c r="AA13" s="24"/>
      <c r="AB13" s="28"/>
      <c r="AE13" s="24"/>
      <c r="AF13" s="28"/>
      <c r="AM13" s="24"/>
      <c r="AN13" s="30"/>
      <c r="AO13" s="21">
        <f t="shared" si="3"/>
        <v>0</v>
      </c>
      <c r="AP13">
        <f t="shared" si="4"/>
        <v>0</v>
      </c>
      <c r="AQ13">
        <f t="shared" si="5"/>
        <v>0</v>
      </c>
      <c r="AR13">
        <f t="shared" si="6"/>
        <v>0</v>
      </c>
      <c r="AS13">
        <f t="shared" ref="AS13:BA13" si="16">SUM(AF13)</f>
        <v>0</v>
      </c>
      <c r="AT13">
        <f t="shared" si="16"/>
        <v>0</v>
      </c>
      <c r="AU13">
        <f t="shared" si="16"/>
        <v>0</v>
      </c>
      <c r="AV13">
        <f t="shared" si="16"/>
        <v>0</v>
      </c>
      <c r="AW13">
        <f t="shared" si="16"/>
        <v>0</v>
      </c>
      <c r="AX13">
        <f t="shared" si="16"/>
        <v>0</v>
      </c>
      <c r="AY13">
        <f t="shared" si="16"/>
        <v>0</v>
      </c>
      <c r="AZ13">
        <f t="shared" si="16"/>
        <v>0</v>
      </c>
      <c r="BA13">
        <f t="shared" si="16"/>
        <v>0</v>
      </c>
      <c r="BC13" s="31">
        <f t="shared" si="8"/>
        <v>0</v>
      </c>
      <c r="BD13" s="32"/>
    </row>
    <row r="14">
      <c r="D14" s="24"/>
      <c r="E14" s="34"/>
      <c r="F14" s="26"/>
      <c r="G14" s="27"/>
      <c r="H14" s="27"/>
      <c r="I14" s="27"/>
      <c r="J14" s="27"/>
      <c r="K14" s="27"/>
      <c r="L14" s="27"/>
      <c r="M14" s="27"/>
      <c r="N14" s="27"/>
      <c r="O14" s="27"/>
      <c r="P14" s="21"/>
      <c r="S14" s="24"/>
      <c r="T14" s="28"/>
      <c r="W14" s="24"/>
      <c r="X14" s="28"/>
      <c r="AA14" s="24"/>
      <c r="AB14" s="28"/>
      <c r="AE14" s="24"/>
      <c r="AF14" s="28"/>
      <c r="AM14" s="24"/>
      <c r="AN14" s="30"/>
      <c r="AO14" s="21">
        <f t="shared" si="3"/>
        <v>0</v>
      </c>
      <c r="AP14">
        <f t="shared" si="4"/>
        <v>0</v>
      </c>
      <c r="AQ14">
        <f t="shared" si="5"/>
        <v>0</v>
      </c>
      <c r="AR14">
        <f t="shared" si="6"/>
        <v>0</v>
      </c>
      <c r="AS14">
        <f t="shared" ref="AS14:BA14" si="17">SUM(AF14)</f>
        <v>0</v>
      </c>
      <c r="AT14">
        <f t="shared" si="17"/>
        <v>0</v>
      </c>
      <c r="AU14">
        <f t="shared" si="17"/>
        <v>0</v>
      </c>
      <c r="AV14">
        <f t="shared" si="17"/>
        <v>0</v>
      </c>
      <c r="AW14">
        <f t="shared" si="17"/>
        <v>0</v>
      </c>
      <c r="AX14">
        <f t="shared" si="17"/>
        <v>0</v>
      </c>
      <c r="AY14">
        <f t="shared" si="17"/>
        <v>0</v>
      </c>
      <c r="AZ14">
        <f t="shared" si="17"/>
        <v>0</v>
      </c>
      <c r="BA14">
        <f t="shared" si="17"/>
        <v>0</v>
      </c>
      <c r="BC14" s="31">
        <f t="shared" si="8"/>
        <v>0</v>
      </c>
      <c r="BD14" s="32"/>
    </row>
    <row r="15">
      <c r="D15" s="24"/>
      <c r="E15" s="34"/>
      <c r="F15" s="26"/>
      <c r="G15" s="27"/>
      <c r="H15" s="27"/>
      <c r="I15" s="27"/>
      <c r="J15" s="27"/>
      <c r="K15" s="27"/>
      <c r="L15" s="27"/>
      <c r="M15" s="27"/>
      <c r="N15" s="27"/>
      <c r="O15" s="27"/>
      <c r="P15" s="21"/>
      <c r="S15" s="24"/>
      <c r="T15" s="28"/>
      <c r="W15" s="24"/>
      <c r="X15" s="28"/>
      <c r="AA15" s="24"/>
      <c r="AB15" s="28"/>
      <c r="AE15" s="24"/>
      <c r="AF15" s="28"/>
      <c r="AM15" s="24"/>
      <c r="AN15" s="30"/>
      <c r="AO15" s="21">
        <f t="shared" si="3"/>
        <v>0</v>
      </c>
      <c r="AP15">
        <f t="shared" si="4"/>
        <v>0</v>
      </c>
      <c r="AQ15">
        <f t="shared" si="5"/>
        <v>0</v>
      </c>
      <c r="AR15">
        <f t="shared" si="6"/>
        <v>0</v>
      </c>
      <c r="AS15">
        <f t="shared" ref="AS15:BA15" si="18">SUM(AF15)</f>
        <v>0</v>
      </c>
      <c r="AT15">
        <f t="shared" si="18"/>
        <v>0</v>
      </c>
      <c r="AU15">
        <f t="shared" si="18"/>
        <v>0</v>
      </c>
      <c r="AV15">
        <f t="shared" si="18"/>
        <v>0</v>
      </c>
      <c r="AW15">
        <f t="shared" si="18"/>
        <v>0</v>
      </c>
      <c r="AX15">
        <f t="shared" si="18"/>
        <v>0</v>
      </c>
      <c r="AY15">
        <f t="shared" si="18"/>
        <v>0</v>
      </c>
      <c r="AZ15">
        <f t="shared" si="18"/>
        <v>0</v>
      </c>
      <c r="BA15">
        <f t="shared" si="18"/>
        <v>0</v>
      </c>
      <c r="BC15" s="31">
        <f t="shared" si="8"/>
        <v>0</v>
      </c>
      <c r="BD15" s="32"/>
    </row>
    <row r="16">
      <c r="B16" s="284"/>
      <c r="C16" s="284"/>
      <c r="D16" s="24"/>
      <c r="E16" s="25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1"/>
      <c r="S16" s="24"/>
      <c r="T16" s="28"/>
      <c r="W16" s="24"/>
      <c r="X16" s="28"/>
      <c r="AA16" s="24"/>
      <c r="AB16" s="28"/>
      <c r="AE16" s="24"/>
      <c r="AF16" s="28"/>
      <c r="AM16" s="24"/>
      <c r="AN16" s="30"/>
      <c r="AO16" s="21">
        <f t="shared" si="3"/>
        <v>0</v>
      </c>
      <c r="AP16">
        <f t="shared" si="4"/>
        <v>0</v>
      </c>
      <c r="AQ16">
        <f t="shared" si="5"/>
        <v>0</v>
      </c>
      <c r="AR16">
        <f t="shared" si="6"/>
        <v>0</v>
      </c>
      <c r="AS16">
        <f t="shared" ref="AS16:BA16" si="19">SUM(AF16)</f>
        <v>0</v>
      </c>
      <c r="AT16">
        <f t="shared" si="19"/>
        <v>0</v>
      </c>
      <c r="AU16">
        <f t="shared" si="19"/>
        <v>0</v>
      </c>
      <c r="AV16">
        <f t="shared" si="19"/>
        <v>0</v>
      </c>
      <c r="AW16">
        <f t="shared" si="19"/>
        <v>0</v>
      </c>
      <c r="AX16">
        <f t="shared" si="19"/>
        <v>0</v>
      </c>
      <c r="AY16">
        <f t="shared" si="19"/>
        <v>0</v>
      </c>
      <c r="AZ16">
        <f t="shared" si="19"/>
        <v>0</v>
      </c>
      <c r="BA16">
        <f t="shared" si="19"/>
        <v>0</v>
      </c>
      <c r="BC16" s="31">
        <f t="shared" si="8"/>
        <v>0</v>
      </c>
      <c r="BD16" s="32"/>
    </row>
    <row r="17">
      <c r="E17" s="25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1"/>
      <c r="T17" s="28"/>
      <c r="X17" s="21"/>
      <c r="Z17" s="36"/>
      <c r="AA17" s="36"/>
      <c r="AB17" s="21"/>
      <c r="AF17" s="21"/>
      <c r="AN17" s="21"/>
      <c r="AO17" s="21">
        <f t="shared" si="3"/>
        <v>0</v>
      </c>
      <c r="AP17">
        <f t="shared" si="4"/>
        <v>0</v>
      </c>
      <c r="AQ17">
        <f t="shared" si="5"/>
        <v>0</v>
      </c>
      <c r="AR17">
        <f t="shared" si="6"/>
        <v>0</v>
      </c>
      <c r="AS17">
        <f t="shared" ref="AS17:BA17" si="20">SUM(AF17)</f>
        <v>0</v>
      </c>
      <c r="AT17">
        <f t="shared" si="20"/>
        <v>0</v>
      </c>
      <c r="AU17">
        <f t="shared" si="20"/>
        <v>0</v>
      </c>
      <c r="AV17">
        <f t="shared" si="20"/>
        <v>0</v>
      </c>
      <c r="AW17">
        <f t="shared" si="20"/>
        <v>0</v>
      </c>
      <c r="AX17">
        <f t="shared" si="20"/>
        <v>0</v>
      </c>
      <c r="AY17">
        <f t="shared" si="20"/>
        <v>0</v>
      </c>
      <c r="AZ17">
        <f t="shared" si="20"/>
        <v>0</v>
      </c>
      <c r="BA17">
        <f t="shared" si="20"/>
        <v>0</v>
      </c>
      <c r="BC17" s="31">
        <f t="shared" si="8"/>
        <v>0</v>
      </c>
      <c r="BD17" s="32"/>
    </row>
    <row r="18">
      <c r="D18" s="36"/>
      <c r="E18" s="25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1"/>
      <c r="Q18" s="36"/>
      <c r="R18" s="36"/>
      <c r="S18" s="36"/>
      <c r="T18" s="28"/>
      <c r="U18" s="36"/>
      <c r="V18" s="36"/>
      <c r="W18" s="36"/>
      <c r="X18" s="21"/>
      <c r="Y18" s="36"/>
      <c r="Z18" s="36"/>
      <c r="AA18" s="36"/>
      <c r="AB18" s="21"/>
      <c r="AF18" s="21"/>
      <c r="AN18" s="21"/>
      <c r="AO18" s="21">
        <f t="shared" si="3"/>
        <v>0</v>
      </c>
      <c r="AP18">
        <f t="shared" si="4"/>
        <v>0</v>
      </c>
      <c r="AQ18">
        <f t="shared" si="5"/>
        <v>0</v>
      </c>
      <c r="AR18">
        <f t="shared" si="6"/>
        <v>0</v>
      </c>
      <c r="AS18">
        <f t="shared" ref="AS18:BA18" si="21">SUM(AF18)</f>
        <v>0</v>
      </c>
      <c r="AT18">
        <f t="shared" si="21"/>
        <v>0</v>
      </c>
      <c r="AU18">
        <f t="shared" si="21"/>
        <v>0</v>
      </c>
      <c r="AV18">
        <f t="shared" si="21"/>
        <v>0</v>
      </c>
      <c r="AW18">
        <f t="shared" si="21"/>
        <v>0</v>
      </c>
      <c r="AX18">
        <f t="shared" si="21"/>
        <v>0</v>
      </c>
      <c r="AY18">
        <f t="shared" si="21"/>
        <v>0</v>
      </c>
      <c r="AZ18">
        <f t="shared" si="21"/>
        <v>0</v>
      </c>
      <c r="BA18">
        <f t="shared" si="21"/>
        <v>0</v>
      </c>
      <c r="BC18" s="31">
        <f t="shared" si="8"/>
        <v>0</v>
      </c>
      <c r="BD18" s="32"/>
    </row>
    <row r="19">
      <c r="E19" s="21"/>
      <c r="P19" s="21"/>
      <c r="Q19" s="36"/>
      <c r="R19" s="36"/>
      <c r="S19" s="37"/>
      <c r="T19" s="21"/>
      <c r="U19" s="36"/>
      <c r="V19" s="36"/>
      <c r="W19" s="37"/>
      <c r="X19" s="21"/>
      <c r="Y19" s="36"/>
      <c r="Z19" s="36"/>
      <c r="AA19" s="37"/>
      <c r="AB19" s="21"/>
      <c r="AF19" s="21"/>
      <c r="AN19" s="21"/>
      <c r="AO19" s="21">
        <f t="shared" si="3"/>
        <v>0</v>
      </c>
      <c r="AP19">
        <f t="shared" si="4"/>
        <v>0</v>
      </c>
      <c r="AQ19">
        <f t="shared" si="5"/>
        <v>0</v>
      </c>
      <c r="AR19">
        <f t="shared" si="6"/>
        <v>0</v>
      </c>
      <c r="AS19">
        <f t="shared" ref="AS19:BA19" si="22">SUM(AF19)</f>
        <v>0</v>
      </c>
      <c r="AT19">
        <f t="shared" si="22"/>
        <v>0</v>
      </c>
      <c r="AU19">
        <f t="shared" si="22"/>
        <v>0</v>
      </c>
      <c r="AV19">
        <f t="shared" si="22"/>
        <v>0</v>
      </c>
      <c r="AW19">
        <f t="shared" si="22"/>
        <v>0</v>
      </c>
      <c r="AX19">
        <f t="shared" si="22"/>
        <v>0</v>
      </c>
      <c r="AY19">
        <f t="shared" si="22"/>
        <v>0</v>
      </c>
      <c r="AZ19">
        <f t="shared" si="22"/>
        <v>0</v>
      </c>
      <c r="BA19">
        <f t="shared" si="22"/>
        <v>0</v>
      </c>
      <c r="BC19" s="31">
        <f t="shared" si="8"/>
        <v>0</v>
      </c>
      <c r="BD19" s="32"/>
    </row>
    <row r="20">
      <c r="A20" s="36"/>
      <c r="D20" s="4"/>
      <c r="E20" s="25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8"/>
      <c r="S20" s="38"/>
      <c r="T20" s="21"/>
      <c r="W20" s="38"/>
      <c r="X20" s="21"/>
      <c r="AA20" s="38"/>
      <c r="AB20" s="21"/>
      <c r="AE20" s="38"/>
      <c r="AF20" s="21"/>
      <c r="AM20" s="4"/>
      <c r="AO20" s="21">
        <f t="shared" si="3"/>
        <v>0</v>
      </c>
      <c r="AP20">
        <f t="shared" si="4"/>
        <v>0</v>
      </c>
      <c r="AQ20">
        <f t="shared" si="5"/>
        <v>0</v>
      </c>
      <c r="AR20">
        <f t="shared" si="6"/>
        <v>0</v>
      </c>
      <c r="AS20">
        <f t="shared" ref="AS20:BA20" si="23">SUM(AF20)</f>
        <v>0</v>
      </c>
      <c r="AT20">
        <f t="shared" si="23"/>
        <v>0</v>
      </c>
      <c r="AU20">
        <f t="shared" si="23"/>
        <v>0</v>
      </c>
      <c r="AV20">
        <f t="shared" si="23"/>
        <v>0</v>
      </c>
      <c r="AW20">
        <f t="shared" si="23"/>
        <v>0</v>
      </c>
      <c r="AX20">
        <f t="shared" si="23"/>
        <v>0</v>
      </c>
      <c r="AY20">
        <f t="shared" si="23"/>
        <v>0</v>
      </c>
      <c r="AZ20">
        <f t="shared" si="23"/>
        <v>0</v>
      </c>
      <c r="BA20">
        <f t="shared" si="23"/>
        <v>0</v>
      </c>
      <c r="BC20" s="31">
        <f t="shared" si="8"/>
        <v>0</v>
      </c>
      <c r="BD20" s="32"/>
    </row>
    <row r="21">
      <c r="A21" s="36"/>
      <c r="D21" s="4"/>
      <c r="E21" s="25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S21" s="38"/>
      <c r="T21" s="21"/>
      <c r="W21" s="38"/>
      <c r="X21" s="21"/>
      <c r="AA21" s="38"/>
      <c r="AB21" s="21"/>
      <c r="AE21" s="38"/>
      <c r="AF21" s="28"/>
      <c r="AM21" s="4"/>
      <c r="AN21" s="30"/>
      <c r="AO21" s="21">
        <f t="shared" si="3"/>
        <v>0</v>
      </c>
      <c r="AP21">
        <f t="shared" si="4"/>
        <v>0</v>
      </c>
      <c r="AQ21">
        <f t="shared" si="5"/>
        <v>0</v>
      </c>
      <c r="AR21">
        <f t="shared" si="6"/>
        <v>0</v>
      </c>
      <c r="AS21">
        <f t="shared" ref="AS21:BA21" si="24">SUM(AF21)</f>
        <v>0</v>
      </c>
      <c r="AT21">
        <f t="shared" si="24"/>
        <v>0</v>
      </c>
      <c r="AU21">
        <f t="shared" si="24"/>
        <v>0</v>
      </c>
      <c r="AV21">
        <f t="shared" si="24"/>
        <v>0</v>
      </c>
      <c r="AW21">
        <f t="shared" si="24"/>
        <v>0</v>
      </c>
      <c r="AX21">
        <f t="shared" si="24"/>
        <v>0</v>
      </c>
      <c r="AY21">
        <f t="shared" si="24"/>
        <v>0</v>
      </c>
      <c r="AZ21">
        <f t="shared" si="24"/>
        <v>0</v>
      </c>
      <c r="BA21">
        <f t="shared" si="24"/>
        <v>0</v>
      </c>
      <c r="BC21" s="31">
        <f t="shared" si="8"/>
        <v>0</v>
      </c>
      <c r="BD21" s="32"/>
    </row>
    <row r="22">
      <c r="A22" s="35"/>
      <c r="D22" s="4"/>
      <c r="E22" s="25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8"/>
      <c r="S22" s="38"/>
      <c r="T22" s="21"/>
      <c r="W22" s="38"/>
      <c r="X22" s="21"/>
      <c r="AA22" s="38"/>
      <c r="AB22" s="21"/>
      <c r="AE22" s="38"/>
      <c r="AF22" s="21"/>
      <c r="AM22" s="4"/>
      <c r="AN22" s="30"/>
      <c r="AO22" s="21">
        <f t="shared" si="3"/>
        <v>0</v>
      </c>
      <c r="AP22">
        <f t="shared" si="4"/>
        <v>0</v>
      </c>
      <c r="AQ22">
        <f t="shared" si="5"/>
        <v>0</v>
      </c>
      <c r="AR22">
        <f t="shared" si="6"/>
        <v>0</v>
      </c>
      <c r="AS22">
        <f t="shared" ref="AS22:BA22" si="25">SUM(AF22)</f>
        <v>0</v>
      </c>
      <c r="AT22">
        <f t="shared" si="25"/>
        <v>0</v>
      </c>
      <c r="AU22">
        <f t="shared" si="25"/>
        <v>0</v>
      </c>
      <c r="AV22">
        <f t="shared" si="25"/>
        <v>0</v>
      </c>
      <c r="AW22">
        <f t="shared" si="25"/>
        <v>0</v>
      </c>
      <c r="AX22">
        <f t="shared" si="25"/>
        <v>0</v>
      </c>
      <c r="AY22">
        <f t="shared" si="25"/>
        <v>0</v>
      </c>
      <c r="AZ22">
        <f t="shared" si="25"/>
        <v>0</v>
      </c>
      <c r="BA22">
        <f t="shared" si="25"/>
        <v>0</v>
      </c>
      <c r="BC22" s="31">
        <f t="shared" si="8"/>
        <v>0</v>
      </c>
      <c r="BD22" s="32"/>
    </row>
    <row r="23">
      <c r="A23" s="36"/>
      <c r="D23" s="4"/>
      <c r="E23" s="25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8"/>
      <c r="S23" s="38"/>
      <c r="T23" s="21"/>
      <c r="W23" s="38"/>
      <c r="X23" s="21"/>
      <c r="AA23" s="38"/>
      <c r="AB23" s="21"/>
      <c r="AE23" s="38"/>
      <c r="AF23" s="21"/>
      <c r="AM23" s="4"/>
      <c r="AN23" s="30"/>
      <c r="AO23" s="21">
        <f t="shared" si="3"/>
        <v>0</v>
      </c>
      <c r="AP23">
        <f t="shared" si="4"/>
        <v>0</v>
      </c>
      <c r="AQ23">
        <f t="shared" si="5"/>
        <v>0</v>
      </c>
      <c r="AR23">
        <f t="shared" si="6"/>
        <v>0</v>
      </c>
      <c r="AS23">
        <f t="shared" ref="AS23:BA23" si="26">SUM(AF23)</f>
        <v>0</v>
      </c>
      <c r="AT23">
        <f t="shared" si="26"/>
        <v>0</v>
      </c>
      <c r="AU23">
        <f t="shared" si="26"/>
        <v>0</v>
      </c>
      <c r="AV23">
        <f t="shared" si="26"/>
        <v>0</v>
      </c>
      <c r="AW23">
        <f t="shared" si="26"/>
        <v>0</v>
      </c>
      <c r="AX23">
        <f t="shared" si="26"/>
        <v>0</v>
      </c>
      <c r="AY23">
        <f t="shared" si="26"/>
        <v>0</v>
      </c>
      <c r="AZ23">
        <f t="shared" si="26"/>
        <v>0</v>
      </c>
      <c r="BA23">
        <f t="shared" si="26"/>
        <v>0</v>
      </c>
      <c r="BC23" s="31">
        <f t="shared" si="8"/>
        <v>0</v>
      </c>
      <c r="BD23" s="32"/>
    </row>
    <row r="24">
      <c r="A24" s="36"/>
      <c r="P24" s="36"/>
      <c r="Q24" s="36"/>
      <c r="R24" s="36"/>
      <c r="S24" s="37"/>
      <c r="U24" s="36"/>
      <c r="V24" s="36"/>
      <c r="W24" s="37"/>
      <c r="Y24" s="36"/>
      <c r="Z24" s="36"/>
      <c r="AA24" s="37"/>
      <c r="AC24" s="36"/>
      <c r="AD24" s="36"/>
      <c r="AE24" s="36"/>
      <c r="AF24" s="36"/>
      <c r="BC24" s="39"/>
      <c r="BD24" s="32"/>
    </row>
  </sheetData>
  <mergeCells count="41">
    <mergeCell ref="D1:D3"/>
    <mergeCell ref="E2:E3"/>
    <mergeCell ref="P2:P3"/>
    <mergeCell ref="S2:S3"/>
    <mergeCell ref="T2:T3"/>
    <mergeCell ref="W2:W3"/>
    <mergeCell ref="X2:X3"/>
    <mergeCell ref="AA2:AA3"/>
    <mergeCell ref="AB2:AB3"/>
    <mergeCell ref="AE2:AE3"/>
    <mergeCell ref="A1:C1"/>
    <mergeCell ref="E1:O1"/>
    <mergeCell ref="P1:S1"/>
    <mergeCell ref="T1:W1"/>
    <mergeCell ref="X1:AA1"/>
    <mergeCell ref="AB1:AE1"/>
    <mergeCell ref="C2:C3"/>
    <mergeCell ref="AL2:AL3"/>
    <mergeCell ref="AM2:AM3"/>
    <mergeCell ref="AO1:BB2"/>
    <mergeCell ref="BC1:BC3"/>
    <mergeCell ref="BD1:BD3"/>
    <mergeCell ref="AF2:AF3"/>
    <mergeCell ref="AG2:AG3"/>
    <mergeCell ref="AH2:AH3"/>
    <mergeCell ref="AI2:AI3"/>
    <mergeCell ref="AN2:AN3"/>
    <mergeCell ref="A2:A3"/>
    <mergeCell ref="B2:B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AJ2:AJ3"/>
    <mergeCell ref="AK2:AK3"/>
  </mergeCells>
  <conditionalFormatting sqref="AO4:BB24">
    <cfRule type="cellIs" dxfId="1" priority="1" operator="lessThan">
      <formula>0.1</formula>
    </cfRule>
  </conditionalFormatting>
  <conditionalFormatting sqref="AO4:BB24">
    <cfRule type="cellIs" dxfId="2" priority="2" operator="greaterThan">
      <formula>0.1</formula>
    </cfRule>
  </conditionalFormatting>
  <conditionalFormatting sqref="BC4:BD24">
    <cfRule type="cellIs" dxfId="3" priority="3" operator="between">
      <formula>60</formula>
      <formula>68</formula>
    </cfRule>
  </conditionalFormatting>
  <conditionalFormatting sqref="BC4:BD24">
    <cfRule type="cellIs" dxfId="4" priority="4" operator="between">
      <formula>68</formula>
      <formula>74</formula>
    </cfRule>
  </conditionalFormatting>
  <conditionalFormatting sqref="BC4:BD24">
    <cfRule type="cellIs" dxfId="2" priority="5" operator="between">
      <formula>74</formula>
      <formula>81</formula>
    </cfRule>
  </conditionalFormatting>
  <conditionalFormatting sqref="BC4:BD24">
    <cfRule type="cellIs" dxfId="5" priority="6" operator="between">
      <formula>81</formula>
      <formula>90</formula>
    </cfRule>
  </conditionalFormatting>
  <conditionalFormatting sqref="BC4:BD24">
    <cfRule type="cellIs" dxfId="6" priority="7" operator="greaterThan">
      <formula>90</formula>
    </cfRule>
  </conditionalFormatting>
  <conditionalFormatting sqref="H4:H18 H20:H23">
    <cfRule type="containsText" dxfId="7" priority="8" operator="containsText" text="н">
      <formula>NOT(ISERROR(SEARCH(("н"),(H4))))</formula>
    </cfRule>
  </conditionalFormatting>
  <conditionalFormatting sqref="H4:H18 H20:H23">
    <cfRule type="containsText" dxfId="7" priority="9" operator="containsText" text="n">
      <formula>NOT(ISERROR(SEARCH(("n"),(H4))))</formula>
    </cfRule>
  </conditionalFormatting>
  <conditionalFormatting sqref="G4:G18 G20:G23">
    <cfRule type="containsText" dxfId="7" priority="10" operator="containsText" text="н">
      <formula>NOT(ISERROR(SEARCH(("н"),(G4))))</formula>
    </cfRule>
  </conditionalFormatting>
  <conditionalFormatting sqref="G4:G18 G20:G23">
    <cfRule type="containsText" dxfId="7" priority="11" operator="containsText" text="n">
      <formula>NOT(ISERROR(SEARCH(("n"),(G4))))</formula>
    </cfRule>
  </conditionalFormatting>
  <conditionalFormatting sqref="E1:O24">
    <cfRule type="containsText" dxfId="7" priority="12" operator="containsText" text="н">
      <formula>NOT(ISERROR(SEARCH(("н"),(E1))))</formula>
    </cfRule>
  </conditionalFormatting>
  <conditionalFormatting sqref="E1:O24">
    <cfRule type="containsText" dxfId="7" priority="13" operator="containsText" text="n">
      <formula>NOT(ISERROR(SEARCH(("n"),(E1))))</formula>
    </cfRule>
  </conditionalFormatting>
  <conditionalFormatting sqref="BC1:BD24">
    <cfRule type="cellIs" dxfId="3" priority="14" operator="between">
      <formula>60</formula>
      <formula>68</formula>
    </cfRule>
  </conditionalFormatting>
  <conditionalFormatting sqref="AN4:AN24">
    <cfRule type="cellIs" dxfId="6" priority="15" operator="between">
      <formula>12</formula>
      <formula>1000</formula>
    </cfRule>
  </conditionalFormatting>
  <conditionalFormatting sqref="BC1:BD24">
    <cfRule type="cellIs" dxfId="4" priority="16" operator="between">
      <formula>68</formula>
      <formula>74</formula>
    </cfRule>
  </conditionalFormatting>
  <conditionalFormatting sqref="BC1:BD24">
    <cfRule type="cellIs" dxfId="2" priority="17" operator="between">
      <formula>74</formula>
      <formula>81</formula>
    </cfRule>
  </conditionalFormatting>
  <conditionalFormatting sqref="BC1:BD24">
    <cfRule type="cellIs" dxfId="5" priority="18" operator="between">
      <formula>81</formula>
      <formula>90</formula>
    </cfRule>
  </conditionalFormatting>
  <conditionalFormatting sqref="BC1:BD24">
    <cfRule type="cellIs" dxfId="6" priority="19" operator="greaterThan">
      <formula>90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25"/>
    <col customWidth="1" min="2" max="2" width="9.25"/>
    <col customWidth="1" min="3" max="4" width="4.88"/>
    <col customWidth="1" min="5" max="5" width="4.75"/>
    <col customWidth="1" min="6" max="6" width="4.88"/>
    <col customWidth="1" min="7" max="11" width="4.75"/>
    <col customWidth="1" min="12" max="12" width="6.25"/>
    <col customWidth="1" min="13" max="13" width="5.0"/>
    <col customWidth="1" min="14" max="14" width="3.88"/>
    <col customWidth="1" min="15" max="15" width="4.63"/>
    <col customWidth="1" min="16" max="16" width="6.5"/>
    <col customWidth="1" min="17" max="17" width="5.13"/>
    <col customWidth="1" min="18" max="18" width="4.0"/>
    <col customWidth="1" min="19" max="19" width="5.0"/>
    <col customWidth="1" min="20" max="20" width="6.38"/>
    <col customWidth="1" min="21" max="21" width="5.13"/>
    <col customWidth="1" min="22" max="22" width="4.0"/>
    <col customWidth="1" min="23" max="23" width="5.0"/>
    <col customWidth="1" min="24" max="24" width="7.63"/>
    <col customWidth="1" min="25" max="25" width="5.0"/>
    <col customWidth="1" min="26" max="26" width="4.5"/>
    <col customWidth="1" min="27" max="27" width="5.0"/>
    <col customWidth="1" min="28" max="28" width="5.63"/>
    <col customWidth="1" min="29" max="29" width="5.13"/>
    <col customWidth="1" min="30" max="30" width="5.38"/>
    <col customWidth="1" min="31" max="31" width="5.0"/>
    <col customWidth="1" min="32" max="33" width="5.38"/>
    <col customWidth="1" min="34" max="35" width="5.88"/>
    <col customWidth="1" min="36" max="36" width="5.63"/>
    <col customWidth="1" min="37" max="41" width="4.25"/>
    <col customWidth="1" min="42" max="42" width="4.63"/>
    <col customWidth="1" min="43" max="43" width="4.5"/>
    <col customWidth="1" min="44" max="45" width="4.63"/>
    <col customWidth="1" min="46" max="47" width="4.5"/>
    <col customWidth="1" min="48" max="50" width="4.38"/>
    <col customWidth="1" min="51" max="51" width="6.63"/>
    <col customWidth="1" min="52" max="52" width="3.25"/>
  </cols>
  <sheetData>
    <row r="1">
      <c r="A1" s="1" t="s">
        <v>619</v>
      </c>
      <c r="B1" s="2" t="s">
        <v>1</v>
      </c>
      <c r="C1" s="3" t="s">
        <v>2</v>
      </c>
      <c r="K1" s="4"/>
      <c r="L1" s="5" t="s">
        <v>3</v>
      </c>
      <c r="O1" s="4"/>
      <c r="P1" s="5" t="s">
        <v>4</v>
      </c>
      <c r="S1" s="4"/>
      <c r="T1" s="5" t="s">
        <v>5</v>
      </c>
      <c r="W1" s="4"/>
      <c r="X1" s="5" t="s">
        <v>6</v>
      </c>
      <c r="AA1" s="4"/>
      <c r="AB1" s="3" t="s">
        <v>7</v>
      </c>
      <c r="AC1" s="6" t="s">
        <v>8</v>
      </c>
      <c r="AD1" s="6" t="s">
        <v>9</v>
      </c>
      <c r="AE1" s="6" t="s">
        <v>10</v>
      </c>
      <c r="AF1" s="6" t="s">
        <v>11</v>
      </c>
      <c r="AG1" s="6" t="s">
        <v>12</v>
      </c>
      <c r="AH1" s="6" t="s">
        <v>13</v>
      </c>
      <c r="AI1" s="7" t="s">
        <v>14</v>
      </c>
      <c r="AJ1" s="8" t="s">
        <v>15</v>
      </c>
      <c r="AK1" s="3" t="s">
        <v>16</v>
      </c>
      <c r="AY1" s="9" t="s">
        <v>17</v>
      </c>
      <c r="AZ1" s="10" t="s">
        <v>18</v>
      </c>
    </row>
    <row r="2">
      <c r="A2" s="11" t="s">
        <v>20</v>
      </c>
      <c r="B2" s="4"/>
      <c r="C2" s="243">
        <v>44810.0</v>
      </c>
      <c r="D2" s="243">
        <f t="shared" ref="D2:K2" si="1">C2+14</f>
        <v>44824</v>
      </c>
      <c r="E2" s="243">
        <f t="shared" si="1"/>
        <v>44838</v>
      </c>
      <c r="F2" s="243">
        <f t="shared" si="1"/>
        <v>44852</v>
      </c>
      <c r="G2" s="243">
        <f t="shared" si="1"/>
        <v>44866</v>
      </c>
      <c r="H2" s="243">
        <f t="shared" si="1"/>
        <v>44880</v>
      </c>
      <c r="I2" s="243">
        <f t="shared" si="1"/>
        <v>44894</v>
      </c>
      <c r="J2" s="243">
        <f t="shared" si="1"/>
        <v>44908</v>
      </c>
      <c r="K2" s="243">
        <f t="shared" si="1"/>
        <v>44922</v>
      </c>
      <c r="L2" s="14" t="s">
        <v>21</v>
      </c>
      <c r="M2" s="15" t="s">
        <v>22</v>
      </c>
      <c r="N2" s="15" t="s">
        <v>23</v>
      </c>
      <c r="O2" s="16" t="s">
        <v>24</v>
      </c>
      <c r="P2" s="14" t="s">
        <v>21</v>
      </c>
      <c r="Q2" s="15" t="s">
        <v>22</v>
      </c>
      <c r="R2" s="15" t="s">
        <v>23</v>
      </c>
      <c r="S2" s="16" t="s">
        <v>24</v>
      </c>
      <c r="T2" s="14" t="s">
        <v>21</v>
      </c>
      <c r="U2" s="15" t="s">
        <v>22</v>
      </c>
      <c r="V2" s="15" t="s">
        <v>23</v>
      </c>
      <c r="W2" s="16" t="s">
        <v>24</v>
      </c>
      <c r="X2" s="14" t="s">
        <v>21</v>
      </c>
      <c r="Y2" s="15" t="s">
        <v>22</v>
      </c>
      <c r="Z2" s="15" t="s">
        <v>23</v>
      </c>
      <c r="AA2" s="16" t="s">
        <v>24</v>
      </c>
      <c r="AB2" s="17" t="s">
        <v>25</v>
      </c>
      <c r="AC2" s="18" t="s">
        <v>25</v>
      </c>
      <c r="AD2" s="18" t="s">
        <v>25</v>
      </c>
      <c r="AE2" s="18" t="s">
        <v>25</v>
      </c>
      <c r="AF2" s="18" t="s">
        <v>25</v>
      </c>
      <c r="AG2" s="18" t="s">
        <v>25</v>
      </c>
      <c r="AH2" s="15" t="s">
        <v>26</v>
      </c>
      <c r="AI2" s="19" t="s">
        <v>26</v>
      </c>
      <c r="AJ2" s="20" t="s">
        <v>27</v>
      </c>
      <c r="AK2" s="21"/>
      <c r="AY2" s="22"/>
    </row>
    <row r="3">
      <c r="B3" s="4"/>
      <c r="L3" s="21"/>
      <c r="M3" s="15" t="s">
        <v>26</v>
      </c>
      <c r="N3" s="15" t="s">
        <v>28</v>
      </c>
      <c r="O3" s="4"/>
      <c r="P3" s="21"/>
      <c r="Q3" s="15" t="s">
        <v>26</v>
      </c>
      <c r="R3" s="15" t="s">
        <v>28</v>
      </c>
      <c r="S3" s="4"/>
      <c r="T3" s="21"/>
      <c r="U3" s="15" t="s">
        <v>26</v>
      </c>
      <c r="V3" s="15" t="s">
        <v>28</v>
      </c>
      <c r="W3" s="4"/>
      <c r="X3" s="21"/>
      <c r="Y3" s="15" t="s">
        <v>26</v>
      </c>
      <c r="Z3" s="15" t="s">
        <v>28</v>
      </c>
      <c r="AA3" s="4"/>
      <c r="AB3" s="21"/>
      <c r="AI3" s="4"/>
      <c r="AJ3" s="22"/>
      <c r="AK3" s="17" t="s">
        <v>3</v>
      </c>
      <c r="AL3" s="18" t="s">
        <v>4</v>
      </c>
      <c r="AM3" s="18" t="s">
        <v>5</v>
      </c>
      <c r="AN3" s="18" t="s">
        <v>6</v>
      </c>
      <c r="AO3" s="18" t="s">
        <v>7</v>
      </c>
      <c r="AP3" s="18" t="s">
        <v>8</v>
      </c>
      <c r="AQ3" s="18" t="s">
        <v>9</v>
      </c>
      <c r="AR3" s="18" t="s">
        <v>10</v>
      </c>
      <c r="AS3" s="18" t="s">
        <v>11</v>
      </c>
      <c r="AT3" s="18" t="s">
        <v>12</v>
      </c>
      <c r="AU3" s="18" t="s">
        <v>29</v>
      </c>
      <c r="AV3" s="18" t="s">
        <v>30</v>
      </c>
      <c r="AW3" s="18" t="s">
        <v>31</v>
      </c>
      <c r="AX3" s="23" t="s">
        <v>23</v>
      </c>
      <c r="AY3" s="22"/>
    </row>
    <row r="4">
      <c r="B4" s="4"/>
      <c r="C4" s="28"/>
      <c r="L4" s="28"/>
      <c r="O4" s="24"/>
      <c r="P4" s="28"/>
      <c r="S4" s="24"/>
      <c r="T4" s="28"/>
      <c r="W4" s="24"/>
      <c r="X4" s="28"/>
      <c r="Y4" s="29"/>
      <c r="AA4" s="24"/>
      <c r="AB4" s="28"/>
      <c r="AI4" s="24"/>
      <c r="AJ4" s="30"/>
      <c r="AK4" s="21">
        <f>SUM(M4,N4)</f>
        <v>0</v>
      </c>
      <c r="AL4">
        <f>SUM(Q4,R4)</f>
        <v>0</v>
      </c>
      <c r="AM4">
        <f>SUM(U4,V4)</f>
        <v>0</v>
      </c>
      <c r="AN4">
        <f>SUM(Y4,Z4)</f>
        <v>0</v>
      </c>
      <c r="AO4">
        <f t="shared" ref="AO4:AW4" si="2">SUM(AB4)</f>
        <v>0</v>
      </c>
      <c r="AP4">
        <f t="shared" si="2"/>
        <v>0</v>
      </c>
      <c r="AQ4">
        <f t="shared" si="2"/>
        <v>0</v>
      </c>
      <c r="AR4">
        <f t="shared" si="2"/>
        <v>0</v>
      </c>
      <c r="AS4">
        <f t="shared" si="2"/>
        <v>0</v>
      </c>
      <c r="AT4">
        <f t="shared" si="2"/>
        <v>0</v>
      </c>
      <c r="AU4">
        <f t="shared" si="2"/>
        <v>0</v>
      </c>
      <c r="AV4">
        <f t="shared" si="2"/>
        <v>0</v>
      </c>
      <c r="AW4">
        <f t="shared" si="2"/>
        <v>0</v>
      </c>
      <c r="AY4" s="31">
        <f>SUM(AK4:AX4)</f>
        <v>0</v>
      </c>
      <c r="AZ4" s="32"/>
    </row>
    <row r="5">
      <c r="A5" s="35"/>
      <c r="B5" s="24"/>
      <c r="C5" s="28"/>
      <c r="D5" s="36"/>
      <c r="E5" s="36"/>
      <c r="F5" s="36"/>
      <c r="G5" s="36"/>
      <c r="H5" s="36"/>
      <c r="L5" s="28"/>
      <c r="O5" s="285"/>
      <c r="P5" s="28"/>
      <c r="R5" s="36"/>
      <c r="S5" s="286"/>
      <c r="T5" s="28"/>
      <c r="W5" s="286"/>
      <c r="X5" s="28"/>
      <c r="Y5" s="29"/>
      <c r="AA5" s="285"/>
      <c r="AB5" s="28"/>
      <c r="AI5" s="24"/>
      <c r="AJ5" s="30"/>
      <c r="AK5" s="21"/>
      <c r="AY5" s="31"/>
      <c r="AZ5" s="32"/>
    </row>
    <row r="6">
      <c r="A6" s="287"/>
      <c r="B6" s="4"/>
      <c r="C6" s="28"/>
      <c r="L6" s="28"/>
      <c r="O6" s="38"/>
      <c r="P6" s="21"/>
      <c r="S6" s="38"/>
      <c r="T6" s="21"/>
      <c r="W6" s="38"/>
      <c r="X6" s="21"/>
      <c r="AA6" s="38"/>
      <c r="AB6" s="21"/>
      <c r="AI6" s="4"/>
      <c r="AJ6" s="30"/>
      <c r="AK6" s="21"/>
      <c r="AY6" s="31"/>
      <c r="AZ6" s="32"/>
    </row>
    <row r="7">
      <c r="B7" s="4"/>
      <c r="C7" s="28"/>
      <c r="L7" s="21"/>
      <c r="O7" s="38"/>
      <c r="P7" s="21"/>
      <c r="S7" s="38"/>
      <c r="T7" s="21"/>
      <c r="W7" s="38"/>
      <c r="X7" s="21"/>
      <c r="AA7" s="38"/>
      <c r="AB7" s="28"/>
      <c r="AI7" s="4"/>
      <c r="AJ7" s="30"/>
      <c r="AK7" s="21"/>
      <c r="AY7" s="31"/>
      <c r="AZ7" s="32"/>
    </row>
    <row r="8">
      <c r="A8" s="287"/>
      <c r="B8" s="204"/>
      <c r="C8" s="195"/>
      <c r="D8" s="270"/>
      <c r="E8" s="270"/>
      <c r="F8" s="270"/>
      <c r="G8" s="270"/>
      <c r="H8" s="270"/>
      <c r="I8" s="193"/>
      <c r="J8" s="193"/>
      <c r="K8" s="193"/>
      <c r="L8" s="195"/>
      <c r="M8" s="193"/>
      <c r="N8" s="193"/>
      <c r="O8" s="281"/>
      <c r="P8" s="198"/>
      <c r="Q8" s="193"/>
      <c r="R8" s="193"/>
      <c r="S8" s="281"/>
      <c r="T8" s="198"/>
      <c r="U8" s="193"/>
      <c r="V8" s="193"/>
      <c r="W8" s="281"/>
      <c r="X8" s="198"/>
      <c r="Y8" s="193"/>
      <c r="Z8" s="193"/>
      <c r="AA8" s="281"/>
      <c r="AB8" s="195"/>
      <c r="AC8" s="270"/>
      <c r="AD8" s="193"/>
      <c r="AE8" s="193"/>
      <c r="AF8" s="193"/>
      <c r="AG8" s="193"/>
      <c r="AH8" s="193"/>
      <c r="AI8" s="204"/>
      <c r="AJ8" s="30"/>
      <c r="AK8" s="21"/>
      <c r="AY8" s="31"/>
      <c r="AZ8" s="200"/>
    </row>
    <row r="9">
      <c r="B9" s="4"/>
      <c r="C9" s="21"/>
      <c r="L9" s="21"/>
      <c r="O9" s="38"/>
      <c r="P9" s="21"/>
      <c r="S9" s="38"/>
      <c r="T9" s="21"/>
      <c r="W9" s="38"/>
      <c r="X9" s="21"/>
      <c r="AA9" s="38"/>
      <c r="AB9" s="21"/>
      <c r="AI9" s="4"/>
      <c r="AJ9" s="22"/>
      <c r="AK9" s="21"/>
      <c r="AX9" s="4"/>
      <c r="AY9" s="31"/>
      <c r="AZ9" s="39"/>
    </row>
    <row r="10">
      <c r="B10" s="4"/>
      <c r="C10" s="21"/>
      <c r="L10" s="21"/>
      <c r="O10" s="38"/>
      <c r="P10" s="21"/>
      <c r="S10" s="38"/>
      <c r="T10" s="21"/>
      <c r="W10" s="38"/>
      <c r="X10" s="21"/>
      <c r="AA10" s="38"/>
      <c r="AB10" s="21"/>
      <c r="AI10" s="4"/>
      <c r="AJ10" s="22"/>
      <c r="AK10" s="21"/>
      <c r="AX10" s="4"/>
      <c r="AY10" s="31"/>
      <c r="AZ10" s="39"/>
    </row>
    <row r="11">
      <c r="B11" s="4"/>
      <c r="C11" s="21"/>
      <c r="L11" s="21"/>
      <c r="O11" s="38"/>
      <c r="P11" s="21"/>
      <c r="S11" s="38"/>
      <c r="T11" s="21"/>
      <c r="W11" s="38"/>
      <c r="X11" s="21"/>
      <c r="AA11" s="38"/>
      <c r="AB11" s="21"/>
      <c r="AI11" s="4"/>
      <c r="AJ11" s="22"/>
      <c r="AK11" s="21"/>
      <c r="AX11" s="4"/>
      <c r="AY11" s="31"/>
      <c r="AZ11" s="39"/>
    </row>
    <row r="12">
      <c r="B12" s="4"/>
      <c r="C12" s="21"/>
      <c r="L12" s="21"/>
      <c r="O12" s="38"/>
      <c r="P12" s="21"/>
      <c r="S12" s="38"/>
      <c r="T12" s="21"/>
      <c r="W12" s="38"/>
      <c r="X12" s="21"/>
      <c r="AA12" s="38"/>
      <c r="AB12" s="21"/>
      <c r="AI12" s="4"/>
      <c r="AJ12" s="22"/>
      <c r="AK12" s="21"/>
      <c r="AX12" s="4"/>
      <c r="AY12" s="31"/>
      <c r="AZ12" s="39"/>
    </row>
    <row r="13">
      <c r="B13" s="4"/>
      <c r="C13" s="21"/>
      <c r="L13" s="21"/>
      <c r="O13" s="38"/>
      <c r="P13" s="21"/>
      <c r="S13" s="38"/>
      <c r="T13" s="21"/>
      <c r="W13" s="38"/>
      <c r="X13" s="21"/>
      <c r="AA13" s="38"/>
      <c r="AB13" s="21"/>
      <c r="AI13" s="4"/>
      <c r="AJ13" s="22"/>
      <c r="AK13" s="21"/>
      <c r="AX13" s="4"/>
      <c r="AY13" s="31"/>
      <c r="AZ13" s="39"/>
    </row>
    <row r="14">
      <c r="B14" s="4"/>
      <c r="C14" s="21"/>
      <c r="L14" s="21"/>
      <c r="O14" s="38"/>
      <c r="P14" s="21"/>
      <c r="S14" s="38"/>
      <c r="T14" s="21"/>
      <c r="W14" s="38"/>
      <c r="X14" s="21"/>
      <c r="AA14" s="38"/>
      <c r="AB14" s="21"/>
      <c r="AI14" s="4"/>
      <c r="AJ14" s="22"/>
      <c r="AK14" s="21"/>
      <c r="AX14" s="4"/>
      <c r="AY14" s="31"/>
      <c r="AZ14" s="39"/>
    </row>
    <row r="15">
      <c r="B15" s="4"/>
      <c r="C15" s="21"/>
      <c r="L15" s="21"/>
      <c r="O15" s="38"/>
      <c r="P15" s="21"/>
      <c r="S15" s="38"/>
      <c r="T15" s="21"/>
      <c r="W15" s="38"/>
      <c r="X15" s="21"/>
      <c r="AA15" s="38"/>
      <c r="AB15" s="21"/>
      <c r="AI15" s="4"/>
      <c r="AJ15" s="22"/>
      <c r="AK15" s="21"/>
      <c r="AX15" s="4"/>
      <c r="AY15" s="31"/>
      <c r="AZ15" s="39"/>
    </row>
    <row r="16">
      <c r="B16" s="4"/>
      <c r="C16" s="21"/>
      <c r="L16" s="21"/>
      <c r="O16" s="38"/>
      <c r="P16" s="21"/>
      <c r="S16" s="38"/>
      <c r="T16" s="21"/>
      <c r="W16" s="38"/>
      <c r="X16" s="21"/>
      <c r="AA16" s="38"/>
      <c r="AB16" s="21"/>
      <c r="AI16" s="4"/>
      <c r="AJ16" s="22"/>
      <c r="AK16" s="21"/>
      <c r="AX16" s="4"/>
      <c r="AY16" s="31"/>
      <c r="AZ16" s="39"/>
    </row>
    <row r="17">
      <c r="B17" s="4"/>
      <c r="C17" s="21"/>
      <c r="L17" s="21"/>
      <c r="O17" s="38"/>
      <c r="P17" s="21"/>
      <c r="S17" s="38"/>
      <c r="T17" s="21"/>
      <c r="W17" s="38"/>
      <c r="X17" s="21"/>
      <c r="AA17" s="38"/>
      <c r="AB17" s="21"/>
      <c r="AI17" s="4"/>
      <c r="AJ17" s="22"/>
      <c r="AK17" s="21"/>
      <c r="AX17" s="4"/>
      <c r="AY17" s="31"/>
      <c r="AZ17" s="39"/>
    </row>
    <row r="18">
      <c r="B18" s="4"/>
      <c r="C18" s="21"/>
      <c r="L18" s="21"/>
      <c r="O18" s="38"/>
      <c r="P18" s="21"/>
      <c r="S18" s="38"/>
      <c r="T18" s="21"/>
      <c r="W18" s="38"/>
      <c r="X18" s="21"/>
      <c r="AA18" s="38"/>
      <c r="AB18" s="21"/>
      <c r="AI18" s="4"/>
      <c r="AJ18" s="22"/>
      <c r="AK18" s="21"/>
      <c r="AX18" s="4"/>
      <c r="AY18" s="31"/>
      <c r="AZ18" s="39"/>
    </row>
    <row r="19">
      <c r="B19" s="4"/>
      <c r="C19" s="21"/>
      <c r="L19" s="21"/>
      <c r="O19" s="38"/>
      <c r="P19" s="21"/>
      <c r="S19" s="38"/>
      <c r="T19" s="21"/>
      <c r="W19" s="38"/>
      <c r="X19" s="21"/>
      <c r="AA19" s="38"/>
      <c r="AB19" s="21"/>
      <c r="AI19" s="4"/>
      <c r="AJ19" s="22"/>
      <c r="AK19" s="21"/>
      <c r="AX19" s="4"/>
      <c r="AY19" s="31"/>
      <c r="AZ19" s="39"/>
    </row>
    <row r="20">
      <c r="B20" s="4"/>
      <c r="C20" s="21"/>
      <c r="L20" s="21"/>
      <c r="O20" s="38"/>
      <c r="P20" s="21"/>
      <c r="S20" s="38"/>
      <c r="T20" s="21"/>
      <c r="W20" s="38"/>
      <c r="X20" s="21"/>
      <c r="AA20" s="38"/>
      <c r="AB20" s="21"/>
      <c r="AI20" s="4"/>
      <c r="AJ20" s="22"/>
      <c r="AK20" s="21"/>
      <c r="AX20" s="4"/>
      <c r="AY20" s="31"/>
      <c r="AZ20" s="39"/>
    </row>
    <row r="21">
      <c r="B21" s="4"/>
      <c r="C21" s="21"/>
      <c r="L21" s="21"/>
      <c r="O21" s="38"/>
      <c r="P21" s="21"/>
      <c r="S21" s="38"/>
      <c r="T21" s="21"/>
      <c r="W21" s="38"/>
      <c r="X21" s="21"/>
      <c r="AA21" s="38"/>
      <c r="AB21" s="21"/>
      <c r="AI21" s="4"/>
      <c r="AJ21" s="22"/>
      <c r="AK21" s="21"/>
      <c r="AX21" s="4"/>
      <c r="AY21" s="31"/>
      <c r="AZ21" s="39"/>
    </row>
    <row r="22">
      <c r="B22" s="4"/>
      <c r="C22" s="21"/>
      <c r="L22" s="21"/>
      <c r="O22" s="38"/>
      <c r="P22" s="21"/>
      <c r="S22" s="38"/>
      <c r="T22" s="21"/>
      <c r="W22" s="38"/>
      <c r="X22" s="21"/>
      <c r="AA22" s="38"/>
      <c r="AB22" s="21"/>
      <c r="AI22" s="4"/>
      <c r="AJ22" s="22"/>
      <c r="AK22" s="21"/>
      <c r="AX22" s="4"/>
      <c r="AY22" s="31"/>
      <c r="AZ22" s="39"/>
    </row>
    <row r="23">
      <c r="B23" s="4"/>
      <c r="C23" s="21"/>
      <c r="L23" s="21"/>
      <c r="O23" s="38"/>
      <c r="P23" s="21"/>
      <c r="S23" s="38"/>
      <c r="T23" s="21"/>
      <c r="W23" s="38"/>
      <c r="X23" s="21"/>
      <c r="AA23" s="38"/>
      <c r="AB23" s="21"/>
      <c r="AI23" s="4"/>
      <c r="AJ23" s="22"/>
      <c r="AK23" s="21"/>
      <c r="AX23" s="4"/>
      <c r="AY23" s="31"/>
      <c r="AZ23" s="39"/>
    </row>
    <row r="24">
      <c r="B24" s="4"/>
      <c r="C24" s="21"/>
      <c r="L24" s="21"/>
      <c r="O24" s="38"/>
      <c r="P24" s="21"/>
      <c r="S24" s="38"/>
      <c r="T24" s="21"/>
      <c r="W24" s="38"/>
      <c r="X24" s="21"/>
      <c r="AA24" s="38"/>
      <c r="AB24" s="21"/>
      <c r="AI24" s="4"/>
      <c r="AJ24" s="22"/>
      <c r="AK24" s="21"/>
      <c r="AX24" s="4"/>
      <c r="AY24" s="31"/>
      <c r="AZ24" s="39"/>
    </row>
    <row r="25">
      <c r="B25" s="4"/>
      <c r="C25" s="21"/>
      <c r="L25" s="21"/>
      <c r="O25" s="38"/>
      <c r="P25" s="21"/>
      <c r="S25" s="38"/>
      <c r="T25" s="21"/>
      <c r="W25" s="38"/>
      <c r="X25" s="21"/>
      <c r="AA25" s="38"/>
      <c r="AB25" s="21"/>
      <c r="AI25" s="4"/>
      <c r="AJ25" s="22"/>
      <c r="AK25" s="21"/>
      <c r="AX25" s="4"/>
      <c r="AY25" s="31"/>
      <c r="AZ25" s="39"/>
    </row>
    <row r="26">
      <c r="B26" s="4"/>
      <c r="C26" s="21"/>
      <c r="L26" s="21"/>
      <c r="O26" s="38"/>
      <c r="P26" s="21"/>
      <c r="S26" s="38"/>
      <c r="T26" s="21"/>
      <c r="W26" s="38"/>
      <c r="X26" s="21"/>
      <c r="AA26" s="38"/>
      <c r="AB26" s="21"/>
      <c r="AI26" s="4"/>
      <c r="AJ26" s="22"/>
      <c r="AK26" s="21"/>
      <c r="AX26" s="4"/>
      <c r="AY26" s="31"/>
      <c r="AZ26" s="39"/>
    </row>
    <row r="27">
      <c r="B27" s="4"/>
      <c r="C27" s="21"/>
      <c r="L27" s="21"/>
      <c r="O27" s="38"/>
      <c r="P27" s="21"/>
      <c r="S27" s="38"/>
      <c r="T27" s="21"/>
      <c r="W27" s="38"/>
      <c r="X27" s="21"/>
      <c r="AA27" s="38"/>
      <c r="AB27" s="21"/>
      <c r="AI27" s="4"/>
      <c r="AJ27" s="22"/>
      <c r="AK27" s="21"/>
      <c r="AX27" s="4"/>
      <c r="AY27" s="31"/>
      <c r="AZ27" s="39"/>
    </row>
    <row r="28">
      <c r="B28" s="4"/>
      <c r="C28" s="21"/>
      <c r="L28" s="21"/>
      <c r="O28" s="38"/>
      <c r="P28" s="21"/>
      <c r="S28" s="38"/>
      <c r="T28" s="21"/>
      <c r="W28" s="38"/>
      <c r="X28" s="21"/>
      <c r="AA28" s="38"/>
      <c r="AB28" s="21"/>
      <c r="AI28" s="4"/>
      <c r="AJ28" s="22"/>
      <c r="AK28" s="21"/>
      <c r="AX28" s="4"/>
      <c r="AY28" s="31"/>
      <c r="AZ28" s="39"/>
    </row>
    <row r="29">
      <c r="B29" s="4"/>
      <c r="C29" s="21"/>
      <c r="L29" s="21"/>
      <c r="O29" s="38"/>
      <c r="P29" s="21"/>
      <c r="S29" s="38"/>
      <c r="T29" s="21"/>
      <c r="W29" s="38"/>
      <c r="X29" s="21"/>
      <c r="AA29" s="38"/>
      <c r="AB29" s="21"/>
      <c r="AI29" s="4"/>
      <c r="AJ29" s="22"/>
      <c r="AK29" s="21"/>
      <c r="AX29" s="4"/>
      <c r="AY29" s="31"/>
      <c r="AZ29" s="39"/>
    </row>
    <row r="30">
      <c r="B30" s="4"/>
      <c r="C30" s="21"/>
      <c r="L30" s="21"/>
      <c r="O30" s="38"/>
      <c r="P30" s="21"/>
      <c r="S30" s="38"/>
      <c r="T30" s="21"/>
      <c r="W30" s="38"/>
      <c r="X30" s="21"/>
      <c r="AA30" s="38"/>
      <c r="AB30" s="21"/>
      <c r="AI30" s="4"/>
      <c r="AJ30" s="22"/>
      <c r="AK30" s="21"/>
      <c r="AX30" s="4"/>
      <c r="AY30" s="31"/>
      <c r="AZ30" s="39"/>
    </row>
    <row r="31">
      <c r="B31" s="4"/>
      <c r="C31" s="21"/>
      <c r="L31" s="21"/>
      <c r="O31" s="38"/>
      <c r="P31" s="21"/>
      <c r="S31" s="38"/>
      <c r="T31" s="21"/>
      <c r="W31" s="38"/>
      <c r="X31" s="21"/>
      <c r="AA31" s="38"/>
      <c r="AB31" s="21"/>
      <c r="AI31" s="4"/>
      <c r="AJ31" s="22"/>
      <c r="AK31" s="21"/>
      <c r="AX31" s="4"/>
      <c r="AY31" s="288"/>
      <c r="AZ31" s="39"/>
    </row>
  </sheetData>
  <mergeCells count="36">
    <mergeCell ref="P2:P3"/>
    <mergeCell ref="S2:S3"/>
    <mergeCell ref="T2:T3"/>
    <mergeCell ref="W2:W3"/>
    <mergeCell ref="X2:X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C1:K1"/>
    <mergeCell ref="L1:O1"/>
    <mergeCell ref="P1:S1"/>
    <mergeCell ref="T1:W1"/>
    <mergeCell ref="X1:AA1"/>
    <mergeCell ref="AK1:AX2"/>
    <mergeCell ref="A2:A3"/>
    <mergeCell ref="AJ2:AJ3"/>
    <mergeCell ref="AY1:AY3"/>
    <mergeCell ref="AZ1:AZ3"/>
    <mergeCell ref="B1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O2:O3"/>
  </mergeCells>
  <conditionalFormatting sqref="S4">
    <cfRule type="timePeriod" dxfId="0" priority="1" timePeriod="last7Days"/>
  </conditionalFormatting>
  <conditionalFormatting sqref="W4">
    <cfRule type="timePeriod" dxfId="0" priority="2" timePeriod="last7Days"/>
  </conditionalFormatting>
  <conditionalFormatting sqref="W4">
    <cfRule type="timePeriod" dxfId="0" priority="3" timePeriod="last7Days"/>
  </conditionalFormatting>
  <conditionalFormatting sqref="O4 S4 W4">
    <cfRule type="timePeriod" dxfId="0" priority="4" timePeriod="last7Days"/>
  </conditionalFormatting>
  <conditionalFormatting sqref="O4">
    <cfRule type="timePeriod" dxfId="0" priority="5" timePeriod="last7Days"/>
  </conditionalFormatting>
  <conditionalFormatting sqref="O4">
    <cfRule type="timePeriod" dxfId="0" priority="6" timePeriod="last7Days"/>
  </conditionalFormatting>
  <conditionalFormatting sqref="W4">
    <cfRule type="timePeriod" dxfId="0" priority="7" timePeriod="last7Days"/>
  </conditionalFormatting>
  <conditionalFormatting sqref="AK4:AX4">
    <cfRule type="cellIs" dxfId="1" priority="8" operator="lessThan">
      <formula>0.1</formula>
    </cfRule>
  </conditionalFormatting>
  <conditionalFormatting sqref="AK4:AX4">
    <cfRule type="cellIs" dxfId="2" priority="9" operator="greaterThan">
      <formula>0.1</formula>
    </cfRule>
  </conditionalFormatting>
  <conditionalFormatting sqref="AY4:AZ4">
    <cfRule type="cellIs" dxfId="3" priority="10" operator="between">
      <formula>60</formula>
      <formula>68</formula>
    </cfRule>
  </conditionalFormatting>
  <conditionalFormatting sqref="AY4:AZ4">
    <cfRule type="cellIs" dxfId="4" priority="11" operator="between">
      <formula>68</formula>
      <formula>74</formula>
    </cfRule>
  </conditionalFormatting>
  <conditionalFormatting sqref="AY4:AZ4">
    <cfRule type="cellIs" dxfId="2" priority="12" operator="between">
      <formula>74</formula>
      <formula>81</formula>
    </cfRule>
  </conditionalFormatting>
  <conditionalFormatting sqref="AY4:AZ4">
    <cfRule type="cellIs" dxfId="5" priority="13" operator="between">
      <formula>81</formula>
      <formula>90</formula>
    </cfRule>
  </conditionalFormatting>
  <conditionalFormatting sqref="AY4:AZ4">
    <cfRule type="cellIs" dxfId="6" priority="14" operator="greaterThan">
      <formula>90</formula>
    </cfRule>
  </conditionalFormatting>
  <conditionalFormatting sqref="S4">
    <cfRule type="timePeriod" dxfId="0" priority="15" timePeriod="last7Days"/>
  </conditionalFormatting>
  <conditionalFormatting sqref="F4">
    <cfRule type="containsText" dxfId="7" priority="16" operator="containsText" text="н">
      <formula>NOT(ISERROR(SEARCH(("н"),(F4))))</formula>
    </cfRule>
  </conditionalFormatting>
  <conditionalFormatting sqref="F4">
    <cfRule type="containsText" dxfId="7" priority="17" operator="containsText" text="n">
      <formula>NOT(ISERROR(SEARCH(("n"),(F4))))</formula>
    </cfRule>
  </conditionalFormatting>
  <conditionalFormatting sqref="E4">
    <cfRule type="containsText" dxfId="7" priority="18" operator="containsText" text="н">
      <formula>NOT(ISERROR(SEARCH(("н"),(E4))))</formula>
    </cfRule>
  </conditionalFormatting>
  <conditionalFormatting sqref="E4">
    <cfRule type="containsText" dxfId="7" priority="19" operator="containsText" text="n">
      <formula>NOT(ISERROR(SEARCH(("n"),(E4))))</formula>
    </cfRule>
  </conditionalFormatting>
  <conditionalFormatting sqref="M4:N5">
    <cfRule type="cellIs" dxfId="8" priority="20" operator="equal">
      <formula>0</formula>
    </cfRule>
  </conditionalFormatting>
  <conditionalFormatting sqref="Q4:R5">
    <cfRule type="cellIs" dxfId="8" priority="21" operator="equal">
      <formula>0</formula>
    </cfRule>
  </conditionalFormatting>
  <conditionalFormatting sqref="U4:V5">
    <cfRule type="cellIs" dxfId="8" priority="22" operator="equal">
      <formula>0</formula>
    </cfRule>
  </conditionalFormatting>
  <conditionalFormatting sqref="Y4:Z5">
    <cfRule type="cellIs" dxfId="8" priority="23" operator="equal">
      <formula>0</formula>
    </cfRule>
  </conditionalFormatting>
  <conditionalFormatting sqref="AB4:AI5">
    <cfRule type="cellIs" dxfId="8" priority="24" operator="equal">
      <formula>0</formula>
    </cfRule>
  </conditionalFormatting>
  <conditionalFormatting sqref="C1:K31">
    <cfRule type="containsText" dxfId="7" priority="25" operator="containsText" text="н">
      <formula>NOT(ISERROR(SEARCH(("н"),(C1))))</formula>
    </cfRule>
  </conditionalFormatting>
  <conditionalFormatting sqref="C1:K31">
    <cfRule type="containsText" dxfId="7" priority="26" operator="containsText" text="n">
      <formula>NOT(ISERROR(SEARCH(("n"),(C1))))</formula>
    </cfRule>
  </conditionalFormatting>
  <conditionalFormatting sqref="O4:O5">
    <cfRule type="timePeriod" dxfId="0" priority="27" timePeriod="last7Days"/>
  </conditionalFormatting>
  <conditionalFormatting sqref="S4:S5">
    <cfRule type="timePeriod" dxfId="0" priority="28" timePeriod="last7Days"/>
  </conditionalFormatting>
  <conditionalFormatting sqref="W4:W5">
    <cfRule type="timePeriod" dxfId="0" priority="29" timePeriod="last7Days"/>
  </conditionalFormatting>
  <conditionalFormatting sqref="AA4:AA5">
    <cfRule type="timePeriod" dxfId="0" priority="30" timePeriod="last7Days"/>
  </conditionalFormatting>
  <conditionalFormatting sqref="AY1:AZ31">
    <cfRule type="cellIs" dxfId="3" priority="31" operator="between">
      <formula>60</formula>
      <formula>68</formula>
    </cfRule>
  </conditionalFormatting>
  <conditionalFormatting sqref="AJ4:AJ8">
    <cfRule type="cellIs" dxfId="6" priority="32" operator="between">
      <formula>12</formula>
      <formula>1000</formula>
    </cfRule>
  </conditionalFormatting>
  <conditionalFormatting sqref="AY1:AZ31">
    <cfRule type="cellIs" dxfId="4" priority="33" operator="between">
      <formula>68</formula>
      <formula>74</formula>
    </cfRule>
  </conditionalFormatting>
  <conditionalFormatting sqref="AY1:AZ31">
    <cfRule type="cellIs" dxfId="2" priority="34" operator="between">
      <formula>74</formula>
      <formula>81</formula>
    </cfRule>
  </conditionalFormatting>
  <conditionalFormatting sqref="AY1:AZ31">
    <cfRule type="cellIs" dxfId="5" priority="35" operator="between">
      <formula>81</formula>
      <formula>90</formula>
    </cfRule>
  </conditionalFormatting>
  <conditionalFormatting sqref="AY1:AZ31">
    <cfRule type="cellIs" dxfId="6" priority="36" operator="greaterThan">
      <formula>90</formula>
    </cfRule>
  </conditionalFormatting>
  <drawing r:id="rId1"/>
</worksheet>
</file>